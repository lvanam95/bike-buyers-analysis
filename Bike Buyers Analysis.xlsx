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ike_buyers" sheetId="1" r:id="rId5"/>
    <sheet name="Working Sheet" sheetId="2" r:id="rId6"/>
    <sheet name="Table 1 Pivot" sheetId="3" r:id="rId7"/>
    <sheet name="Pivot Table 2" sheetId="4" r:id="rId8"/>
    <sheet name="Pivot Table 3" sheetId="5" r:id="rId9"/>
    <sheet name="Bike Buyers Dashboard" sheetId="6" r:id="rId10"/>
  </sheets>
  <pivotCaches>
    <pivotCache cacheId="0" r:id="rId11"/>
    <pivotCache cacheId="1" r:id="rId12"/>
    <pivotCache cacheId="2" r:id="rId13"/>
  </pivotCache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<sst xmlns="http://schemas.openxmlformats.org/spreadsheetml/2006/main" uniqueCount="60">
  <si>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</si>
  <si>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</si>
  <si>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</si>
  <si>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</si>
  <si>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</si>
  <si>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</si>
  <si>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</si>
  <si>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</si>
  <si>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</si>
  <si>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</si>
  <si>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</si>
  <si>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</si>
  <si>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</si>
  <si>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</si>
  <si>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</si>
  <si>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</si>
  <si>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</si>
  <si>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</si>
  <si>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</si>
  <si>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</si>
  <si>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</si>
  <si>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</si>
  <si>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</si>
  <si>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</si>
  <si>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</si>
  <si>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</si>
  <si>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</si>
  <si>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</si>
  <si>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</si>
  <si>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</si>
  <si>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</si>
  <si>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</si>
  <si>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</si>
  <si>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</si>
  <si>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</si>
  <si>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</si>
  <si>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Marital Status Full</t>
  </si>
  <si>
    <t>Gender Full</t>
  </si>
  <si>
    <t>Income Check</t>
  </si>
  <si>
    <t>Age Check</t>
  </si>
  <si>
    <t>Age Group</t>
  </si>
  <si>
    <t>ID Count</t>
  </si>
  <si>
    <t xml:space="preserve">Income Number or text? </t>
  </si>
  <si>
    <t>Age number or text?</t>
  </si>
  <si>
    <t>Married</t>
  </si>
  <si>
    <t>Female</t>
  </si>
  <si>
    <t>okay</t>
  </si>
  <si>
    <t>Okay</t>
  </si>
  <si>
    <t>30-50</t>
  </si>
  <si>
    <t>Ok</t>
  </si>
  <si>
    <t>ok</t>
  </si>
  <si>
    <t>Male</t>
  </si>
  <si>
    <t>Over 50</t>
  </si>
  <si>
    <t>Single</t>
  </si>
  <si>
    <t>UNDER 30</t>
  </si>
  <si>
    <t>Bike Purchases by Age Group</t>
  </si>
  <si>
    <t>Grand Total</t>
  </si>
  <si>
    <t>Bike Purchases by Commute Distance</t>
  </si>
  <si>
    <t>Average Income by Bike Purchase Status</t>
  </si>
  <si>
    <t>Income (Average)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</si>
</sst>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#,##0.00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8"/>
      <name val="Calibri"/>
    </font>
    <font>
      <b val="1"/>
      <sz val="11"/>
      <color indexed="8"/>
      <name val="Calibri"/>
    </font>
    <font>
      <sz val="18"/>
      <color indexed="8"/>
      <name val="Calibri"/>
    </font>
    <font>
      <b val="1"/>
      <sz val="24"/>
      <color indexed="8"/>
      <name val="Helvetica Neue"/>
    </font>
    <font>
      <b val="1"/>
      <sz val="14"/>
      <color indexed="8"/>
      <name val="Helvetica Neue"/>
    </font>
    <font>
      <sz val="20"/>
      <color indexed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vertical="bottom"/>
    </xf>
    <xf numFmtId="49" fontId="4" fillId="2" borderId="3" pivotButton="1" applyNumberFormat="1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vertical="bottom"/>
    </xf>
    <xf numFmtId="0" fontId="0" fillId="4" borderId="6" applyNumberFormat="1" applyFont="1" applyFill="1" applyBorder="1" applyAlignment="1" applyProtection="0">
      <alignment vertical="bottom"/>
    </xf>
    <xf numFmtId="0" fontId="0" fillId="4" borderId="5" applyNumberFormat="1" applyFont="1" applyFill="1" applyBorder="1" applyAlignment="1" applyProtection="0">
      <alignment vertical="bottom"/>
    </xf>
    <xf numFmtId="0" fontId="4" fillId="3" borderId="6" applyNumberFormat="1" applyFont="1" applyFill="1" applyBorder="1" applyAlignment="1" applyProtection="0">
      <alignment vertical="bottom"/>
    </xf>
    <xf numFmtId="49" fontId="4" fillId="4" borderId="5" applyNumberFormat="1" applyFont="1" applyFill="1" applyBorder="1" applyAlignment="1" applyProtection="0">
      <alignment vertical="bottom"/>
    </xf>
    <xf numFmtId="0" fontId="4" fillId="4" borderId="6" applyNumberFormat="1" applyFont="1" applyFill="1" applyBorder="1" applyAlignment="1" applyProtection="0">
      <alignment vertical="bottom"/>
    </xf>
    <xf numFmtId="0" fontId="4" fillId="4" borderId="5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4" fillId="2" borderId="5" applyNumberFormat="0" applyFont="1" applyFill="1" applyBorder="1" applyAlignment="1" applyProtection="0">
      <alignment vertical="bottom"/>
    </xf>
    <xf numFmtId="49" fontId="4" fillId="2" borderId="6" pivotButton="1" applyNumberFormat="1" applyFont="1" applyFill="1" applyBorder="1" applyAlignment="1" applyProtection="0">
      <alignment vertical="bottom"/>
    </xf>
    <xf numFmtId="0" fontId="4" fillId="2" borderId="6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bottom"/>
    </xf>
    <xf numFmtId="49" fontId="4" fillId="2" borderId="6" applyNumberFormat="1" applyFont="1" applyFill="1" applyBorder="1" applyAlignment="1" applyProtection="0">
      <alignment vertical="bottom"/>
    </xf>
    <xf numFmtId="59" fontId="4" fillId="4" borderId="6" applyNumberFormat="1" applyFont="1" applyFill="1" applyBorder="1" applyAlignment="1" applyProtection="0">
      <alignment vertical="bottom"/>
    </xf>
    <xf numFmtId="59" fontId="4" fillId="4" borderId="5" applyNumberFormat="1" applyFont="1" applyFill="1" applyBorder="1" applyAlignment="1" applyProtection="0">
      <alignment vertical="bottom"/>
    </xf>
  </cellXfs>
  <cellStyles count="1">
    <cellStyle name="Normal" xfId="0" builtinId="0"/>
  </cellStyles>
  <dxfs count="24">
    <dxf>
      <font>
        <color rgb="ff000000"/>
      </font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diagonal/>
        <vertical style="thin">
          <color indexed="9"/>
        </vertical>
        <horizontal style="thin">
          <color indexed="9"/>
        </horizontal>
      </border>
    </dxf>
    <dxf>
      <font>
        <b val="1"/>
        <color rgb="ff000000"/>
      </font>
      <fill>
        <patternFill patternType="solid">
          <fgColor indexed="13"/>
          <bgColor indexed="10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diagonal/>
        <vertical style="thin">
          <color indexed="9"/>
        </vertical>
        <horizontal style="thin">
          <color indexed="9"/>
        </horizontal>
      </border>
    </dxf>
    <dxf>
      <font>
        <b val="1"/>
        <color rgb="ff000000"/>
      </font>
      <fill>
        <patternFill patternType="solid">
          <fgColor indexed="13"/>
          <bgColor indexed="10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13"/>
          <bgColor indexed="11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diagonal/>
        <vertical style="thin">
          <color indexed="9"/>
        </vertical>
        <horizontal style="thin">
          <color indexed="9"/>
        </horizontal>
      </border>
    </dxf>
    <dxf>
      <font>
        <b val="1"/>
        <color rgb="ff000000"/>
      </font>
      <fill>
        <patternFill patternType="solid">
          <fgColor indexed="13"/>
          <bgColor indexed="11"/>
        </patternFill>
      </fill>
      <border>
        <left style="thin">
          <color indexed="9"/>
        </left>
        <right style="thin">
          <color indexed="9"/>
        </right>
        <top style="thin">
          <color indexed="8"/>
        </top>
        <bottom style="thin">
          <color indexed="8"/>
        </bottom>
        <diagonal/>
        <vertical style="thin">
          <color indexed="9"/>
        </vertical>
        <horizontal>
          <color indexed="8"/>
        </horizontal>
      </border>
    </dxf>
    <dxf>
      <font>
        <color rgb="ff000000"/>
      </font>
      <fill>
        <patternFill patternType="solid">
          <fgColor indexed="13"/>
          <bgColor indexed="11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13"/>
          <bgColor indexed="11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8"/>
        </bottom>
        <diagonal/>
        <vertical style="thin">
          <color indexed="9"/>
        </vertical>
        <horizontal style="thin">
          <color indexed="9"/>
        </horizontal>
      </border>
    </dxf>
    <dxf>
      <font>
        <color rgb="ff000000"/>
      </font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diagonal/>
        <vertical style="thin">
          <color indexed="9"/>
        </vertical>
        <horizontal style="thin">
          <color indexed="9"/>
        </horizontal>
      </border>
    </dxf>
    <dxf>
      <font>
        <b val="1"/>
        <color rgb="ff000000"/>
      </font>
      <fill>
        <patternFill patternType="solid">
          <fgColor indexed="13"/>
          <bgColor indexed="10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diagonal/>
        <vertical style="thin">
          <color indexed="9"/>
        </vertical>
        <horizontal style="thin">
          <color indexed="9"/>
        </horizontal>
      </border>
    </dxf>
    <dxf>
      <font>
        <b val="1"/>
        <color rgb="ff000000"/>
      </font>
      <fill>
        <patternFill patternType="solid">
          <fgColor indexed="13"/>
          <bgColor indexed="10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13"/>
          <bgColor indexed="11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diagonal/>
        <vertical style="thin">
          <color indexed="9"/>
        </vertical>
        <horizontal style="thin">
          <color indexed="9"/>
        </horizontal>
      </border>
    </dxf>
    <dxf>
      <font>
        <b val="1"/>
        <color rgb="ff000000"/>
      </font>
      <fill>
        <patternFill patternType="solid">
          <fgColor indexed="13"/>
          <bgColor indexed="11"/>
        </patternFill>
      </fill>
      <border>
        <left style="thin">
          <color indexed="9"/>
        </left>
        <right style="thin">
          <color indexed="9"/>
        </right>
        <top style="thin">
          <color indexed="8"/>
        </top>
        <bottom style="thin">
          <color indexed="8"/>
        </bottom>
        <diagonal/>
        <vertical style="thin">
          <color indexed="9"/>
        </vertical>
        <horizontal>
          <color indexed="8"/>
        </horizontal>
      </border>
    </dxf>
    <dxf>
      <font>
        <color rgb="ff000000"/>
      </font>
      <fill>
        <patternFill patternType="solid">
          <fgColor indexed="13"/>
          <bgColor indexed="11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13"/>
          <bgColor indexed="11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8"/>
        </bottom>
        <diagonal/>
        <vertical style="thin">
          <color indexed="9"/>
        </vertical>
        <horizontal style="thin">
          <color indexed="9"/>
        </horizontal>
      </border>
    </dxf>
    <dxf>
      <font>
        <color rgb="ff000000"/>
      </font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diagonal/>
        <vertical style="thin">
          <color indexed="9"/>
        </vertical>
        <horizontal style="thin">
          <color indexed="9"/>
        </horizontal>
      </border>
    </dxf>
    <dxf>
      <font>
        <b val="1"/>
        <color rgb="ff000000"/>
      </font>
      <fill>
        <patternFill patternType="solid">
          <fgColor indexed="13"/>
          <bgColor indexed="10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diagonal/>
        <vertical style="thin">
          <color indexed="9"/>
        </vertical>
        <horizontal style="thin">
          <color indexed="9"/>
        </horizontal>
      </border>
    </dxf>
    <dxf>
      <font>
        <b val="1"/>
        <color rgb="ff000000"/>
      </font>
      <fill>
        <patternFill patternType="solid">
          <fgColor indexed="13"/>
          <bgColor indexed="10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13"/>
          <bgColor indexed="11"/>
        </patternFill>
      </fill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diagonal/>
        <vertical style="thin">
          <color indexed="9"/>
        </vertical>
        <horizontal style="thin">
          <color indexed="9"/>
        </horizontal>
      </border>
    </dxf>
    <dxf>
      <font>
        <b val="1"/>
        <color rgb="ff000000"/>
      </font>
      <fill>
        <patternFill patternType="solid">
          <fgColor indexed="13"/>
          <bgColor indexed="11"/>
        </patternFill>
      </fill>
      <border>
        <left style="thin">
          <color indexed="9"/>
        </left>
        <right style="thin">
          <color indexed="9"/>
        </right>
        <top style="thin">
          <color indexed="8"/>
        </top>
        <bottom style="thin">
          <color indexed="8"/>
        </bottom>
        <diagonal/>
        <vertical style="thin">
          <color indexed="9"/>
        </vertical>
        <horizontal>
          <color indexed="8"/>
        </horizontal>
      </border>
    </dxf>
    <dxf>
      <font>
        <color rgb="ff000000"/>
      </font>
      <fill>
        <patternFill patternType="solid">
          <fgColor indexed="13"/>
          <bgColor indexed="11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13"/>
          <bgColor indexed="11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8"/>
        </bottom>
        <diagonal/>
        <vertical style="thin">
          <color indexed="9"/>
        </vertical>
        <horizontal style="thin">
          <color indexed="9"/>
        </horizontal>
      </border>
    </dxf>
  </dxfs>
  <tableStyles count="3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  <tableStyle name="PivotStyleCustom02">
      <tableStyleElement type="wholeTable" dxfId="8"/>
      <tableStyleElement type="headerRow" dxfId="9"/>
      <tableStyleElement type="firstColumnSubheading" dxfId="10"/>
      <tableStyleElement type="secondColumnSubheading" dxfId="10"/>
      <tableStyleElement type="thirdColumnSubheading" dxfId="10"/>
      <tableStyleElement type="firstColumn" dxfId="11"/>
      <tableStyleElement type="lastColumn" dxfId="11"/>
      <tableStyleElement type="firstRowSubheading" dxfId="12"/>
      <tableStyleElement type="secondRowSubheading" dxfId="12"/>
      <tableStyleElement type="thirdRowSubheading" dxfId="12"/>
      <tableStyleElement type="firstSubtotalColumn" dxfId="13"/>
      <tableStyleElement type="secondSubtotalColumn" dxfId="13"/>
      <tableStyleElement type="thirdSubtotalColumn" dxfId="13"/>
      <tableStyleElement type="firstSubtotalRow" dxfId="14"/>
      <tableStyleElement type="secondSubtotalRow" dxfId="14"/>
      <tableStyleElement type="thirdSubtotalRow" dxfId="14"/>
      <tableStyleElement type="totalRow" dxfId="15"/>
    </tableStyle>
    <tableStyle name="PivotStyleCustom03">
      <tableStyleElement type="wholeTable" dxfId="16"/>
      <tableStyleElement type="headerRow" dxfId="17"/>
      <tableStyleElement type="firstColumnSubheading" dxfId="18"/>
      <tableStyleElement type="secondColumnSubheading" dxfId="18"/>
      <tableStyleElement type="thirdColumnSubheading" dxfId="18"/>
      <tableStyleElement type="firstColumn" dxfId="19"/>
      <tableStyleElement type="lastColumn" dxfId="19"/>
      <tableStyleElement type="firstRowSubheading" dxfId="20"/>
      <tableStyleElement type="secondRowSubheading" dxfId="20"/>
      <tableStyleElement type="thirdRowSubheading" dxfId="20"/>
      <tableStyleElement type="firstSubtotalColumn" dxfId="21"/>
      <tableStyleElement type="secondSubtotalColumn" dxfId="21"/>
      <tableStyleElement type="thirdSubtotalColumn" dxfId="21"/>
      <tableStyleElement type="firstSubtotalRow" dxfId="22"/>
      <tableStyleElement type="secondSubtotalRow" dxfId="22"/>
      <tableStyleElement type="thirdSubtotalRow" dxfId="22"/>
      <tableStyleElement type="totalRow" dxfId="23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bdc0bf"/>
      <rgbColor rgb="ffdbdbdb"/>
      <rgbColor rgb="ffffffff"/>
      <rgbColor rgb="00000000"/>
      <rgbColor rgb="ff87878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3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[Bike Buyers Data Analysis Project.xlsx]Table 1 Pivot!Bike Purchases by Age Group</c:name>
    <c:fmtId val="0"/>
  </c:pivotSource>
  <c:chart>
    <c:title>
      <c:tx>
        <c:rich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0" i="0" strike="noStrike" sz="1800" u="none">
                <a:solidFill>
                  <a:srgbClr val="000000"/>
                </a:solidFill>
                <a:latin typeface="Calibri"/>
              </a:rPr>
              <a:t>Bike Purchases by Age Group</a:t>
            </a:r>
          </a:p>
        </c:rich>
      </c:tx>
      <c:layout>
        <c:manualLayout>
          <c:xMode val="edge"/>
          <c:yMode val="edge"/>
          <c:x val="0.234274"/>
          <c:y val="0.0634245"/>
          <c:w val="0.531453"/>
          <c:h val="0.126849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13423"/>
          <c:y val="0.190273"/>
          <c:w val="0.881577"/>
          <c:h val="0.7004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'Table 1 Pivot'!$B$2:$B$3</c:f>
              <c:strCache>
                <c:ptCount val="1"/>
                <c:pt idx="0">
                  <c:v>No ID (Count)</c:v>
                </c:pt>
              </c:strCache>
            </c:strRef>
          </c:tx>
          <c:spPr>
            <a:solidFill>
              <a:schemeClr val="accent1"/>
            </a:solidFill>
            <a:ln w="6350" cap="flat">
              <a:solidFill>
                <a:srgbClr val="FFFFFF"/>
              </a:solidFill>
              <a:prstDash val="solid"/>
              <a:miter lim="8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'Table 1 Pivot'!$A$4:$A$6</c:f>
              <c:strCache>
                <c:ptCount val="3"/>
                <c:pt idx="0">
                  <c:v>30-50</c:v>
                </c:pt>
                <c:pt idx="1">
                  <c:v>Over 50</c:v>
                </c:pt>
                <c:pt idx="2">
                  <c:v>UNDER 30</c:v>
                </c:pt>
              </c:strCache>
            </c:strRef>
          </c:cat>
          <c:val>
            <c:numRef>
              <c:f>'Table 1 Pivot'!$B$4:$B$6</c:f>
              <c:numCache>
                <c:ptCount val="3"/>
                <c:pt idx="0">
                  <c:v>305.000000</c:v>
                </c:pt>
                <c:pt idx="1">
                  <c:v>166.000000</c:v>
                </c:pt>
                <c:pt idx="2">
                  <c:v>48.000000</c:v>
                </c:pt>
              </c:numCache>
            </c:numRef>
          </c:val>
        </c:ser>
        <c:ser>
          <c:idx val="1"/>
          <c:order val="1"/>
          <c:tx>
            <c:strRef>
              <c:f>'Table 1 Pivot'!$C$2:$C$3</c:f>
              <c:strCache>
                <c:ptCount val="1"/>
                <c:pt idx="0">
                  <c:v>Yes ID (Count)</c:v>
                </c:pt>
              </c:strCache>
            </c:strRef>
          </c:tx>
          <c:spPr>
            <a:solidFill>
              <a:schemeClr val="accent2"/>
            </a:solidFill>
            <a:ln w="6350" cap="flat">
              <a:solidFill>
                <a:srgbClr val="FFFFFF"/>
              </a:solidFill>
              <a:prstDash val="solid"/>
              <a:miter lim="8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'Table 1 Pivot'!$A$4:$A$6</c:f>
              <c:strCache>
                <c:ptCount val="3"/>
                <c:pt idx="0">
                  <c:v>30-50</c:v>
                </c:pt>
                <c:pt idx="1">
                  <c:v>Over 50</c:v>
                </c:pt>
                <c:pt idx="2">
                  <c:v>UNDER 30</c:v>
                </c:pt>
              </c:strCache>
            </c:strRef>
          </c:cat>
          <c:val>
            <c:numRef>
              <c:f>'Table 1 Pivot'!$C$4:$C$6</c:f>
              <c:numCache>
                <c:ptCount val="3"/>
                <c:pt idx="0">
                  <c:v>336.000000</c:v>
                </c:pt>
                <c:pt idx="1">
                  <c:v>110.000000</c:v>
                </c:pt>
                <c:pt idx="2">
                  <c:v>35.000000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miter lim="800000"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00"/>
        <c:minorUnit val="5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088424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8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miter lim="800000"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[Bike Buyers Data Analysis Project.xlsx]Pivot Table 2!Bike Purchases by Commute Distance</c:name>
    <c:fmtId val="0"/>
  </c:pivotSource>
  <c:chart>
    <c:title>
      <c:tx>
        <c:rich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0" i="0" strike="noStrike" sz="1800" u="none">
                <a:solidFill>
                  <a:srgbClr val="000000"/>
                </a:solidFill>
                <a:latin typeface="Calibri"/>
              </a:rPr>
              <a:t>Bike Purchases by Commute Distance</a:t>
            </a:r>
          </a:p>
        </c:rich>
      </c:tx>
      <c:layout>
        <c:manualLayout>
          <c:xMode val="edge"/>
          <c:yMode val="edge"/>
          <c:x val="0.216059"/>
          <c:y val="0.060876"/>
          <c:w val="0.567882"/>
          <c:h val="0.12175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940609"/>
          <c:y val="0.182628"/>
          <c:w val="0.900939"/>
          <c:h val="0.7120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2'!$B$2:$B$3</c:f>
              <c:strCache>
                <c:ptCount val="1"/>
                <c:pt idx="0">
                  <c:v>No ID (Count)</c:v>
                </c:pt>
              </c:strCache>
            </c:strRef>
          </c:tx>
          <c:spPr>
            <a:solidFill>
              <a:schemeClr val="accent1"/>
            </a:solidFill>
            <a:ln w="6350" cap="flat">
              <a:solidFill>
                <a:srgbClr val="FFFFFF"/>
              </a:solidFill>
              <a:prstDash val="solid"/>
              <a:miter lim="8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 2'!$A$4:$A$8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10+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 2'!$B$4:$B$8</c:f>
              <c:numCache>
                <c:ptCount val="5"/>
                <c:pt idx="0">
                  <c:v>166.000000</c:v>
                </c:pt>
                <c:pt idx="1">
                  <c:v>92.000000</c:v>
                </c:pt>
                <c:pt idx="2">
                  <c:v>78.000000</c:v>
                </c:pt>
                <c:pt idx="3">
                  <c:v>67.000000</c:v>
                </c:pt>
                <c:pt idx="4">
                  <c:v>116.000000</c:v>
                </c:pt>
              </c:numCache>
            </c:numRef>
          </c:val>
        </c:ser>
        <c:ser>
          <c:idx val="1"/>
          <c:order val="1"/>
          <c:tx>
            <c:strRef>
              <c:f>'Pivot Table 2'!$C$2:$C$3</c:f>
              <c:strCache>
                <c:ptCount val="1"/>
                <c:pt idx="0">
                  <c:v>Yes ID (Count)</c:v>
                </c:pt>
              </c:strCache>
            </c:strRef>
          </c:tx>
          <c:spPr>
            <a:solidFill>
              <a:schemeClr val="accent2"/>
            </a:solidFill>
            <a:ln w="6350" cap="flat">
              <a:solidFill>
                <a:srgbClr val="FFFFFF"/>
              </a:solidFill>
              <a:prstDash val="solid"/>
              <a:miter lim="8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 2'!$A$4:$A$8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10+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 2'!$C$4:$C$8</c:f>
              <c:numCache>
                <c:ptCount val="5"/>
                <c:pt idx="0">
                  <c:v>200.000000</c:v>
                </c:pt>
                <c:pt idx="1">
                  <c:v>77.000000</c:v>
                </c:pt>
                <c:pt idx="2">
                  <c:v>33.000000</c:v>
                </c:pt>
                <c:pt idx="3">
                  <c:v>95.000000</c:v>
                </c:pt>
                <c:pt idx="4">
                  <c:v>76.000000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miter lim="800000"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50"/>
        <c:minorUnit val="2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453683"/>
          <c:y val="0"/>
          <c:w val="0.899999"/>
          <c:h val="0.085875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8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miter lim="800000"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[Bike Buyers Data Analysis Project.xlsx]Pivot Table 3!Average Income by Bike Purchase Status</c:name>
    <c:fmtId val="0"/>
  </c:pivotSource>
  <c:chart>
    <c:title>
      <c:tx>
        <c:rich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0" i="0" strike="noStrike" sz="1800" u="none">
                <a:solidFill>
                  <a:srgbClr val="000000"/>
                </a:solidFill>
                <a:latin typeface="Calibri"/>
              </a:rPr>
              <a:t>Average Income by Bike Purchase Status</a:t>
            </a:r>
          </a:p>
        </c:rich>
      </c:tx>
      <c:layout>
        <c:manualLayout>
          <c:xMode val="edge"/>
          <c:yMode val="edge"/>
          <c:x val="0.130706"/>
          <c:y val="0"/>
          <c:w val="0.738589"/>
          <c:h val="0.114739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50049"/>
          <c:y val="0.114739"/>
          <c:w val="0.744951"/>
          <c:h val="0.632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3'!$A$4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1"/>
            </a:solidFill>
            <a:ln w="6350" cap="flat">
              <a:solidFill>
                <a:srgbClr val="FFFFFF"/>
              </a:solidFill>
              <a:prstDash val="solid"/>
              <a:miter lim="800000"/>
            </a:ln>
            <a:effectLst/>
          </c:spPr>
          <c:invertIfNegative val="0"/>
          <c:dPt>
            <c:idx val="0"/>
            <c:spPr>
              <a:solidFill>
                <a:schemeClr val="accent1"/>
              </a:solidFill>
              <a:ln w="6350" cap="flat">
                <a:solidFill>
                  <a:srgbClr val="FFFFFF"/>
                </a:solidFill>
                <a:prstDash val="solid"/>
                <a:miter lim="800000"/>
              </a:ln>
              <a:effectLst/>
            </c:spPr>
          </c:dPt>
          <c:dPt>
            <c:idx val="1"/>
            <c:spPr>
              <a:solidFill>
                <a:schemeClr val="accent2"/>
              </a:solidFill>
              <a:ln w="6350" cap="flat">
                <a:solidFill>
                  <a:srgbClr val="FFFFFF"/>
                </a:solidFill>
                <a:prstDash val="solid"/>
                <a:miter lim="800000"/>
              </a:ln>
              <a:effectLst/>
            </c:spPr>
          </c:dPt>
          <c:dLbls>
            <c:dLbl>
              <c:idx val="0"/>
              <c:numFmt formatCode="#,##0" sourceLinked="1"/>
              <c:txPr>
                <a:bodyPr/>
                <a:lstStyle/>
                <a:p>
                  <a:pPr>
                    <a:defRPr b="0" i="0" strike="noStrike" sz="1800" u="non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numFmt formatCode="#,##0" sourceLinked="1"/>
              <c:txPr>
                <a:bodyPr/>
                <a:lstStyle/>
                <a:p>
                  <a:pPr>
                    <a:defRPr b="0" i="0" strike="noStrike" sz="1800" u="non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 3'!$B$3:$C$3</c:f>
              <c:strCache>
                <c:ptCount val="2"/>
                <c:pt idx="0">
                  <c:v>No Income (Average)</c:v>
                </c:pt>
                <c:pt idx="0">
                  <c:v>Yes Income (Average)</c:v>
                </c:pt>
              </c:strCache>
            </c:strRef>
          </c:cat>
          <c:val>
            <c:numRef>
              <c:f>'Pivot Table 3'!$B$4:$C$4</c:f>
              <c:numCache>
                <c:ptCount val="2"/>
                <c:pt idx="0">
                  <c:v>54874.759152</c:v>
                </c:pt>
                <c:pt idx="1">
                  <c:v>57962.577963</c:v>
                </c:pt>
              </c:numCache>
            </c:numRef>
          </c:val>
        </c:ser>
        <c:gapWidth val="0"/>
        <c:overlap val="-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  <c:min val="0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miter lim="800000"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4500"/>
        <c:minorUnit val="725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"/>
          <c:y val="0.872761"/>
          <c:w val="0.9"/>
          <c:h val="0.12723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8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miter lim="800000"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[Bike Buyers Data Analysis Project.xlsx]Table 1 Pivot!Bike Purchases by Age Group</c:name>
    <c:fmtId val="0"/>
  </c:pivotSource>
  <c:chart>
    <c:title>
      <c:tx>
        <c:rich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0" i="0" strike="noStrike" sz="1800" u="none">
                <a:solidFill>
                  <a:srgbClr val="000000"/>
                </a:solidFill>
                <a:latin typeface="Calibri"/>
              </a:rPr>
              <a:t>Bike Purchases by Age Group</a:t>
            </a:r>
          </a:p>
        </c:rich>
      </c:tx>
      <c:layout>
        <c:manualLayout>
          <c:xMode val="edge"/>
          <c:yMode val="edge"/>
          <c:x val="0.234274"/>
          <c:y val="0.0634245"/>
          <c:w val="0.531453"/>
          <c:h val="0.126849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13423"/>
          <c:y val="0.190273"/>
          <c:w val="0.881577"/>
          <c:h val="0.7004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'Table 1 Pivot'!$B$2:$B$3</c:f>
              <c:strCache>
                <c:ptCount val="1"/>
                <c:pt idx="0">
                  <c:v>No ID (Count)</c:v>
                </c:pt>
              </c:strCache>
            </c:strRef>
          </c:tx>
          <c:spPr>
            <a:solidFill>
              <a:schemeClr val="accent1"/>
            </a:solidFill>
            <a:ln w="6350" cap="flat">
              <a:solidFill>
                <a:srgbClr val="FFFFFF"/>
              </a:solidFill>
              <a:prstDash val="solid"/>
              <a:miter lim="8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'Table 1 Pivot'!$A$4:$A$6</c:f>
              <c:strCache>
                <c:ptCount val="3"/>
                <c:pt idx="0">
                  <c:v>30-50</c:v>
                </c:pt>
                <c:pt idx="1">
                  <c:v>Over 50</c:v>
                </c:pt>
                <c:pt idx="2">
                  <c:v>UNDER 30</c:v>
                </c:pt>
              </c:strCache>
            </c:strRef>
          </c:cat>
          <c:val>
            <c:numRef>
              <c:f>'Table 1 Pivot'!$B$4:$B$6</c:f>
              <c:numCache>
                <c:ptCount val="3"/>
                <c:pt idx="0">
                  <c:v>305.000000</c:v>
                </c:pt>
                <c:pt idx="1">
                  <c:v>166.000000</c:v>
                </c:pt>
                <c:pt idx="2">
                  <c:v>48.000000</c:v>
                </c:pt>
              </c:numCache>
            </c:numRef>
          </c:val>
        </c:ser>
        <c:ser>
          <c:idx val="1"/>
          <c:order val="1"/>
          <c:tx>
            <c:strRef>
              <c:f>'Table 1 Pivot'!$C$2:$C$3</c:f>
              <c:strCache>
                <c:ptCount val="1"/>
                <c:pt idx="0">
                  <c:v>Yes ID (Count)</c:v>
                </c:pt>
              </c:strCache>
            </c:strRef>
          </c:tx>
          <c:spPr>
            <a:solidFill>
              <a:schemeClr val="accent2"/>
            </a:solidFill>
            <a:ln w="6350" cap="flat">
              <a:solidFill>
                <a:srgbClr val="FFFFFF"/>
              </a:solidFill>
              <a:prstDash val="solid"/>
              <a:miter lim="8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'Table 1 Pivot'!$A$4:$A$6</c:f>
              <c:strCache>
                <c:ptCount val="3"/>
                <c:pt idx="0">
                  <c:v>30-50</c:v>
                </c:pt>
                <c:pt idx="1">
                  <c:v>Over 50</c:v>
                </c:pt>
                <c:pt idx="2">
                  <c:v>UNDER 30</c:v>
                </c:pt>
              </c:strCache>
            </c:strRef>
          </c:cat>
          <c:val>
            <c:numRef>
              <c:f>'Table 1 Pivot'!$C$4:$C$6</c:f>
              <c:numCache>
                <c:ptCount val="3"/>
                <c:pt idx="0">
                  <c:v>336.000000</c:v>
                </c:pt>
                <c:pt idx="1">
                  <c:v>110.000000</c:v>
                </c:pt>
                <c:pt idx="2">
                  <c:v>35.000000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miter lim="800000"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00"/>
        <c:minorUnit val="5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088424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8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miter lim="800000"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[Bike Buyers Data Analysis Project.xlsx]Pivot Table 2!Bike Purchases by Commute Distance</c:name>
    <c:fmtId val="0"/>
  </c:pivotSource>
  <c:chart>
    <c:title>
      <c:tx>
        <c:rich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0" i="0" strike="noStrike" sz="1800" u="none">
                <a:solidFill>
                  <a:srgbClr val="000000"/>
                </a:solidFill>
                <a:latin typeface="Calibri"/>
              </a:rPr>
              <a:t>Bike Purchases by Commute Distance</a:t>
            </a:r>
          </a:p>
        </c:rich>
      </c:tx>
      <c:layout>
        <c:manualLayout>
          <c:xMode val="edge"/>
          <c:yMode val="edge"/>
          <c:x val="0.244542"/>
          <c:y val="0.0611167"/>
          <c:w val="0.510915"/>
          <c:h val="0.122233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46252"/>
          <c:y val="0.18335"/>
          <c:w val="0.910375"/>
          <c:h val="0.7109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2'!$B$2:$B$3</c:f>
              <c:strCache>
                <c:ptCount val="1"/>
                <c:pt idx="0">
                  <c:v>No ID (Count)</c:v>
                </c:pt>
              </c:strCache>
            </c:strRef>
          </c:tx>
          <c:spPr>
            <a:solidFill>
              <a:schemeClr val="accent1"/>
            </a:solidFill>
            <a:ln w="6350" cap="flat">
              <a:solidFill>
                <a:srgbClr val="FFFFFF"/>
              </a:solidFill>
              <a:prstDash val="solid"/>
              <a:miter lim="8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 2'!$A$4:$A$8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10+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 2'!$B$4:$B$8</c:f>
              <c:numCache>
                <c:ptCount val="5"/>
                <c:pt idx="0">
                  <c:v>166.000000</c:v>
                </c:pt>
                <c:pt idx="1">
                  <c:v>92.000000</c:v>
                </c:pt>
                <c:pt idx="2">
                  <c:v>78.000000</c:v>
                </c:pt>
                <c:pt idx="3">
                  <c:v>67.000000</c:v>
                </c:pt>
                <c:pt idx="4">
                  <c:v>116.000000</c:v>
                </c:pt>
              </c:numCache>
            </c:numRef>
          </c:val>
        </c:ser>
        <c:ser>
          <c:idx val="1"/>
          <c:order val="1"/>
          <c:tx>
            <c:strRef>
              <c:f>'Pivot Table 2'!$C$2:$C$3</c:f>
              <c:strCache>
                <c:ptCount val="1"/>
                <c:pt idx="0">
                  <c:v>Yes ID (Count)</c:v>
                </c:pt>
              </c:strCache>
            </c:strRef>
          </c:tx>
          <c:spPr>
            <a:solidFill>
              <a:schemeClr val="accent2"/>
            </a:solidFill>
            <a:ln w="6350" cap="flat">
              <a:solidFill>
                <a:srgbClr val="FFFFFF"/>
              </a:solidFill>
              <a:prstDash val="solid"/>
              <a:miter lim="8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 2'!$A$4:$A$8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10+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 2'!$C$4:$C$8</c:f>
              <c:numCache>
                <c:ptCount val="5"/>
                <c:pt idx="0">
                  <c:v>200.000000</c:v>
                </c:pt>
                <c:pt idx="1">
                  <c:v>77.000000</c:v>
                </c:pt>
                <c:pt idx="2">
                  <c:v>33.000000</c:v>
                </c:pt>
                <c:pt idx="3">
                  <c:v>95.000000</c:v>
                </c:pt>
                <c:pt idx="4">
                  <c:v>76.000000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miter lim="800000"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50"/>
        <c:minorUnit val="2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453681"/>
          <c:y val="0"/>
          <c:w val="0.899999"/>
          <c:h val="0.08611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8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miter lim="800000"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[Bike Buyers Data Analysis Project.xlsx]Pivot Table 3!Average Income by Bike Purchase Status</c:name>
    <c:fmtId val="0"/>
  </c:pivotSource>
  <c:chart>
    <c:title>
      <c:tx>
        <c:rich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0" i="0" strike="noStrike" sz="1800" u="none">
                <a:solidFill>
                  <a:srgbClr val="000000"/>
                </a:solidFill>
                <a:latin typeface="Calibri"/>
              </a:rPr>
              <a:t>Average Income by Bike Purchase Status</a:t>
            </a:r>
          </a:p>
        </c:rich>
      </c:tx>
      <c:layout>
        <c:manualLayout>
          <c:xMode val="edge"/>
          <c:yMode val="edge"/>
          <c:x val="0.209873"/>
          <c:y val="0"/>
          <c:w val="0.580254"/>
          <c:h val="0.10383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96445"/>
          <c:y val="0.103832"/>
          <c:w val="0.798555"/>
          <c:h val="0.7180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3'!$A$4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1"/>
            </a:solidFill>
            <a:ln w="6350" cap="flat">
              <a:solidFill>
                <a:srgbClr val="FFFFFF"/>
              </a:solidFill>
              <a:prstDash val="solid"/>
              <a:miter lim="800000"/>
            </a:ln>
            <a:effectLst/>
          </c:spPr>
          <c:invertIfNegative val="0"/>
          <c:dPt>
            <c:idx val="0"/>
            <c:spPr>
              <a:solidFill>
                <a:schemeClr val="accent1"/>
              </a:solidFill>
              <a:ln w="6350" cap="flat">
                <a:solidFill>
                  <a:srgbClr val="FFFFFF"/>
                </a:solidFill>
                <a:prstDash val="solid"/>
                <a:miter lim="800000"/>
              </a:ln>
              <a:effectLst/>
            </c:spPr>
          </c:dPt>
          <c:dPt>
            <c:idx val="1"/>
            <c:spPr>
              <a:solidFill>
                <a:schemeClr val="accent2"/>
              </a:solidFill>
              <a:ln w="6350" cap="flat">
                <a:solidFill>
                  <a:srgbClr val="FFFFFF"/>
                </a:solidFill>
                <a:prstDash val="solid"/>
                <a:miter lim="800000"/>
              </a:ln>
              <a:effectLst/>
            </c:spPr>
          </c:dPt>
          <c:dLbls>
            <c:dLbl>
              <c:idx val="0"/>
              <c:numFmt formatCode="#,##0" sourceLinked="1"/>
              <c:txPr>
                <a:bodyPr/>
                <a:lstStyle/>
                <a:p>
                  <a:pPr>
                    <a:defRPr b="0" i="0" strike="noStrike" sz="1800" u="non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numFmt formatCode="#,##0" sourceLinked="1"/>
              <c:txPr>
                <a:bodyPr/>
                <a:lstStyle/>
                <a:p>
                  <a:pPr>
                    <a:defRPr b="0" i="0" strike="noStrike" sz="1800" u="non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</c:dLbl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 3'!$B$3:$C$3</c:f>
              <c:strCache>
                <c:ptCount val="2"/>
                <c:pt idx="0">
                  <c:v>No Income (Average)</c:v>
                </c:pt>
                <c:pt idx="0">
                  <c:v>Yes Income (Average)</c:v>
                </c:pt>
              </c:strCache>
            </c:strRef>
          </c:cat>
          <c:val>
            <c:numRef>
              <c:f>'Pivot Table 3'!$B$4:$C$4</c:f>
              <c:numCache>
                <c:ptCount val="2"/>
                <c:pt idx="0">
                  <c:v>54874.759152</c:v>
                </c:pt>
                <c:pt idx="1">
                  <c:v>57962.577963</c:v>
                </c:pt>
              </c:numCache>
            </c:numRef>
          </c:val>
        </c:ser>
        <c:gapWidth val="0"/>
        <c:overlap val="-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&quot;$&quot;#,##0.00" sourceLinked="1"/>
        <c:majorTickMark val="out"/>
        <c:minorTickMark val="none"/>
        <c:tickLblPos val="low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  <c:min val="0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miter lim="800000"/>
            </a:ln>
          </c:spPr>
        </c:majorGridlines>
        <c:numFmt formatCode="&quot;$&quot;#,##0.00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miter lim="800000"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4500"/>
        <c:minorUnit val="725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"/>
          <c:y val="0.935584"/>
          <c:w val="0.9"/>
          <c:h val="0.064416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8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miter lim="800000"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10</xdr:row>
      <xdr:rowOff>55671</xdr:rowOff>
    </xdr:from>
    <xdr:to>
      <xdr:col>5</xdr:col>
      <xdr:colOff>0</xdr:colOff>
      <xdr:row>29</xdr:row>
      <xdr:rowOff>149651</xdr:rowOff>
    </xdr:to>
    <xdr:graphicFrame>
      <xdr:nvGraphicFramePr>
        <xdr:cNvPr id="2" name="2D Column Chart"/>
        <xdr:cNvGraphicFramePr/>
      </xdr:nvGraphicFramePr>
      <xdr:xfrm>
        <a:off x="0" y="1885106"/>
        <a:ext cx="5080000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12</xdr:row>
      <xdr:rowOff>56237</xdr:rowOff>
    </xdr:from>
    <xdr:to>
      <xdr:col>5</xdr:col>
      <xdr:colOff>880591</xdr:colOff>
      <xdr:row>32</xdr:row>
      <xdr:rowOff>114141</xdr:rowOff>
    </xdr:to>
    <xdr:graphicFrame>
      <xdr:nvGraphicFramePr>
        <xdr:cNvPr id="4" name="2D Column Chart"/>
        <xdr:cNvGraphicFramePr/>
      </xdr:nvGraphicFramePr>
      <xdr:xfrm>
        <a:off x="0" y="2229842"/>
        <a:ext cx="6125692" cy="3969505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7</xdr:row>
      <xdr:rowOff>124102</xdr:rowOff>
    </xdr:from>
    <xdr:to>
      <xdr:col>4</xdr:col>
      <xdr:colOff>825500</xdr:colOff>
      <xdr:row>29</xdr:row>
      <xdr:rowOff>33446</xdr:rowOff>
    </xdr:to>
    <xdr:graphicFrame>
      <xdr:nvGraphicFramePr>
        <xdr:cNvPr id="6" name="2D Column Chart"/>
        <xdr:cNvGraphicFramePr/>
      </xdr:nvGraphicFramePr>
      <xdr:xfrm>
        <a:off x="-69543" y="1424582"/>
        <a:ext cx="5080001" cy="4212105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604726</xdr:colOff>
      <xdr:row>8</xdr:row>
      <xdr:rowOff>33181</xdr:rowOff>
    </xdr:from>
    <xdr:to>
      <xdr:col>8</xdr:col>
      <xdr:colOff>350725</xdr:colOff>
      <xdr:row>31</xdr:row>
      <xdr:rowOff>45881</xdr:rowOff>
    </xdr:to>
    <xdr:graphicFrame>
      <xdr:nvGraphicFramePr>
        <xdr:cNvPr id="8" name="2D Column Chart"/>
        <xdr:cNvGraphicFramePr/>
      </xdr:nvGraphicFramePr>
      <xdr:xfrm>
        <a:off x="1366725" y="1353981"/>
        <a:ext cx="5080001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18</xdr:col>
      <xdr:colOff>253131</xdr:colOff>
      <xdr:row>7</xdr:row>
      <xdr:rowOff>77457</xdr:rowOff>
    </xdr:from>
    <xdr:to>
      <xdr:col>27</xdr:col>
      <xdr:colOff>203839</xdr:colOff>
      <xdr:row>31</xdr:row>
      <xdr:rowOff>68924</xdr:rowOff>
    </xdr:to>
    <xdr:graphicFrame>
      <xdr:nvGraphicFramePr>
        <xdr:cNvPr id="9" name="2D Column Chart"/>
        <xdr:cNvGraphicFramePr/>
      </xdr:nvGraphicFramePr>
      <xdr:xfrm>
        <a:off x="13969131" y="1233157"/>
        <a:ext cx="6808709" cy="395386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9</xdr:col>
      <xdr:colOff>644946</xdr:colOff>
      <xdr:row>38</xdr:row>
      <xdr:rowOff>31370</xdr:rowOff>
    </xdr:from>
    <xdr:to>
      <xdr:col>18</xdr:col>
      <xdr:colOff>253131</xdr:colOff>
      <xdr:row>66</xdr:row>
      <xdr:rowOff>63140</xdr:rowOff>
    </xdr:to>
    <xdr:graphicFrame>
      <xdr:nvGraphicFramePr>
        <xdr:cNvPr id="10" name="2D Column Chart"/>
        <xdr:cNvGraphicFramePr/>
      </xdr:nvGraphicFramePr>
      <xdr:xfrm>
        <a:off x="7502946" y="6305170"/>
        <a:ext cx="6466186" cy="465457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11</xdr:col>
      <xdr:colOff>631197</xdr:colOff>
      <xdr:row>0</xdr:row>
      <xdr:rowOff>0</xdr:rowOff>
    </xdr:from>
    <xdr:to>
      <xdr:col>16</xdr:col>
      <xdr:colOff>314713</xdr:colOff>
      <xdr:row>6</xdr:row>
      <xdr:rowOff>126738</xdr:rowOff>
    </xdr:to>
    <xdr:sp>
      <xdr:nvSpPr>
        <xdr:cNvPr id="11" name="Bike Buyers Dashboard"/>
        <xdr:cNvSpPr txBox="1"/>
      </xdr:nvSpPr>
      <xdr:spPr>
        <a:xfrm>
          <a:off x="9013197" y="-119198"/>
          <a:ext cx="3493517" cy="111733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9" tIns="45719" rIns="45719" bIns="45719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Bike Buyers Dashboard</a:t>
          </a:r>
          <a:endParaRPr b="1" baseline="0" cap="none" i="0" spc="-24" strike="noStrike" sz="24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12</xdr:col>
      <xdr:colOff>257268</xdr:colOff>
      <xdr:row>3</xdr:row>
      <xdr:rowOff>78083</xdr:rowOff>
    </xdr:from>
    <xdr:to>
      <xdr:col>14</xdr:col>
      <xdr:colOff>739741</xdr:colOff>
      <xdr:row>8</xdr:row>
      <xdr:rowOff>96663</xdr:rowOff>
    </xdr:to>
    <xdr:sp>
      <xdr:nvSpPr>
        <xdr:cNvPr id="12" name="Total customers :1000…"/>
        <xdr:cNvSpPr txBox="1"/>
      </xdr:nvSpPr>
      <xdr:spPr>
        <a:xfrm>
          <a:off x="9401268" y="573383"/>
          <a:ext cx="2006474" cy="84408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9" tIns="45719" rIns="45719" bIns="45719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Total customers :1000</a:t>
          </a:r>
          <a:endParaRPr b="1" baseline="0" cap="none" i="0" spc="0" strike="noStrike" sz="14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Bike Buyers: 481</a:t>
          </a:r>
          <a:endParaRPr b="1" baseline="0" cap="none" i="0" spc="0" strike="noStrike" sz="14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Purchase Rate: 48.1%</a:t>
          </a:r>
        </a:p>
      </xdr:txBody>
    </xdr:sp>
    <xdr:clientData/>
  </xdr:twoCellAnchor>
  <xdr:twoCellAnchor>
    <xdr:from>
      <xdr:col>9</xdr:col>
      <xdr:colOff>44646</xdr:colOff>
      <xdr:row>75</xdr:row>
      <xdr:rowOff>66054</xdr:rowOff>
    </xdr:from>
    <xdr:to>
      <xdr:col>20</xdr:col>
      <xdr:colOff>599680</xdr:colOff>
      <xdr:row>84</xdr:row>
      <xdr:rowOff>16562</xdr:rowOff>
    </xdr:to>
    <xdr:sp>
      <xdr:nvSpPr>
        <xdr:cNvPr id="13" name="Key Insights:…"/>
        <xdr:cNvSpPr txBox="1"/>
      </xdr:nvSpPr>
      <xdr:spPr>
        <a:xfrm>
          <a:off x="6902646" y="12448554"/>
          <a:ext cx="8937035" cy="143640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spAutoFit/>
        </a:bodyPr>
        <a:lstStyle/>
        <a:p>
          <a:pPr marL="240631" marR="0" indent="-240631" algn="just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2000" u="none">
              <a:solidFill>
                <a:srgbClr val="000000"/>
              </a:solidFill>
              <a:uFillTx/>
              <a:latin typeface="Times New Roman"/>
              <a:ea typeface="Times New Roman"/>
              <a:cs typeface="Times New Roman"/>
              <a:sym typeface="Times New Roman"/>
            </a:defRPr>
          </a:pPr>
          <a:r>
            <a:rPr b="0" baseline="0" cap="none" i="0" spc="0" strike="noStrike" sz="2000" u="none">
              <a:solidFill>
                <a:srgbClr val="000000"/>
              </a:solidFill>
              <a:uFillTx/>
              <a:latin typeface="Times New Roman"/>
              <a:ea typeface="Times New Roman"/>
              <a:cs typeface="Times New Roman"/>
              <a:sym typeface="Times New Roman"/>
            </a:rPr>
            <a:t>Key Insights: </a:t>
          </a:r>
          <a:endParaRPr b="0" baseline="0" cap="none" i="0" spc="0" strike="noStrike" sz="2000" u="none">
            <a:solidFill>
              <a:srgbClr val="000000"/>
            </a:solidFill>
            <a:uFillTx/>
            <a:latin typeface="Times New Roman"/>
            <a:ea typeface="Times New Roman"/>
            <a:cs typeface="Times New Roman"/>
            <a:sym typeface="Times New Roman"/>
          </a:endParaRPr>
        </a:p>
        <a:p>
          <a:pPr marL="240631" marR="0" indent="-240631" algn="just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2000" u="none">
              <a:solidFill>
                <a:srgbClr val="000000"/>
              </a:solidFill>
              <a:uFillTx/>
              <a:latin typeface="Times New Roman"/>
              <a:ea typeface="Times New Roman"/>
              <a:cs typeface="Times New Roman"/>
              <a:sym typeface="Times New Roman"/>
            </a:defRPr>
          </a:pPr>
          <a:r>
            <a:rPr b="0" baseline="0" cap="none" i="0" spc="0" strike="noStrike" sz="2000" u="none">
              <a:solidFill>
                <a:srgbClr val="000000"/>
              </a:solidFill>
              <a:uFillTx/>
              <a:latin typeface="Times New Roman"/>
              <a:ea typeface="Times New Roman"/>
              <a:cs typeface="Times New Roman"/>
              <a:sym typeface="Times New Roman"/>
            </a:rPr>
            <a:t>Ages  30-50 had the highest purchase rate : 52.4%</a:t>
          </a:r>
          <a:endParaRPr b="0" baseline="0" cap="none" i="0" spc="0" strike="noStrike" sz="2000" u="none">
            <a:solidFill>
              <a:srgbClr val="000000"/>
            </a:solidFill>
            <a:uFillTx/>
            <a:latin typeface="Times New Roman"/>
            <a:ea typeface="Times New Roman"/>
            <a:cs typeface="Times New Roman"/>
            <a:sym typeface="Times New Roman"/>
          </a:endParaRPr>
        </a:p>
        <a:p>
          <a:pPr marL="240631" marR="0" indent="-240631" algn="just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2000" u="none">
              <a:solidFill>
                <a:srgbClr val="000000"/>
              </a:solidFill>
              <a:uFillTx/>
              <a:latin typeface="Times New Roman"/>
              <a:ea typeface="Times New Roman"/>
              <a:cs typeface="Times New Roman"/>
              <a:sym typeface="Times New Roman"/>
            </a:defRPr>
          </a:pPr>
          <a:r>
            <a:rPr b="0" baseline="0" cap="none" i="0" spc="0" strike="noStrike" sz="2000" u="none">
              <a:solidFill>
                <a:srgbClr val="000000"/>
              </a:solidFill>
              <a:uFillTx/>
              <a:latin typeface="Times New Roman"/>
              <a:ea typeface="Times New Roman"/>
              <a:cs typeface="Times New Roman"/>
              <a:sym typeface="Times New Roman"/>
            </a:rPr>
            <a:t>Customers commuting 2-5 miles had the highest purchase rate: 58.6%</a:t>
          </a:r>
          <a:endParaRPr b="0" baseline="0" cap="none" i="0" spc="0" strike="noStrike" sz="2000" u="none">
            <a:solidFill>
              <a:srgbClr val="000000"/>
            </a:solidFill>
            <a:uFillTx/>
            <a:latin typeface="Times New Roman"/>
            <a:ea typeface="Times New Roman"/>
            <a:cs typeface="Times New Roman"/>
            <a:sym typeface="Times New Roman"/>
          </a:endParaRPr>
        </a:p>
        <a:p>
          <a:pPr marL="240631" marR="0" indent="-240631" algn="just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Char char="•"/>
            <a:defRPr b="0" baseline="0" cap="none" i="0" spc="0" strike="noStrike" sz="2000" u="none">
              <a:solidFill>
                <a:srgbClr val="000000"/>
              </a:solidFill>
              <a:uFillTx/>
              <a:latin typeface="Times New Roman"/>
              <a:ea typeface="Times New Roman"/>
              <a:cs typeface="Times New Roman"/>
              <a:sym typeface="Times New Roman"/>
            </a:defRPr>
          </a:pPr>
          <a:r>
            <a:rPr b="0" baseline="0" cap="none" i="0" spc="0" strike="noStrike" sz="2000" u="none">
              <a:solidFill>
                <a:srgbClr val="000000"/>
              </a:solidFill>
              <a:uFillTx/>
              <a:latin typeface="Times New Roman"/>
              <a:ea typeface="Times New Roman"/>
              <a:cs typeface="Times New Roman"/>
              <a:sym typeface="Times New Roman"/>
            </a:rPr>
            <a:t>Bike buyers had a higher average income ($57,963) than non-buyers ($54,875)</a:t>
          </a:r>
        </a:p>
      </xdr:txBody>
    </xdr:sp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</Relationships>
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1:U1001" sheet="Working Sheet"/>
  </cacheSource>
  <cacheFields count="21">
    <cacheField name="ID" numFmtId="0">
      <sharedItems containsSemiMixedTypes="0" containsNonDate="0" containsString="0" containsNumber="1" containsInteger="1" minValue="11000" maxValue="29447" count="1000">
        <n v="17185"/>
        <n v="11434"/>
        <n v="16009"/>
        <n v="27974"/>
        <n v="16675"/>
        <n v="14191"/>
        <n v="12705"/>
        <n v="11292"/>
        <n v="15922"/>
        <n v="23608"/>
        <n v="12678"/>
        <n v="29191"/>
        <n v="13176"/>
        <n v="18935"/>
        <n v="14443"/>
        <n v="11269"/>
        <n v="24398"/>
        <n v="11270"/>
        <n v="20339"/>
        <n v="23027"/>
        <n v="13453"/>
        <n v="22088"/>
        <n v="16867"/>
        <n v="28269"/>
        <n v="14278"/>
        <n v="15758"/>
        <n v="13082"/>
        <n v="12133"/>
        <n v="11249"/>
        <n v="18140"/>
        <n v="18160"/>
        <n v="17191"/>
        <n v="22821"/>
        <n v="24857"/>
        <n v="19066"/>
        <n v="18172"/>
        <n v="28918"/>
        <n v="12664"/>
        <n v="17203"/>
        <n v="20567"/>
        <n v="12205"/>
        <n v="15412"/>
        <n v="21560"/>
        <n v="28957"/>
        <n v="14238"/>
        <n v="16917"/>
        <n v="15194"/>
        <n v="19280"/>
        <n v="24397"/>
        <n v="29237"/>
        <n v="13313"/>
        <n v="13089"/>
        <n v="13314"/>
        <n v="17522"/>
        <n v="15926"/>
        <n v="26385"/>
        <n v="19057"/>
        <n v="22830"/>
        <n v="16651"/>
        <n v="12056"/>
        <n v="21557"/>
        <n v="24901"/>
        <n v="21891"/>
        <n v="29048"/>
        <n v="22719"/>
        <n v="26065"/>
        <n v="13287"/>
        <n v="29243"/>
        <n v="15382"/>
        <n v="13296"/>
        <n v="25184"/>
        <n v="15982"/>
        <n v="27304"/>
        <n v="18494"/>
        <n v="22204"/>
        <n v="25792"/>
        <n v="21568"/>
        <n v="20625"/>
        <n v="14233"/>
        <n v="11896"/>
        <n v="19664"/>
        <n v="15214"/>
        <n v="18952"/>
        <n v="18283"/>
        <n v="15940"/>
        <n v="20228"/>
        <n v="11259"/>
        <n v="18517"/>
        <n v="27637"/>
        <n v="27638"/>
        <n v="14469"/>
        <n v="23491"/>
        <n v="17324"/>
        <n v="24305"/>
        <n v="25058"/>
        <n v="13133"/>
        <n v="29120"/>
        <n v="29117"/>
        <n v="14193"/>
        <n v="23627"/>
        <n v="18153"/>
        <n v="20598"/>
        <n v="14507"/>
        <n v="13415"/>
        <n v="22931"/>
        <n v="21561"/>
        <n v="24611"/>
        <n v="27585"/>
        <n v="12697"/>
        <n v="17048"/>
        <n v="27582"/>
        <n v="26944"/>
        <n v="26654"/>
        <n v="22930"/>
        <n v="19661"/>
        <n v="22050"/>
        <n v="23461"/>
        <n v="11000"/>
        <n v="17260"/>
        <n v="23479"/>
        <n v="20343"/>
        <n v="11303"/>
        <n v="24416"/>
        <n v="18294"/>
        <n v="15799"/>
        <n v="21940"/>
        <n v="25241"/>
        <n v="26757"/>
        <n v="11090"/>
        <n v="22864"/>
        <n v="16871"/>
        <n v="24842"/>
        <n v="14189"/>
        <n v="24871"/>
        <n v="14192"/>
        <n v="26415"/>
        <n v="12332"/>
        <n v="12663"/>
        <n v="17197"/>
        <n v="11415"/>
        <n v="12291"/>
        <n v="13343"/>
        <n v="16007"/>
        <n v="14432"/>
        <n v="27969"/>
        <n v="17230"/>
        <n v="12344"/>
        <n v="16614"/>
        <n v="24898"/>
        <n v="17238"/>
        <n v="21554"/>
        <n v="11453"/>
        <n v="22994"/>
        <n v="23586"/>
        <n v="21266"/>
        <n v="21564"/>
        <n v="20619"/>
        <n v="14602"/>
        <n v="14669"/>
        <n v="28068"/>
        <n v="28207"/>
        <n v="26651"/>
        <n v="23882"/>
        <n v="28066"/>
        <n v="16179"/>
        <n v="22046"/>
        <n v="18783"/>
        <n v="24369"/>
        <n v="13961"/>
        <n v="18253"/>
        <n v="28580"/>
        <n v="18594"/>
        <n v="24093"/>
        <n v="27198"/>
        <n v="19608"/>
        <n v="29301"/>
        <n v="23426"/>
        <n v="28858"/>
        <n v="13122"/>
        <n v="13907"/>
        <n v="13911"/>
        <n v="19143"/>
        <n v="11262"/>
        <n v="25293"/>
        <n v="19660"/>
        <n v="29231"/>
        <n v="18391"/>
        <n v="18390"/>
        <n v="17450"/>
        <n v="13466"/>
        <n v="16245"/>
        <n v="16377"/>
        <n v="21714"/>
        <n v="13749"/>
        <n v="14657"/>
        <n v="18740"/>
        <n v="21713"/>
        <n v="13754"/>
        <n v="18674"/>
        <n v="24357"/>
        <n v="26012"/>
        <n v="26678"/>
        <n v="13283"/>
        <n v="19784"/>
        <n v="28228"/>
        <n v="15372"/>
        <n v="15752"/>
        <n v="18484"/>
        <n v="22918"/>
        <n v="23455"/>
        <n v="29255"/>
        <n v="17504"/>
        <n v="18423"/>
        <n v="13585"/>
        <n v="27941"/>
        <n v="13586"/>
        <n v="28906"/>
        <n v="27951"/>
        <n v="26412"/>
        <n v="19012"/>
        <n v="28915"/>
        <n v="18151"/>
        <n v="14177"/>
        <n v="18144"/>
        <n v="15682"/>
        <n v="18145"/>
        <n v="19914"/>
        <n v="13337"/>
        <n v="15740"/>
        <n v="19741"/>
        <n v="12207"/>
        <n v="17471"/>
        <n v="19731"/>
        <n v="27660"/>
        <n v="11275"/>
        <n v="25943"/>
        <n v="13620"/>
        <n v="11451"/>
        <n v="20606"/>
        <n v="18560"/>
        <n v="22042"/>
        <n v="11788"/>
        <n v="15302"/>
        <n v="16753"/>
        <n v="11807"/>
        <n v="13886"/>
        <n v="14572"/>
        <n v="27074"/>
        <n v="11817"/>
        <n v="13873"/>
        <n v="20659"/>
        <n v="27273"/>
        <n v="28672"/>
        <n v="11663"/>
        <n v="15501"/>
        <n v="26327"/>
        <n v="26341"/>
        <n v="22294"/>
        <n v="27540"/>
        <n v="18613"/>
        <n v="23432"/>
        <n v="28667"/>
        <n v="11669"/>
        <n v="14682"/>
        <n v="19164"/>
        <n v="27279"/>
        <n v="22296"/>
        <n v="25405"/>
        <n v="21184"/>
        <n v="11823"/>
        <n v="18711"/>
        <n v="23419"/>
        <n v="26032"/>
        <n v="26150"/>
        <n v="14058"/>
        <n v="21213"/>
        <n v="24381"/>
        <n v="25074"/>
        <n v="14063"/>
        <n v="17319"/>
        <n v="21974"/>
        <n v="19163"/>
        <n v="17000"/>
        <n v="11116"/>
        <n v="25983"/>
        <n v="16112"/>
        <n v="28323"/>
        <n v="17546"/>
        <n v="12957"/>
        <n v="18299"/>
        <n v="12964"/>
        <n v="19618"/>
        <n v="23376"/>
        <n v="23378"/>
        <n v="27643"/>
        <n v="26765"/>
        <n v="11287"/>
        <n v="19626"/>
        <n v="22005"/>
        <n v="28192"/>
        <n v="16145"/>
        <n v="16144"/>
        <n v="22006"/>
        <n v="11890"/>
        <n v="16154"/>
        <n v="19543"/>
        <n v="25065"/>
        <n v="12153"/>
        <n v="18491"/>
        <n v="19812"/>
        <n v="18504"/>
        <n v="26693"/>
        <n v="21741"/>
        <n v="23041"/>
        <n v="14032"/>
        <n v="27650"/>
        <n v="12195"/>
        <n v="20376"/>
        <n v="11061"/>
        <n v="20370"/>
        <n v="20430"/>
        <n v="24433"/>
        <n v="17458"/>
        <n v="25898"/>
        <n v="25899"/>
        <n v="14493"/>
        <n v="22118"/>
        <n v="11233"/>
        <n v="17462"/>
        <n v="28056"/>
        <n v="26728"/>
        <n v="19889"/>
        <n v="29030"/>
        <n v="21801"/>
        <n v="13390"/>
        <n v="20535"/>
        <n v="27434"/>
        <n v="13382"/>
        <n v="20518"/>
        <n v="25872"/>
        <n v="11200"/>
        <n v="11199"/>
        <n v="15319"/>
        <n v="16795"/>
        <n v="20514"/>
        <n v="23712"/>
        <n v="28031"/>
        <n v="21471"/>
        <n v="26490"/>
        <n v="18069"/>
        <n v="18066"/>
        <n v="23707"/>
        <n v="15749"/>
        <n v="15879"/>
        <n v="13351"/>
        <n v="22730"/>
        <n v="18435"/>
        <n v="11255"/>
        <n v="18949"/>
        <n v="25908"/>
        <n v="25909"/>
        <n v="20310"/>
        <n v="20414"/>
        <n v="16337"/>
        <n v="11941"/>
        <n v="19758"/>
        <n v="13073"/>
        <n v="11699"/>
        <n v="29112"/>
        <n v="26576"/>
        <n v="25954"/>
        <n v="12666"/>
        <n v="24584"/>
        <n v="17519"/>
        <n v="21417"/>
        <n v="16751"/>
        <n v="22211"/>
        <n v="23358"/>
        <n v="14284"/>
        <n v="11165"/>
        <n v="20296"/>
        <n v="16773"/>
        <n v="26582"/>
        <n v="11783"/>
        <n v="21587"/>
        <n v="25394"/>
        <n v="23158"/>
        <n v="15292"/>
        <n v="14569"/>
        <n v="20000"/>
        <n v="24801"/>
        <n v="21599"/>
        <n v="19117"/>
        <n v="22252"/>
        <n v="26305"/>
        <n v="11801"/>
        <n v="28657"/>
        <n v="27090"/>
        <n v="19562"/>
        <n v="12993"/>
        <n v="11897"/>
        <n v="26625"/>
        <n v="29181"/>
        <n v="11809"/>
        <n v="15580"/>
        <n v="16163"/>
        <n v="18572"/>
        <n v="16217"/>
        <n v="26663"/>
        <n v="21695"/>
        <n v="29037"/>
        <n v="14592"/>
        <n v="18577"/>
        <n v="18580"/>
        <n v="12922"/>
        <n v="20678"/>
        <n v="21693"/>
        <n v="23368"/>
        <n v="24324"/>
        <n v="25970"/>
        <n v="16185"/>
        <n v="17012"/>
        <n v="24322"/>
        <n v="18607"/>
        <n v="26597"/>
        <n v="29133"/>
        <n v="20698"/>
        <n v="29134"/>
        <n v="21660"/>
        <n v="23217"/>
        <n v="15529"/>
        <n v="18267"/>
        <n v="26154"/>
        <n v="27696"/>
        <n v="15532"/>
        <n v="20236"/>
        <n v="21980"/>
        <n v="29143"/>
        <n v="14633"/>
        <n v="14312"/>
        <n v="15555"/>
        <n v="18050"/>
        <n v="18052"/>
        <n v="22936"/>
        <n v="17310"/>
        <n v="20196"/>
        <n v="23542"/>
        <n v="26139"/>
        <n v="17864"/>
        <n v="24466"/>
        <n v="28319"/>
        <n v="29298"/>
        <n v="11738"/>
        <n v="13942"/>
        <n v="21207"/>
        <n v="11745"/>
        <n v="11538"/>
        <n v="16247"/>
        <n v="11734"/>
        <n v="12452"/>
        <n v="13760"/>
        <n v="15559"/>
        <n v="25101"/>
        <n v="11540"/>
        <n v="17269"/>
        <n v="19413"/>
        <n v="11886"/>
        <n v="16151"/>
        <n v="14662"/>
        <n v="22221"/>
        <n v="23449"/>
        <n v="25148"/>
        <n v="22219"/>
        <n v="22220"/>
        <n v="22227"/>
        <n v="17531"/>
        <n v="23459"/>
        <n v="12192"/>
        <n v="17436"/>
        <n v="18411"/>
        <n v="21306"/>
        <n v="16890"/>
        <n v="18858"/>
        <n v="27673"/>
        <n v="27441"/>
        <n v="12121"/>
        <n v="23731"/>
        <n v="14417"/>
        <n v="11225"/>
        <n v="18105"/>
        <n v="11219"/>
        <n v="16813"/>
        <n v="17699"/>
        <n v="19884"/>
        <n v="28052"/>
        <n v="25886"/>
        <n v="28043"/>
        <n v="24981"/>
        <n v="13388"/>
        <n v="19002"/>
        <n v="24979"/>
        <n v="13233"/>
        <n v="12100"/>
        <n v="15895"/>
        <n v="13216"/>
        <n v="14389"/>
        <n v="15313"/>
        <n v="16791"/>
        <n v="19856"/>
        <n v="21770"/>
        <n v="13353"/>
        <n v="24643"/>
        <n v="21751"/>
        <n v="21752"/>
        <n v="28004"/>
        <n v="28972"/>
        <n v="24941"/>
        <n v="24943"/>
        <n v="27388"/>
        <n v="23672"/>
        <n v="11147"/>
        <n v="22127"/>
        <n v="20380"/>
        <n v="18847"/>
        <n v="11622"/>
        <n v="22330"/>
        <n v="23818"/>
        <n v="11619"/>
        <n v="15287"/>
        <n v="15862"/>
        <n v="12882"/>
        <n v="19235"/>
        <n v="21583"/>
        <n v="26298"/>
        <n v="23144"/>
        <n v="25375"/>
        <n v="15468"/>
        <n v="28815"/>
        <n v="19299"/>
        <n v="14164"/>
        <n v="16209"/>
        <n v="11641"/>
        <n v="21039"/>
        <n v="19442"/>
        <n v="20657"/>
        <n v="19133"/>
        <n v="25419"/>
        <n v="17025"/>
        <n v="21613"/>
        <n v="27756"/>
        <n v="23197"/>
        <n v="23200"/>
        <n v="23893"/>
        <n v="23195"/>
        <n v="13920"/>
        <n v="14608"/>
        <n v="27393"/>
        <n v="19747"/>
        <n v="20401"/>
        <n v="17352"/>
        <n v="21441"/>
        <n v="20361"/>
        <n v="26452"/>
        <n v="28278"/>
        <n v="19441"/>
        <n v="20421"/>
        <n v="27740"/>
        <n v="12033"/>
        <n v="28087"/>
        <n v="13154"/>
        <n v="25261"/>
        <n v="27731"/>
        <n v="28090"/>
        <n v="13151"/>
        <n v="29052"/>
        <n v="18891"/>
        <n v="17926"/>
        <n v="24496"/>
        <n v="15255"/>
        <n v="16020"/>
        <n v="18363"/>
        <n v="23089"/>
        <n v="22976"/>
        <n v="17482"/>
        <n v="11143"/>
        <n v="15275"/>
        <n v="15814"/>
        <n v="17654"/>
        <n v="21260"/>
        <n v="27505"/>
        <n v="17657"/>
        <n v="23333"/>
        <n v="24514"/>
        <n v="27753"/>
        <n v="15272"/>
        <n v="24725"/>
        <n v="26236"/>
        <n v="18752"/>
        <n v="26238"/>
        <n v="26575"/>
        <n v="26778"/>
        <n v="19634"/>
        <n v="17337"/>
        <n v="22010"/>
        <n v="25041"/>
        <n v="29106"/>
        <n v="20711"/>
        <n v="25307"/>
        <n v="27190"/>
        <n v="25329"/>
        <n v="26984"/>
        <n v="26219"/>
        <n v="12744"/>
        <n v="28564"/>
        <n v="13687"/>
        <n v="18626"/>
        <n v="20729"/>
        <n v="27184"/>
        <n v="20053"/>
        <n v="17960"/>
        <n v="17650"/>
        <n v="25323"/>
        <n v="28758"/>
        <n v="19193"/>
        <n v="27183"/>
        <n v="25598"/>
        <n v="27261"/>
        <n v="11644"/>
        <n v="14865"/>
        <n v="23780"/>
        <n v="28521"/>
        <n v="29355"/>
        <n v="22633"/>
        <n v="27760"/>
        <n v="17964"/>
        <n v="17978"/>
        <n v="22464"/>
        <n v="14777"/>
        <n v="17793"/>
        <n v="26829"/>
        <n v="22634"/>
        <n v="22636"/>
        <n v="27775"/>
        <n v="12808"/>
        <n v="16406"/>
        <n v="26354"/>
        <n v="14791"/>
        <n v="12821"/>
        <n v="14939"/>
        <n v="28395"/>
        <n v="19475"/>
        <n v="19477"/>
        <n v="22500"/>
        <n v="11585"/>
        <n v="18012"/>
        <n v="12496"/>
        <n v="12497"/>
        <n v="20923"/>
        <n v="29132"/>
        <n v="14832"/>
        <n v="19147"/>
        <n v="17541"/>
        <n v="21108"/>
        <n v="25502"/>
        <n v="12510"/>
        <n v="19364"/>
        <n v="25651"/>
        <n v="16122"/>
        <n v="17858"/>
        <n v="23940"/>
        <n v="19399"/>
        <n v="13934"/>
        <n v="28799"/>
        <n v="21717"/>
        <n v="28625"/>
        <n v="14913"/>
        <n v="19228"/>
        <n v="14754"/>
        <n v="14900"/>
        <n v="14914"/>
        <n v="12774"/>
        <n v="24738"/>
        <n v="29097"/>
        <n v="16713"/>
        <n v="23105"/>
        <n v="24279"/>
        <n v="24485"/>
        <n v="26167"/>
        <n v="27494"/>
        <n v="16895"/>
        <n v="23513"/>
        <n v="14495"/>
        <n v="20528"/>
        <n v="26495"/>
        <n v="28997"/>
        <n v="23668"/>
        <n v="28026"/>
        <n v="20504"/>
        <n v="22743"/>
        <n v="24958"/>
        <n v="23704"/>
        <n v="20505"/>
        <n v="21451"/>
        <n v="18545"/>
        <n v="18976"/>
        <n v="27745"/>
        <n v="24637"/>
        <n v="14347"/>
        <n v="11149"/>
        <n v="26796"/>
        <n v="22988"/>
        <n v="23571"/>
        <n v="15265"/>
        <n v="15822"/>
        <n v="27994"/>
        <n v="17533"/>
        <n v="11555"/>
        <n v="15628"/>
        <n v="22971"/>
        <n v="14332"/>
        <n v="14514"/>
        <n v="27814"/>
        <n v="16725"/>
        <n v="18322"/>
        <n v="22014"/>
        <n v="12503"/>
        <n v="22518"/>
        <n v="22983"/>
        <n v="12728"/>
        <n v="17369"/>
        <n v="18329"/>
        <n v="14090"/>
        <n v="11935"/>
        <n v="13826"/>
        <n v="25006"/>
        <n v="27824"/>
        <n v="12029"/>
        <n v="14092"/>
        <n v="15612"/>
        <n v="19389"/>
        <n v="12871"/>
        <n v="24121"/>
        <n v="26886"/>
        <n v="17841"/>
        <n v="24119"/>
        <n v="20946"/>
        <n v="22707"/>
        <n v="27832"/>
        <n v="14077"/>
        <n v="16468"/>
        <n v="18910"/>
        <n v="23549"/>
        <n v="28436"/>
        <n v="12718"/>
        <n v="18347"/>
        <n v="25681"/>
        <n v="13066"/>
        <n v="17848"/>
        <n v="13683"/>
        <n v="19174"/>
        <n v="14271"/>
        <n v="14872"/>
        <n v="12716"/>
        <n v="12731"/>
        <n v="15839"/>
        <n v="15608"/>
        <n v="25303"/>
        <n v="20060"/>
        <n v="12389"/>
        <n v="27169"/>
        <n v="14154"/>
        <n v="22610"/>
        <n v="12284"/>
        <n v="25597"/>
        <n v="14927"/>
        <n v="22439"/>
        <n v="20877"/>
        <n v="14926"/>
        <n v="16390"/>
        <n v="12472"/>
        <n v="14785"/>
        <n v="23908"/>
        <n v="27771"/>
        <n v="20897"/>
        <n v="28379"/>
        <n v="11576"/>
        <n v="13813"/>
        <n v="22496"/>
        <n v="20919"/>
        <n v="21094"/>
        <n v="25649"/>
        <n v="19487"/>
        <n v="19491"/>
        <n v="22672"/>
        <n v="27803"/>
        <n v="12507"/>
        <n v="24107"/>
        <n v="18018"/>
        <n v="25693"/>
        <n v="19482"/>
        <n v="11386"/>
        <n v="12591"/>
        <n v="20828"/>
        <n v="11383"/>
        <n v="17754"/>
        <n v="21006"/>
        <n v="24187"/>
        <n v="15657"/>
        <n v="12610"/>
        <n v="15665"/>
        <n v="16549"/>
        <n v="20839"/>
        <n v="12273"/>
        <n v="26941"/>
        <n v="19223"/>
        <n v="24745"/>
        <n v="19217"/>
        <n v="23275"/>
        <n v="28609"/>
        <n v="20758"/>
        <n v="17668"/>
        <n v="20754"/>
        <n v="18649"/>
        <n v="14887"/>
        <n v="12768"/>
        <n v="23256"/>
        <n v="14883"/>
        <n v="22175"/>
        <n v="22173"/>
        <n v="22174"/>
        <n v="29094"/>
        <n v="22170"/>
        <n v="15019"/>
        <n v="16487"/>
        <n v="16489"/>
        <n v="11047"/>
        <n v="20417"/>
        <n v="23316"/>
        <n v="25918"/>
        <n v="26547"/>
        <n v="24955"/>
        <n v="26928"/>
        <n v="12590"/>
        <n v="12568"/>
        <n v="20147"/>
        <n v="25553"/>
        <n v="19650"/>
        <n v="11139"/>
        <n v="25266"/>
        <n v="29337"/>
        <n v="13136"/>
        <n v="20277"/>
        <n v="22974"/>
        <n v="13673"/>
        <n v="25559"/>
        <n v="20994"/>
        <n v="16188"/>
        <n v="28729"/>
        <n v="15030"/>
        <n v="20927"/>
        <n v="24174"/>
        <n v="25665"/>
        <n v="26863"/>
        <n v="27878"/>
        <n v="28488"/>
        <n v="12253"/>
        <n v="22527"/>
        <n v="28412"/>
        <n v="26879"/>
        <n v="25512"/>
        <n v="20942"/>
        <n v="13662"/>
        <n v="16466"/>
        <n v="17845"/>
        <n v="27835"/>
        <n v="13690"/>
        <n v="27165"/>
        <n v="11489"/>
        <n v="14135"/>
        <n v="26956"/>
        <n v="20851"/>
        <n v="12629"/>
        <n v="25460"/>
        <n v="24065"/>
        <n v="25458"/>
        <n v="19331"/>
        <n v="29380"/>
        <n v="12833"/>
        <n v="23915"/>
        <n v="17994"/>
        <n v="26852"/>
        <n v="14813"/>
        <n v="21738"/>
        <n v="17882"/>
        <n v="20962"/>
        <n v="20171"/>
        <n v="11381"/>
        <n v="27218"/>
        <n v="23801"/>
        <n v="25347"/>
        <n v="26270"/>
        <n v="27040"/>
        <n v="17894"/>
        <n v="25343"/>
        <n v="23797"/>
        <n v="24151"/>
        <n v="26248"/>
        <n v="13714"/>
        <n v="25752"/>
        <n v="20084"/>
        <n v="25605"/>
        <n v="25026"/>
        <n v="24273"/>
        <n v="25940"/>
        <n v="21375"/>
        <n v="22155"/>
        <n v="28102"/>
        <n v="19675"/>
        <n v="19748"/>
        <n v="14517"/>
        <n v="19273"/>
        <n v="20977"/>
        <n v="12236"/>
        <n v="12558"/>
        <n v="23986"/>
        <n v="14554"/>
        <n v="18058"/>
        <n v="15465"/>
        <n v="22402"/>
        <n v="25555"/>
        <n v="23993"/>
        <n v="22400"/>
        <n v="16514"/>
        <n v="22399"/>
        <n v="17907"/>
        <n v="12585"/>
        <n v="12581"/>
        <n v="16438"/>
        <n v="19508"/>
        <n v="24140"/>
        <n v="23962"/>
        <n v="17843"/>
        <n v="29424"/>
        <n v="22538"/>
        <n v="23963"/>
        <n v="15629"/>
        <n v="14696"/>
        <n v="16200"/>
        <n v="19291"/>
        <n v="28683"/>
        <n v="12274"/>
        <n v="19183"/>
        <n v="25313"/>
        <n v="16559"/>
        <n v="12212"/>
        <n v="24201"/>
        <n v="17702"/>
        <n v="13572"/>
        <n v="19445"/>
        <n v="20870"/>
        <n v="19305"/>
        <n v="26818"/>
        <n v="17703"/>
        <n v="16259"/>
        <n v="19461"/>
        <n v="24061"/>
        <n v="14798"/>
        <n v="16410"/>
        <n v="28380"/>
        <n v="14804"/>
        <n v="14805"/>
        <n v="26849"/>
        <n v="22381"/>
        <n v="25529"/>
        <n v="24185"/>
        <n v="11378"/>
        <n v="20797"/>
        <n v="16043"/>
        <n v="14545"/>
        <n v="24149"/>
        <n v="14544"/>
        <n v="13507"/>
        <n v="17891"/>
        <n v="23979"/>
        <n v="28468"/>
        <n v="12231"/>
        <n v="14547"/>
        <n v="19255"/>
        <n v="12234"/>
        <n v="20970"/>
        <n v="23248"/>
        <n v="20076"/>
        <n v="21365"/>
        <n v="25923"/>
        <n v="13981"/>
        <n v="25906"/>
        <n v="20974"/>
        <n v="29447"/>
        <n v="11340"/>
        <n v="15450"/>
      </sharedItems>
    </cacheField>
    <cacheField name="Marital Status" numFmtId="0">
      <sharedItems containsNonDate="0" count="2">
        <s v="M"/>
        <s v="S"/>
      </sharedItems>
    </cacheField>
    <cacheField name="Marital Status Full" numFmtId="0">
      <sharedItems containsNonDate="0" count="2">
        <s v="Married"/>
        <s v="Single"/>
      </sharedItems>
    </cacheField>
    <cacheField name="Gender" numFmtId="0">
      <sharedItems containsNonDate="0" count="2">
        <s v="F"/>
        <s v="M"/>
      </sharedItems>
    </cacheField>
    <cacheField name="Gender Full" numFmtId="0">
      <sharedItems containsNonDate="0" count="2">
        <s v="Female"/>
        <s v="Male"/>
      </sharedItems>
    </cacheField>
    <cacheField name="Income" numFmtId="0">
      <sharedItems containsSemiMixedTypes="0" containsNonDate="0" containsString="0" containsNumber="1" containsInteger="1" minValue="10000" maxValue="170000" count="16">
        <n v="170000"/>
        <n v="160000"/>
        <n v="150000"/>
        <n v="130000"/>
        <n v="120000"/>
        <n v="110000"/>
        <n v="100000"/>
        <n v="90000"/>
        <n v="80000"/>
        <n v="70000"/>
        <n v="60000"/>
        <n v="50000"/>
        <n v="40000"/>
        <n v="30000"/>
        <n v="20000"/>
        <n v="10000"/>
      </sharedItems>
    </cacheField>
    <cacheField name="Income Check" numFmtId="0">
      <sharedItems containsNonDate="0" count="1">
        <s v="okay"/>
      </sharedItems>
    </cacheField>
    <cacheField name="Children" numFmtId="0">
      <sharedItems containsSemiMixedTypes="0" containsNonDate="0" containsString="0" containsNumber="1" containsInteger="1" minValue="0" maxValue="5" count="6">
        <n v="4"/>
        <n v="5"/>
        <n v="1"/>
        <n v="2"/>
        <n v="0"/>
        <n v="3"/>
      </sharedItems>
    </cacheField>
    <cacheField name="Education" numFmtId="0">
      <sharedItems containsNonDate="0" count="5">
        <s v="Partial College"/>
        <s v="Graduate Degree"/>
        <s v="High School"/>
        <s v="Bachelors"/>
        <s v="Partial High School"/>
      </sharedItems>
    </cacheField>
    <cacheField name="Occupation" numFmtId="0">
      <sharedItems containsNonDate="0" count="5">
        <s v="Professional"/>
        <s v="Management"/>
        <s v="Manual"/>
        <s v="Skilled Manual"/>
        <s v="Clerical"/>
      </sharedItems>
    </cacheField>
    <cacheField name="Home Owner" numFmtId="0">
      <sharedItems containsNonDate="0" count="2">
        <s v="No"/>
        <s v="Yes"/>
      </sharedItems>
    </cacheField>
    <cacheField name="Cars" numFmtId="0">
      <sharedItems containsSemiMixedTypes="0" containsNonDate="0" containsString="0" containsNumber="1" containsInteger="1" minValue="0" maxValue="4" count="5">
        <n v="3"/>
        <n v="0"/>
        <n v="4"/>
        <n v="2"/>
        <n v="1"/>
      </sharedItems>
    </cacheField>
    <cacheField name="Commute Distance" numFmtId="0">
      <sharedItems containsNonDate="0" count="5">
        <s v="5-10 Miles"/>
        <s v="0-1 Miles"/>
        <s v="10+ Miles"/>
        <s v="1-2 Miles"/>
        <s v="2-5 Miles"/>
      </sharedItems>
    </cacheField>
    <cacheField name="Region" numFmtId="0">
      <sharedItems containsNonDate="0" count="3">
        <s v="Europe"/>
        <s v="North America"/>
        <s v="Pacific"/>
      </sharedItems>
    </cacheField>
    <cacheField name="Age" numFmtId="0">
      <sharedItems containsSemiMixedTypes="0" containsNonDate="0" containsString="0" containsNumber="1" containsInteger="1" minValue="25" maxValue="89" count="53">
        <n v="48"/>
        <n v="55"/>
        <n v="66"/>
        <n v="33"/>
        <n v="47"/>
        <n v="37"/>
        <n v="44"/>
        <n v="51"/>
        <n v="31"/>
        <n v="36"/>
        <n v="38"/>
        <n v="40"/>
        <n v="41"/>
        <n v="42"/>
        <n v="45"/>
        <n v="50"/>
        <n v="52"/>
        <n v="54"/>
        <n v="58"/>
        <n v="59"/>
        <n v="61"/>
        <n v="67"/>
        <n v="69"/>
        <n v="32"/>
        <n v="34"/>
        <n v="39"/>
        <n v="43"/>
        <n v="46"/>
        <n v="56"/>
        <n v="62"/>
        <n v="64"/>
        <n v="53"/>
        <n v="35"/>
        <n v="65"/>
        <n v="73"/>
        <n v="78"/>
        <n v="49"/>
        <n v="63"/>
        <n v="29"/>
        <n v="30"/>
        <n v="57"/>
        <n v="60"/>
        <n v="68"/>
        <n v="70"/>
        <n v="72"/>
        <n v="27"/>
        <n v="74"/>
        <n v="71"/>
        <n v="25"/>
        <n v="26"/>
        <n v="28"/>
        <n v="80"/>
        <n v="89"/>
      </sharedItems>
    </cacheField>
    <cacheField name="Age Check" numFmtId="0">
      <sharedItems containsNonDate="0" count="1">
        <s v="Okay"/>
      </sharedItems>
    </cacheField>
    <cacheField name="Age Group" numFmtId="0">
      <sharedItems containsNonDate="0" count="3">
        <s v="30-50"/>
        <s v="Over 50"/>
        <s v="UNDER 30"/>
      </sharedItems>
    </cacheField>
    <cacheField name="Purchased Bike" numFmtId="0">
      <sharedItems containsNonDate="0" count="2">
        <s v="Yes"/>
        <s v="No"/>
      </sharedItems>
    </cacheField>
    <cacheField name="ID Count" numFmtId="0">
      <sharedItems containsSemiMixedTypes="0" containsNonDate="0" containsString="0" containsNumber="1" containsInteger="1" minValue="1" maxValue="1" count="1">
        <n v="1"/>
      </sharedItems>
    </cacheField>
    <cacheField name="Income Number or text? " numFmtId="0">
      <sharedItems containsNonDate="0" count="1">
        <s v="Ok"/>
      </sharedItems>
    </cacheField>
    <cacheField name="Age number or text?" numFmtId="0">
      <sharedItems containsNonDate="0" count="1">
        <s v="ok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2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1:U1001" sheet="Working Sheet"/>
  </cacheSource>
  <cacheFields count="21">
    <cacheField name="ID" numFmtId="0">
      <sharedItems containsSemiMixedTypes="0" containsNonDate="0" containsString="0" containsNumber="1" containsInteger="1" minValue="11000" maxValue="29447" count="1000">
        <n v="17185"/>
        <n v="11434"/>
        <n v="16009"/>
        <n v="27974"/>
        <n v="16675"/>
        <n v="14191"/>
        <n v="12705"/>
        <n v="11292"/>
        <n v="15922"/>
        <n v="23608"/>
        <n v="12678"/>
        <n v="29191"/>
        <n v="13176"/>
        <n v="18935"/>
        <n v="14443"/>
        <n v="11269"/>
        <n v="24398"/>
        <n v="11270"/>
        <n v="20339"/>
        <n v="23027"/>
        <n v="13453"/>
        <n v="22088"/>
        <n v="16867"/>
        <n v="28269"/>
        <n v="14278"/>
        <n v="15758"/>
        <n v="13082"/>
        <n v="12133"/>
        <n v="11249"/>
        <n v="18140"/>
        <n v="18160"/>
        <n v="17191"/>
        <n v="22821"/>
        <n v="24857"/>
        <n v="19066"/>
        <n v="18172"/>
        <n v="28918"/>
        <n v="12664"/>
        <n v="17203"/>
        <n v="20567"/>
        <n v="12205"/>
        <n v="15412"/>
        <n v="21560"/>
        <n v="28957"/>
        <n v="14238"/>
        <n v="16917"/>
        <n v="15194"/>
        <n v="19280"/>
        <n v="24397"/>
        <n v="29237"/>
        <n v="13313"/>
        <n v="13089"/>
        <n v="13314"/>
        <n v="17522"/>
        <n v="15926"/>
        <n v="26385"/>
        <n v="19057"/>
        <n v="22830"/>
        <n v="16651"/>
        <n v="12056"/>
        <n v="21557"/>
        <n v="24901"/>
        <n v="21891"/>
        <n v="29048"/>
        <n v="22719"/>
        <n v="26065"/>
        <n v="13287"/>
        <n v="29243"/>
        <n v="15382"/>
        <n v="13296"/>
        <n v="25184"/>
        <n v="15982"/>
        <n v="27304"/>
        <n v="18494"/>
        <n v="22204"/>
        <n v="25792"/>
        <n v="21568"/>
        <n v="20625"/>
        <n v="14233"/>
        <n v="11896"/>
        <n v="19664"/>
        <n v="15214"/>
        <n v="18952"/>
        <n v="18283"/>
        <n v="15940"/>
        <n v="20228"/>
        <n v="11259"/>
        <n v="18517"/>
        <n v="27637"/>
        <n v="27638"/>
        <n v="14469"/>
        <n v="23491"/>
        <n v="17324"/>
        <n v="24305"/>
        <n v="25058"/>
        <n v="13133"/>
        <n v="29120"/>
        <n v="29117"/>
        <n v="14193"/>
        <n v="23627"/>
        <n v="18153"/>
        <n v="20598"/>
        <n v="14507"/>
        <n v="13415"/>
        <n v="22931"/>
        <n v="21561"/>
        <n v="24611"/>
        <n v="27585"/>
        <n v="12697"/>
        <n v="17048"/>
        <n v="27582"/>
        <n v="26944"/>
        <n v="26654"/>
        <n v="22930"/>
        <n v="19661"/>
        <n v="22050"/>
        <n v="23461"/>
        <n v="11000"/>
        <n v="17260"/>
        <n v="23479"/>
        <n v="20343"/>
        <n v="11303"/>
        <n v="24416"/>
        <n v="18294"/>
        <n v="15799"/>
        <n v="21940"/>
        <n v="25241"/>
        <n v="26757"/>
        <n v="11090"/>
        <n v="22864"/>
        <n v="16871"/>
        <n v="24842"/>
        <n v="14189"/>
        <n v="24871"/>
        <n v="14192"/>
        <n v="26415"/>
        <n v="12332"/>
        <n v="12663"/>
        <n v="17197"/>
        <n v="11415"/>
        <n v="12291"/>
        <n v="13343"/>
        <n v="16007"/>
        <n v="14432"/>
        <n v="27969"/>
        <n v="17230"/>
        <n v="12344"/>
        <n v="16614"/>
        <n v="24898"/>
        <n v="17238"/>
        <n v="21554"/>
        <n v="11453"/>
        <n v="22994"/>
        <n v="23586"/>
        <n v="21266"/>
        <n v="21564"/>
        <n v="20619"/>
        <n v="14602"/>
        <n v="14669"/>
        <n v="28068"/>
        <n v="28207"/>
        <n v="26651"/>
        <n v="23882"/>
        <n v="28066"/>
        <n v="16179"/>
        <n v="22046"/>
        <n v="18783"/>
        <n v="24369"/>
        <n v="13961"/>
        <n v="18253"/>
        <n v="28580"/>
        <n v="18594"/>
        <n v="24093"/>
        <n v="27198"/>
        <n v="19608"/>
        <n v="29301"/>
        <n v="23426"/>
        <n v="28858"/>
        <n v="13122"/>
        <n v="13907"/>
        <n v="13911"/>
        <n v="19143"/>
        <n v="11262"/>
        <n v="25293"/>
        <n v="19660"/>
        <n v="29231"/>
        <n v="18391"/>
        <n v="18390"/>
        <n v="17450"/>
        <n v="13466"/>
        <n v="16245"/>
        <n v="16377"/>
        <n v="21714"/>
        <n v="13749"/>
        <n v="14657"/>
        <n v="18740"/>
        <n v="21713"/>
        <n v="13754"/>
        <n v="18674"/>
        <n v="24357"/>
        <n v="26012"/>
        <n v="26678"/>
        <n v="13283"/>
        <n v="19784"/>
        <n v="28228"/>
        <n v="15372"/>
        <n v="15752"/>
        <n v="18484"/>
        <n v="22918"/>
        <n v="23455"/>
        <n v="29255"/>
        <n v="17504"/>
        <n v="18423"/>
        <n v="13585"/>
        <n v="27941"/>
        <n v="13586"/>
        <n v="28906"/>
        <n v="27951"/>
        <n v="26412"/>
        <n v="19012"/>
        <n v="28915"/>
        <n v="18151"/>
        <n v="14177"/>
        <n v="18144"/>
        <n v="15682"/>
        <n v="18145"/>
        <n v="19914"/>
        <n v="13337"/>
        <n v="15740"/>
        <n v="19741"/>
        <n v="12207"/>
        <n v="17471"/>
        <n v="19731"/>
        <n v="27660"/>
        <n v="11275"/>
        <n v="25943"/>
        <n v="13620"/>
        <n v="11451"/>
        <n v="20606"/>
        <n v="18560"/>
        <n v="22042"/>
        <n v="11788"/>
        <n v="15302"/>
        <n v="16753"/>
        <n v="11807"/>
        <n v="13886"/>
        <n v="14572"/>
        <n v="27074"/>
        <n v="11817"/>
        <n v="13873"/>
        <n v="20659"/>
        <n v="27273"/>
        <n v="28672"/>
        <n v="11663"/>
        <n v="15501"/>
        <n v="26327"/>
        <n v="26341"/>
        <n v="22294"/>
        <n v="27540"/>
        <n v="18613"/>
        <n v="23432"/>
        <n v="28667"/>
        <n v="11669"/>
        <n v="14682"/>
        <n v="19164"/>
        <n v="27279"/>
        <n v="22296"/>
        <n v="25405"/>
        <n v="21184"/>
        <n v="11823"/>
        <n v="18711"/>
        <n v="23419"/>
        <n v="26032"/>
        <n v="26150"/>
        <n v="14058"/>
        <n v="21213"/>
        <n v="24381"/>
        <n v="25074"/>
        <n v="14063"/>
        <n v="17319"/>
        <n v="21974"/>
        <n v="19163"/>
        <n v="17000"/>
        <n v="11116"/>
        <n v="25983"/>
        <n v="16112"/>
        <n v="28323"/>
        <n v="17546"/>
        <n v="12957"/>
        <n v="18299"/>
        <n v="12964"/>
        <n v="19618"/>
        <n v="23376"/>
        <n v="23378"/>
        <n v="27643"/>
        <n v="26765"/>
        <n v="11287"/>
        <n v="19626"/>
        <n v="22005"/>
        <n v="28192"/>
        <n v="16145"/>
        <n v="16144"/>
        <n v="22006"/>
        <n v="11890"/>
        <n v="16154"/>
        <n v="19543"/>
        <n v="25065"/>
        <n v="12153"/>
        <n v="18491"/>
        <n v="19812"/>
        <n v="18504"/>
        <n v="26693"/>
        <n v="21741"/>
        <n v="23041"/>
        <n v="14032"/>
        <n v="27650"/>
        <n v="12195"/>
        <n v="20376"/>
        <n v="11061"/>
        <n v="20370"/>
        <n v="20430"/>
        <n v="24433"/>
        <n v="17458"/>
        <n v="25898"/>
        <n v="25899"/>
        <n v="14493"/>
        <n v="22118"/>
        <n v="11233"/>
        <n v="17462"/>
        <n v="28056"/>
        <n v="26728"/>
        <n v="19889"/>
        <n v="29030"/>
        <n v="21801"/>
        <n v="13390"/>
        <n v="20535"/>
        <n v="27434"/>
        <n v="13382"/>
        <n v="20518"/>
        <n v="25872"/>
        <n v="11200"/>
        <n v="11199"/>
        <n v="15319"/>
        <n v="16795"/>
        <n v="20514"/>
        <n v="23712"/>
        <n v="28031"/>
        <n v="21471"/>
        <n v="26490"/>
        <n v="18069"/>
        <n v="18066"/>
        <n v="23707"/>
        <n v="15749"/>
        <n v="15879"/>
        <n v="13351"/>
        <n v="22730"/>
        <n v="18435"/>
        <n v="11255"/>
        <n v="18949"/>
        <n v="25908"/>
        <n v="25909"/>
        <n v="20310"/>
        <n v="20414"/>
        <n v="16337"/>
        <n v="11941"/>
        <n v="19758"/>
        <n v="13073"/>
        <n v="11699"/>
        <n v="29112"/>
        <n v="26576"/>
        <n v="25954"/>
        <n v="12666"/>
        <n v="24584"/>
        <n v="17519"/>
        <n v="21417"/>
        <n v="16751"/>
        <n v="22211"/>
        <n v="23358"/>
        <n v="14284"/>
        <n v="11165"/>
        <n v="20296"/>
        <n v="16773"/>
        <n v="26582"/>
        <n v="11783"/>
        <n v="21587"/>
        <n v="25394"/>
        <n v="23158"/>
        <n v="15292"/>
        <n v="14569"/>
        <n v="20000"/>
        <n v="24801"/>
        <n v="21599"/>
        <n v="19117"/>
        <n v="22252"/>
        <n v="26305"/>
        <n v="11801"/>
        <n v="28657"/>
        <n v="27090"/>
        <n v="19562"/>
        <n v="12993"/>
        <n v="11897"/>
        <n v="26625"/>
        <n v="29181"/>
        <n v="11809"/>
        <n v="15580"/>
        <n v="16163"/>
        <n v="18572"/>
        <n v="16217"/>
        <n v="26663"/>
        <n v="21695"/>
        <n v="29037"/>
        <n v="14592"/>
        <n v="18577"/>
        <n v="18580"/>
        <n v="12922"/>
        <n v="20678"/>
        <n v="21693"/>
        <n v="23368"/>
        <n v="24324"/>
        <n v="25970"/>
        <n v="16185"/>
        <n v="17012"/>
        <n v="24322"/>
        <n v="18607"/>
        <n v="26597"/>
        <n v="29133"/>
        <n v="20698"/>
        <n v="29134"/>
        <n v="21660"/>
        <n v="23217"/>
        <n v="15529"/>
        <n v="18267"/>
        <n v="26154"/>
        <n v="27696"/>
        <n v="15532"/>
        <n v="20236"/>
        <n v="21980"/>
        <n v="29143"/>
        <n v="14633"/>
        <n v="14312"/>
        <n v="15555"/>
        <n v="18050"/>
        <n v="18052"/>
        <n v="22936"/>
        <n v="17310"/>
        <n v="20196"/>
        <n v="23542"/>
        <n v="26139"/>
        <n v="17864"/>
        <n v="24466"/>
        <n v="28319"/>
        <n v="29298"/>
        <n v="11738"/>
        <n v="13942"/>
        <n v="21207"/>
        <n v="11745"/>
        <n v="11538"/>
        <n v="16247"/>
        <n v="11734"/>
        <n v="12452"/>
        <n v="13760"/>
        <n v="15559"/>
        <n v="25101"/>
        <n v="11540"/>
        <n v="17269"/>
        <n v="19413"/>
        <n v="11886"/>
        <n v="16151"/>
        <n v="14662"/>
        <n v="22221"/>
        <n v="23449"/>
        <n v="25148"/>
        <n v="22219"/>
        <n v="22220"/>
        <n v="22227"/>
        <n v="17531"/>
        <n v="23459"/>
        <n v="12192"/>
        <n v="17436"/>
        <n v="18411"/>
        <n v="21306"/>
        <n v="16890"/>
        <n v="18858"/>
        <n v="27673"/>
        <n v="27441"/>
        <n v="12121"/>
        <n v="23731"/>
        <n v="14417"/>
        <n v="11225"/>
        <n v="18105"/>
        <n v="11219"/>
        <n v="16813"/>
        <n v="17699"/>
        <n v="19884"/>
        <n v="28052"/>
        <n v="25886"/>
        <n v="28043"/>
        <n v="24981"/>
        <n v="13388"/>
        <n v="19002"/>
        <n v="24979"/>
        <n v="13233"/>
        <n v="12100"/>
        <n v="15895"/>
        <n v="13216"/>
        <n v="14389"/>
        <n v="15313"/>
        <n v="16791"/>
        <n v="19856"/>
        <n v="21770"/>
        <n v="13353"/>
        <n v="24643"/>
        <n v="21751"/>
        <n v="21752"/>
        <n v="28004"/>
        <n v="28972"/>
        <n v="24941"/>
        <n v="24943"/>
        <n v="27388"/>
        <n v="23672"/>
        <n v="11147"/>
        <n v="22127"/>
        <n v="20380"/>
        <n v="18847"/>
        <n v="11622"/>
        <n v="22330"/>
        <n v="23818"/>
        <n v="11619"/>
        <n v="15287"/>
        <n v="15862"/>
        <n v="12882"/>
        <n v="19235"/>
        <n v="21583"/>
        <n v="26298"/>
        <n v="23144"/>
        <n v="25375"/>
        <n v="15468"/>
        <n v="28815"/>
        <n v="19299"/>
        <n v="14164"/>
        <n v="16209"/>
        <n v="11641"/>
        <n v="21039"/>
        <n v="19442"/>
        <n v="20657"/>
        <n v="19133"/>
        <n v="25419"/>
        <n v="17025"/>
        <n v="21613"/>
        <n v="27756"/>
        <n v="23197"/>
        <n v="23200"/>
        <n v="23893"/>
        <n v="23195"/>
        <n v="13920"/>
        <n v="14608"/>
        <n v="27393"/>
        <n v="19747"/>
        <n v="20401"/>
        <n v="17352"/>
        <n v="21441"/>
        <n v="20361"/>
        <n v="26452"/>
        <n v="28278"/>
        <n v="19441"/>
        <n v="20421"/>
        <n v="27740"/>
        <n v="12033"/>
        <n v="28087"/>
        <n v="13154"/>
        <n v="25261"/>
        <n v="27731"/>
        <n v="28090"/>
        <n v="13151"/>
        <n v="29052"/>
        <n v="18891"/>
        <n v="17926"/>
        <n v="24496"/>
        <n v="15255"/>
        <n v="16020"/>
        <n v="18363"/>
        <n v="23089"/>
        <n v="22976"/>
        <n v="17482"/>
        <n v="11143"/>
        <n v="15275"/>
        <n v="15814"/>
        <n v="17654"/>
        <n v="21260"/>
        <n v="27505"/>
        <n v="17657"/>
        <n v="23333"/>
        <n v="24514"/>
        <n v="27753"/>
        <n v="15272"/>
        <n v="24725"/>
        <n v="26236"/>
        <n v="18752"/>
        <n v="26238"/>
        <n v="26575"/>
        <n v="26778"/>
        <n v="19634"/>
        <n v="17337"/>
        <n v="22010"/>
        <n v="25041"/>
        <n v="29106"/>
        <n v="20711"/>
        <n v="25307"/>
        <n v="27190"/>
        <n v="25329"/>
        <n v="26984"/>
        <n v="26219"/>
        <n v="12744"/>
        <n v="28564"/>
        <n v="13687"/>
        <n v="18626"/>
        <n v="20729"/>
        <n v="27184"/>
        <n v="20053"/>
        <n v="17960"/>
        <n v="17650"/>
        <n v="25323"/>
        <n v="28758"/>
        <n v="19193"/>
        <n v="27183"/>
        <n v="25598"/>
        <n v="27261"/>
        <n v="11644"/>
        <n v="14865"/>
        <n v="23780"/>
        <n v="28521"/>
        <n v="29355"/>
        <n v="22633"/>
        <n v="27760"/>
        <n v="17964"/>
        <n v="17978"/>
        <n v="22464"/>
        <n v="14777"/>
        <n v="17793"/>
        <n v="26829"/>
        <n v="22634"/>
        <n v="22636"/>
        <n v="27775"/>
        <n v="12808"/>
        <n v="16406"/>
        <n v="26354"/>
        <n v="14791"/>
        <n v="12821"/>
        <n v="14939"/>
        <n v="28395"/>
        <n v="19475"/>
        <n v="19477"/>
        <n v="22500"/>
        <n v="11585"/>
        <n v="18012"/>
        <n v="12496"/>
        <n v="12497"/>
        <n v="20923"/>
        <n v="29132"/>
        <n v="14832"/>
        <n v="19147"/>
        <n v="17541"/>
        <n v="21108"/>
        <n v="25502"/>
        <n v="12510"/>
        <n v="19364"/>
        <n v="25651"/>
        <n v="16122"/>
        <n v="17858"/>
        <n v="23940"/>
        <n v="19399"/>
        <n v="13934"/>
        <n v="28799"/>
        <n v="21717"/>
        <n v="28625"/>
        <n v="14913"/>
        <n v="19228"/>
        <n v="14754"/>
        <n v="14900"/>
        <n v="14914"/>
        <n v="12774"/>
        <n v="24738"/>
        <n v="29097"/>
        <n v="16713"/>
        <n v="23105"/>
        <n v="24279"/>
        <n v="24485"/>
        <n v="26167"/>
        <n v="27494"/>
        <n v="16895"/>
        <n v="23513"/>
        <n v="14495"/>
        <n v="20528"/>
        <n v="26495"/>
        <n v="28997"/>
        <n v="23668"/>
        <n v="28026"/>
        <n v="20504"/>
        <n v="22743"/>
        <n v="24958"/>
        <n v="23704"/>
        <n v="20505"/>
        <n v="21451"/>
        <n v="18545"/>
        <n v="18976"/>
        <n v="27745"/>
        <n v="24637"/>
        <n v="14347"/>
        <n v="11149"/>
        <n v="26796"/>
        <n v="22988"/>
        <n v="23571"/>
        <n v="15265"/>
        <n v="15822"/>
        <n v="27994"/>
        <n v="17533"/>
        <n v="11555"/>
        <n v="15628"/>
        <n v="22971"/>
        <n v="14332"/>
        <n v="14514"/>
        <n v="27814"/>
        <n v="16725"/>
        <n v="18322"/>
        <n v="22014"/>
        <n v="12503"/>
        <n v="22518"/>
        <n v="22983"/>
        <n v="12728"/>
        <n v="17369"/>
        <n v="18329"/>
        <n v="14090"/>
        <n v="11935"/>
        <n v="13826"/>
        <n v="25006"/>
        <n v="27824"/>
        <n v="12029"/>
        <n v="14092"/>
        <n v="15612"/>
        <n v="19389"/>
        <n v="12871"/>
        <n v="24121"/>
        <n v="26886"/>
        <n v="17841"/>
        <n v="24119"/>
        <n v="20946"/>
        <n v="22707"/>
        <n v="27832"/>
        <n v="14077"/>
        <n v="16468"/>
        <n v="18910"/>
        <n v="23549"/>
        <n v="28436"/>
        <n v="12718"/>
        <n v="18347"/>
        <n v="25681"/>
        <n v="13066"/>
        <n v="17848"/>
        <n v="13683"/>
        <n v="19174"/>
        <n v="14271"/>
        <n v="14872"/>
        <n v="12716"/>
        <n v="12731"/>
        <n v="15839"/>
        <n v="15608"/>
        <n v="25303"/>
        <n v="20060"/>
        <n v="12389"/>
        <n v="27169"/>
        <n v="14154"/>
        <n v="22610"/>
        <n v="12284"/>
        <n v="25597"/>
        <n v="14927"/>
        <n v="22439"/>
        <n v="20877"/>
        <n v="14926"/>
        <n v="16390"/>
        <n v="12472"/>
        <n v="14785"/>
        <n v="23908"/>
        <n v="27771"/>
        <n v="20897"/>
        <n v="28379"/>
        <n v="11576"/>
        <n v="13813"/>
        <n v="22496"/>
        <n v="20919"/>
        <n v="21094"/>
        <n v="25649"/>
        <n v="19487"/>
        <n v="19491"/>
        <n v="22672"/>
        <n v="27803"/>
        <n v="12507"/>
        <n v="24107"/>
        <n v="18018"/>
        <n v="25693"/>
        <n v="19482"/>
        <n v="11386"/>
        <n v="12591"/>
        <n v="20828"/>
        <n v="11383"/>
        <n v="17754"/>
        <n v="21006"/>
        <n v="24187"/>
        <n v="15657"/>
        <n v="12610"/>
        <n v="15665"/>
        <n v="16549"/>
        <n v="20839"/>
        <n v="12273"/>
        <n v="26941"/>
        <n v="19223"/>
        <n v="24745"/>
        <n v="19217"/>
        <n v="23275"/>
        <n v="28609"/>
        <n v="20758"/>
        <n v="17668"/>
        <n v="20754"/>
        <n v="18649"/>
        <n v="14887"/>
        <n v="12768"/>
        <n v="23256"/>
        <n v="14883"/>
        <n v="22175"/>
        <n v="22173"/>
        <n v="22174"/>
        <n v="29094"/>
        <n v="22170"/>
        <n v="15019"/>
        <n v="16487"/>
        <n v="16489"/>
        <n v="11047"/>
        <n v="20417"/>
        <n v="23316"/>
        <n v="25918"/>
        <n v="26547"/>
        <n v="24955"/>
        <n v="26928"/>
        <n v="12590"/>
        <n v="12568"/>
        <n v="20147"/>
        <n v="25553"/>
        <n v="19650"/>
        <n v="11139"/>
        <n v="25266"/>
        <n v="29337"/>
        <n v="13136"/>
        <n v="20277"/>
        <n v="22974"/>
        <n v="13673"/>
        <n v="25559"/>
        <n v="20994"/>
        <n v="16188"/>
        <n v="28729"/>
        <n v="15030"/>
        <n v="20927"/>
        <n v="24174"/>
        <n v="25665"/>
        <n v="26863"/>
        <n v="27878"/>
        <n v="28488"/>
        <n v="12253"/>
        <n v="22527"/>
        <n v="28412"/>
        <n v="26879"/>
        <n v="25512"/>
        <n v="20942"/>
        <n v="13662"/>
        <n v="16466"/>
        <n v="17845"/>
        <n v="27835"/>
        <n v="13690"/>
        <n v="27165"/>
        <n v="11489"/>
        <n v="14135"/>
        <n v="26956"/>
        <n v="20851"/>
        <n v="12629"/>
        <n v="25460"/>
        <n v="24065"/>
        <n v="25458"/>
        <n v="19331"/>
        <n v="29380"/>
        <n v="12833"/>
        <n v="23915"/>
        <n v="17994"/>
        <n v="26852"/>
        <n v="14813"/>
        <n v="21738"/>
        <n v="17882"/>
        <n v="20962"/>
        <n v="20171"/>
        <n v="11381"/>
        <n v="27218"/>
        <n v="23801"/>
        <n v="25347"/>
        <n v="26270"/>
        <n v="27040"/>
        <n v="17894"/>
        <n v="25343"/>
        <n v="23797"/>
        <n v="24151"/>
        <n v="26248"/>
        <n v="13714"/>
        <n v="25752"/>
        <n v="20084"/>
        <n v="25605"/>
        <n v="25026"/>
        <n v="24273"/>
        <n v="25940"/>
        <n v="21375"/>
        <n v="22155"/>
        <n v="28102"/>
        <n v="19675"/>
        <n v="19748"/>
        <n v="14517"/>
        <n v="19273"/>
        <n v="20977"/>
        <n v="12236"/>
        <n v="12558"/>
        <n v="23986"/>
        <n v="14554"/>
        <n v="18058"/>
        <n v="15465"/>
        <n v="22402"/>
        <n v="25555"/>
        <n v="23993"/>
        <n v="22400"/>
        <n v="16514"/>
        <n v="22399"/>
        <n v="17907"/>
        <n v="12585"/>
        <n v="12581"/>
        <n v="16438"/>
        <n v="19508"/>
        <n v="24140"/>
        <n v="23962"/>
        <n v="17843"/>
        <n v="29424"/>
        <n v="22538"/>
        <n v="23963"/>
        <n v="15629"/>
        <n v="14696"/>
        <n v="16200"/>
        <n v="19291"/>
        <n v="28683"/>
        <n v="12274"/>
        <n v="19183"/>
        <n v="25313"/>
        <n v="16559"/>
        <n v="12212"/>
        <n v="24201"/>
        <n v="17702"/>
        <n v="13572"/>
        <n v="19445"/>
        <n v="20870"/>
        <n v="19305"/>
        <n v="26818"/>
        <n v="17703"/>
        <n v="16259"/>
        <n v="19461"/>
        <n v="24061"/>
        <n v="14798"/>
        <n v="16410"/>
        <n v="28380"/>
        <n v="14804"/>
        <n v="14805"/>
        <n v="26849"/>
        <n v="22381"/>
        <n v="25529"/>
        <n v="24185"/>
        <n v="11378"/>
        <n v="20797"/>
        <n v="16043"/>
        <n v="14545"/>
        <n v="24149"/>
        <n v="14544"/>
        <n v="13507"/>
        <n v="17891"/>
        <n v="23979"/>
        <n v="28468"/>
        <n v="12231"/>
        <n v="14547"/>
        <n v="19255"/>
        <n v="12234"/>
        <n v="20970"/>
        <n v="23248"/>
        <n v="20076"/>
        <n v="21365"/>
        <n v="25923"/>
        <n v="13981"/>
        <n v="25906"/>
        <n v="20974"/>
        <n v="29447"/>
        <n v="11340"/>
        <n v="15450"/>
      </sharedItems>
    </cacheField>
    <cacheField name="Marital Status" numFmtId="0">
      <sharedItems containsNonDate="0" count="2">
        <s v="M"/>
        <s v="S"/>
      </sharedItems>
    </cacheField>
    <cacheField name="Marital Status Full" numFmtId="0">
      <sharedItems containsNonDate="0" count="2">
        <s v="Married"/>
        <s v="Single"/>
      </sharedItems>
    </cacheField>
    <cacheField name="Gender" numFmtId="0">
      <sharedItems containsNonDate="0" count="2">
        <s v="F"/>
        <s v="M"/>
      </sharedItems>
    </cacheField>
    <cacheField name="Gender Full" numFmtId="0">
      <sharedItems containsNonDate="0" count="2">
        <s v="Female"/>
        <s v="Male"/>
      </sharedItems>
    </cacheField>
    <cacheField name="Income" numFmtId="0">
      <sharedItems containsSemiMixedTypes="0" containsNonDate="0" containsString="0" containsNumber="1" containsInteger="1" minValue="10000" maxValue="170000" count="16">
        <n v="170000"/>
        <n v="160000"/>
        <n v="150000"/>
        <n v="130000"/>
        <n v="120000"/>
        <n v="110000"/>
        <n v="100000"/>
        <n v="90000"/>
        <n v="80000"/>
        <n v="70000"/>
        <n v="60000"/>
        <n v="50000"/>
        <n v="40000"/>
        <n v="30000"/>
        <n v="20000"/>
        <n v="10000"/>
      </sharedItems>
    </cacheField>
    <cacheField name="Income Check" numFmtId="0">
      <sharedItems containsNonDate="0" count="1">
        <s v="okay"/>
      </sharedItems>
    </cacheField>
    <cacheField name="Children" numFmtId="0">
      <sharedItems containsSemiMixedTypes="0" containsNonDate="0" containsString="0" containsNumber="1" containsInteger="1" minValue="0" maxValue="5" count="6">
        <n v="4"/>
        <n v="5"/>
        <n v="1"/>
        <n v="2"/>
        <n v="0"/>
        <n v="3"/>
      </sharedItems>
    </cacheField>
    <cacheField name="Education" numFmtId="0">
      <sharedItems containsNonDate="0" count="5">
        <s v="Partial College"/>
        <s v="Graduate Degree"/>
        <s v="High School"/>
        <s v="Bachelors"/>
        <s v="Partial High School"/>
      </sharedItems>
    </cacheField>
    <cacheField name="Occupation" numFmtId="0">
      <sharedItems containsNonDate="0" count="5">
        <s v="Professional"/>
        <s v="Management"/>
        <s v="Manual"/>
        <s v="Skilled Manual"/>
        <s v="Clerical"/>
      </sharedItems>
    </cacheField>
    <cacheField name="Home Owner" numFmtId="0">
      <sharedItems containsNonDate="0" count="2">
        <s v="No"/>
        <s v="Yes"/>
      </sharedItems>
    </cacheField>
    <cacheField name="Cars" numFmtId="0">
      <sharedItems containsSemiMixedTypes="0" containsNonDate="0" containsString="0" containsNumber="1" containsInteger="1" minValue="0" maxValue="4" count="5">
        <n v="3"/>
        <n v="0"/>
        <n v="4"/>
        <n v="2"/>
        <n v="1"/>
      </sharedItems>
    </cacheField>
    <cacheField name="Commute Distance" numFmtId="0">
      <sharedItems containsNonDate="0" count="5">
        <s v="5-10 Miles"/>
        <s v="0-1 Miles"/>
        <s v="10+ Miles"/>
        <s v="1-2 Miles"/>
        <s v="2-5 Miles"/>
      </sharedItems>
    </cacheField>
    <cacheField name="Region" numFmtId="0">
      <sharedItems containsNonDate="0" count="3">
        <s v="Europe"/>
        <s v="North America"/>
        <s v="Pacific"/>
      </sharedItems>
    </cacheField>
    <cacheField name="Age" numFmtId="0">
      <sharedItems containsSemiMixedTypes="0" containsNonDate="0" containsString="0" containsNumber="1" containsInteger="1" minValue="25" maxValue="89" count="53">
        <n v="48"/>
        <n v="55"/>
        <n v="66"/>
        <n v="33"/>
        <n v="47"/>
        <n v="37"/>
        <n v="44"/>
        <n v="51"/>
        <n v="31"/>
        <n v="36"/>
        <n v="38"/>
        <n v="40"/>
        <n v="41"/>
        <n v="42"/>
        <n v="45"/>
        <n v="50"/>
        <n v="52"/>
        <n v="54"/>
        <n v="58"/>
        <n v="59"/>
        <n v="61"/>
        <n v="67"/>
        <n v="69"/>
        <n v="32"/>
        <n v="34"/>
        <n v="39"/>
        <n v="43"/>
        <n v="46"/>
        <n v="56"/>
        <n v="62"/>
        <n v="64"/>
        <n v="53"/>
        <n v="35"/>
        <n v="65"/>
        <n v="73"/>
        <n v="78"/>
        <n v="49"/>
        <n v="63"/>
        <n v="29"/>
        <n v="30"/>
        <n v="57"/>
        <n v="60"/>
        <n v="68"/>
        <n v="70"/>
        <n v="72"/>
        <n v="27"/>
        <n v="74"/>
        <n v="71"/>
        <n v="25"/>
        <n v="26"/>
        <n v="28"/>
        <n v="80"/>
        <n v="89"/>
      </sharedItems>
    </cacheField>
    <cacheField name="Age Check" numFmtId="0">
      <sharedItems containsNonDate="0" count="1">
        <s v="Okay"/>
      </sharedItems>
    </cacheField>
    <cacheField name="Age Group" numFmtId="0">
      <sharedItems containsNonDate="0" count="3">
        <s v="30-50"/>
        <s v="Over 50"/>
        <s v="UNDER 30"/>
      </sharedItems>
    </cacheField>
    <cacheField name="Purchased Bike" numFmtId="0">
      <sharedItems containsNonDate="0" count="2">
        <s v="Yes"/>
        <s v="No"/>
      </sharedItems>
    </cacheField>
    <cacheField name="ID Count" numFmtId="0">
      <sharedItems containsSemiMixedTypes="0" containsNonDate="0" containsString="0" containsNumber="1" containsInteger="1" minValue="1" maxValue="1" count="1">
        <n v="1"/>
      </sharedItems>
    </cacheField>
    <cacheField name="Income Number or text? " numFmtId="0">
      <sharedItems containsNonDate="0" count="1">
        <s v="Ok"/>
      </sharedItems>
    </cacheField>
    <cacheField name="Age number or text?" numFmtId="0">
      <sharedItems containsNonDate="0" count="1">
        <s v="ok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3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1:U1001" sheet="Working Sheet"/>
  </cacheSource>
  <cacheFields count="21">
    <cacheField name="ID" numFmtId="0">
      <sharedItems containsSemiMixedTypes="0" containsNonDate="0" containsString="0" containsNumber="1" containsInteger="1" minValue="11000" maxValue="29447" count="1000">
        <n v="17185"/>
        <n v="11434"/>
        <n v="16009"/>
        <n v="27974"/>
        <n v="16675"/>
        <n v="14191"/>
        <n v="12705"/>
        <n v="11292"/>
        <n v="15922"/>
        <n v="23608"/>
        <n v="12678"/>
        <n v="29191"/>
        <n v="13176"/>
        <n v="18935"/>
        <n v="14443"/>
        <n v="11269"/>
        <n v="24398"/>
        <n v="11270"/>
        <n v="20339"/>
        <n v="23027"/>
        <n v="13453"/>
        <n v="22088"/>
        <n v="16867"/>
        <n v="28269"/>
        <n v="14278"/>
        <n v="15758"/>
        <n v="13082"/>
        <n v="12133"/>
        <n v="11249"/>
        <n v="18140"/>
        <n v="18160"/>
        <n v="17191"/>
        <n v="22821"/>
        <n v="24857"/>
        <n v="19066"/>
        <n v="18172"/>
        <n v="28918"/>
        <n v="12664"/>
        <n v="17203"/>
        <n v="20567"/>
        <n v="12205"/>
        <n v="15412"/>
        <n v="21560"/>
        <n v="28957"/>
        <n v="14238"/>
        <n v="16917"/>
        <n v="15194"/>
        <n v="19280"/>
        <n v="24397"/>
        <n v="29237"/>
        <n v="13313"/>
        <n v="13089"/>
        <n v="13314"/>
        <n v="17522"/>
        <n v="15926"/>
        <n v="26385"/>
        <n v="19057"/>
        <n v="22830"/>
        <n v="16651"/>
        <n v="12056"/>
        <n v="21557"/>
        <n v="24901"/>
        <n v="21891"/>
        <n v="29048"/>
        <n v="22719"/>
        <n v="26065"/>
        <n v="13287"/>
        <n v="29243"/>
        <n v="15382"/>
        <n v="13296"/>
        <n v="25184"/>
        <n v="15982"/>
        <n v="27304"/>
        <n v="18494"/>
        <n v="22204"/>
        <n v="25792"/>
        <n v="21568"/>
        <n v="20625"/>
        <n v="14233"/>
        <n v="11896"/>
        <n v="19664"/>
        <n v="15214"/>
        <n v="18952"/>
        <n v="18283"/>
        <n v="15940"/>
        <n v="20228"/>
        <n v="11259"/>
        <n v="18517"/>
        <n v="27637"/>
        <n v="27638"/>
        <n v="14469"/>
        <n v="23491"/>
        <n v="17324"/>
        <n v="24305"/>
        <n v="25058"/>
        <n v="13133"/>
        <n v="29120"/>
        <n v="29117"/>
        <n v="14193"/>
        <n v="23627"/>
        <n v="18153"/>
        <n v="20598"/>
        <n v="14507"/>
        <n v="13415"/>
        <n v="22931"/>
        <n v="21561"/>
        <n v="24611"/>
        <n v="27585"/>
        <n v="12697"/>
        <n v="17048"/>
        <n v="27582"/>
        <n v="26944"/>
        <n v="26654"/>
        <n v="22930"/>
        <n v="19661"/>
        <n v="22050"/>
        <n v="23461"/>
        <n v="11000"/>
        <n v="17260"/>
        <n v="23479"/>
        <n v="20343"/>
        <n v="11303"/>
        <n v="24416"/>
        <n v="18294"/>
        <n v="15799"/>
        <n v="21940"/>
        <n v="25241"/>
        <n v="26757"/>
        <n v="11090"/>
        <n v="22864"/>
        <n v="16871"/>
        <n v="24842"/>
        <n v="14189"/>
        <n v="24871"/>
        <n v="14192"/>
        <n v="26415"/>
        <n v="12332"/>
        <n v="12663"/>
        <n v="17197"/>
        <n v="11415"/>
        <n v="12291"/>
        <n v="13343"/>
        <n v="16007"/>
        <n v="14432"/>
        <n v="27969"/>
        <n v="17230"/>
        <n v="12344"/>
        <n v="16614"/>
        <n v="24898"/>
        <n v="17238"/>
        <n v="21554"/>
        <n v="11453"/>
        <n v="22994"/>
        <n v="23586"/>
        <n v="21266"/>
        <n v="21564"/>
        <n v="20619"/>
        <n v="14602"/>
        <n v="14669"/>
        <n v="28068"/>
        <n v="28207"/>
        <n v="26651"/>
        <n v="23882"/>
        <n v="28066"/>
        <n v="16179"/>
        <n v="22046"/>
        <n v="18783"/>
        <n v="24369"/>
        <n v="13961"/>
        <n v="18253"/>
        <n v="28580"/>
        <n v="18594"/>
        <n v="24093"/>
        <n v="27198"/>
        <n v="19608"/>
        <n v="29301"/>
        <n v="23426"/>
        <n v="28858"/>
        <n v="13122"/>
        <n v="13907"/>
        <n v="13911"/>
        <n v="19143"/>
        <n v="11262"/>
        <n v="25293"/>
        <n v="19660"/>
        <n v="29231"/>
        <n v="18391"/>
        <n v="18390"/>
        <n v="17450"/>
        <n v="13466"/>
        <n v="16245"/>
        <n v="16377"/>
        <n v="21714"/>
        <n v="13749"/>
        <n v="14657"/>
        <n v="18740"/>
        <n v="21713"/>
        <n v="13754"/>
        <n v="18674"/>
        <n v="24357"/>
        <n v="26012"/>
        <n v="26678"/>
        <n v="13283"/>
        <n v="19784"/>
        <n v="28228"/>
        <n v="15372"/>
        <n v="15752"/>
        <n v="18484"/>
        <n v="22918"/>
        <n v="23455"/>
        <n v="29255"/>
        <n v="17504"/>
        <n v="18423"/>
        <n v="13585"/>
        <n v="27941"/>
        <n v="13586"/>
        <n v="28906"/>
        <n v="27951"/>
        <n v="26412"/>
        <n v="19012"/>
        <n v="28915"/>
        <n v="18151"/>
        <n v="14177"/>
        <n v="18144"/>
        <n v="15682"/>
        <n v="18145"/>
        <n v="19914"/>
        <n v="13337"/>
        <n v="15740"/>
        <n v="19741"/>
        <n v="12207"/>
        <n v="17471"/>
        <n v="19731"/>
        <n v="27660"/>
        <n v="11275"/>
        <n v="25943"/>
        <n v="13620"/>
        <n v="11451"/>
        <n v="20606"/>
        <n v="18560"/>
        <n v="22042"/>
        <n v="11788"/>
        <n v="15302"/>
        <n v="16753"/>
        <n v="11807"/>
        <n v="13886"/>
        <n v="14572"/>
        <n v="27074"/>
        <n v="11817"/>
        <n v="13873"/>
        <n v="20659"/>
        <n v="27273"/>
        <n v="28672"/>
        <n v="11663"/>
        <n v="15501"/>
        <n v="26327"/>
        <n v="26341"/>
        <n v="22294"/>
        <n v="27540"/>
        <n v="18613"/>
        <n v="23432"/>
        <n v="28667"/>
        <n v="11669"/>
        <n v="14682"/>
        <n v="19164"/>
        <n v="27279"/>
        <n v="22296"/>
        <n v="25405"/>
        <n v="21184"/>
        <n v="11823"/>
        <n v="18711"/>
        <n v="23419"/>
        <n v="26032"/>
        <n v="26150"/>
        <n v="14058"/>
        <n v="21213"/>
        <n v="24381"/>
        <n v="25074"/>
        <n v="14063"/>
        <n v="17319"/>
        <n v="21974"/>
        <n v="19163"/>
        <n v="17000"/>
        <n v="11116"/>
        <n v="25983"/>
        <n v="16112"/>
        <n v="28323"/>
        <n v="17546"/>
        <n v="12957"/>
        <n v="18299"/>
        <n v="12964"/>
        <n v="19618"/>
        <n v="23376"/>
        <n v="23378"/>
        <n v="27643"/>
        <n v="26765"/>
        <n v="11287"/>
        <n v="19626"/>
        <n v="22005"/>
        <n v="28192"/>
        <n v="16145"/>
        <n v="16144"/>
        <n v="22006"/>
        <n v="11890"/>
        <n v="16154"/>
        <n v="19543"/>
        <n v="25065"/>
        <n v="12153"/>
        <n v="18491"/>
        <n v="19812"/>
        <n v="18504"/>
        <n v="26693"/>
        <n v="21741"/>
        <n v="23041"/>
        <n v="14032"/>
        <n v="27650"/>
        <n v="12195"/>
        <n v="20376"/>
        <n v="11061"/>
        <n v="20370"/>
        <n v="20430"/>
        <n v="24433"/>
        <n v="17458"/>
        <n v="25898"/>
        <n v="25899"/>
        <n v="14493"/>
        <n v="22118"/>
        <n v="11233"/>
        <n v="17462"/>
        <n v="28056"/>
        <n v="26728"/>
        <n v="19889"/>
        <n v="29030"/>
        <n v="21801"/>
        <n v="13390"/>
        <n v="20535"/>
        <n v="27434"/>
        <n v="13382"/>
        <n v="20518"/>
        <n v="25872"/>
        <n v="11200"/>
        <n v="11199"/>
        <n v="15319"/>
        <n v="16795"/>
        <n v="20514"/>
        <n v="23712"/>
        <n v="28031"/>
        <n v="21471"/>
        <n v="26490"/>
        <n v="18069"/>
        <n v="18066"/>
        <n v="23707"/>
        <n v="15749"/>
        <n v="15879"/>
        <n v="13351"/>
        <n v="22730"/>
        <n v="18435"/>
        <n v="11255"/>
        <n v="18949"/>
        <n v="25908"/>
        <n v="25909"/>
        <n v="20310"/>
        <n v="20414"/>
        <n v="16337"/>
        <n v="11941"/>
        <n v="19758"/>
        <n v="13073"/>
        <n v="11699"/>
        <n v="29112"/>
        <n v="26576"/>
        <n v="25954"/>
        <n v="12666"/>
        <n v="24584"/>
        <n v="17519"/>
        <n v="21417"/>
        <n v="16751"/>
        <n v="22211"/>
        <n v="23358"/>
        <n v="14284"/>
        <n v="11165"/>
        <n v="20296"/>
        <n v="16773"/>
        <n v="26582"/>
        <n v="11783"/>
        <n v="21587"/>
        <n v="25394"/>
        <n v="23158"/>
        <n v="15292"/>
        <n v="14569"/>
        <n v="20000"/>
        <n v="24801"/>
        <n v="21599"/>
        <n v="19117"/>
        <n v="22252"/>
        <n v="26305"/>
        <n v="11801"/>
        <n v="28657"/>
        <n v="27090"/>
        <n v="19562"/>
        <n v="12993"/>
        <n v="11897"/>
        <n v="26625"/>
        <n v="29181"/>
        <n v="11809"/>
        <n v="15580"/>
        <n v="16163"/>
        <n v="18572"/>
        <n v="16217"/>
        <n v="26663"/>
        <n v="21695"/>
        <n v="29037"/>
        <n v="14592"/>
        <n v="18577"/>
        <n v="18580"/>
        <n v="12922"/>
        <n v="20678"/>
        <n v="21693"/>
        <n v="23368"/>
        <n v="24324"/>
        <n v="25970"/>
        <n v="16185"/>
        <n v="17012"/>
        <n v="24322"/>
        <n v="18607"/>
        <n v="26597"/>
        <n v="29133"/>
        <n v="20698"/>
        <n v="29134"/>
        <n v="21660"/>
        <n v="23217"/>
        <n v="15529"/>
        <n v="18267"/>
        <n v="26154"/>
        <n v="27696"/>
        <n v="15532"/>
        <n v="20236"/>
        <n v="21980"/>
        <n v="29143"/>
        <n v="14633"/>
        <n v="14312"/>
        <n v="15555"/>
        <n v="18050"/>
        <n v="18052"/>
        <n v="22936"/>
        <n v="17310"/>
        <n v="20196"/>
        <n v="23542"/>
        <n v="26139"/>
        <n v="17864"/>
        <n v="24466"/>
        <n v="28319"/>
        <n v="29298"/>
        <n v="11738"/>
        <n v="13942"/>
        <n v="21207"/>
        <n v="11745"/>
        <n v="11538"/>
        <n v="16247"/>
        <n v="11734"/>
        <n v="12452"/>
        <n v="13760"/>
        <n v="15559"/>
        <n v="25101"/>
        <n v="11540"/>
        <n v="17269"/>
        <n v="19413"/>
        <n v="11886"/>
        <n v="16151"/>
        <n v="14662"/>
        <n v="22221"/>
        <n v="23449"/>
        <n v="25148"/>
        <n v="22219"/>
        <n v="22220"/>
        <n v="22227"/>
        <n v="17531"/>
        <n v="23459"/>
        <n v="12192"/>
        <n v="17436"/>
        <n v="18411"/>
        <n v="21306"/>
        <n v="16890"/>
        <n v="18858"/>
        <n v="27673"/>
        <n v="27441"/>
        <n v="12121"/>
        <n v="23731"/>
        <n v="14417"/>
        <n v="11225"/>
        <n v="18105"/>
        <n v="11219"/>
        <n v="16813"/>
        <n v="17699"/>
        <n v="19884"/>
        <n v="28052"/>
        <n v="25886"/>
        <n v="28043"/>
        <n v="24981"/>
        <n v="13388"/>
        <n v="19002"/>
        <n v="24979"/>
        <n v="13233"/>
        <n v="12100"/>
        <n v="15895"/>
        <n v="13216"/>
        <n v="14389"/>
        <n v="15313"/>
        <n v="16791"/>
        <n v="19856"/>
        <n v="21770"/>
        <n v="13353"/>
        <n v="24643"/>
        <n v="21751"/>
        <n v="21752"/>
        <n v="28004"/>
        <n v="28972"/>
        <n v="24941"/>
        <n v="24943"/>
        <n v="27388"/>
        <n v="23672"/>
        <n v="11147"/>
        <n v="22127"/>
        <n v="20380"/>
        <n v="18847"/>
        <n v="11622"/>
        <n v="22330"/>
        <n v="23818"/>
        <n v="11619"/>
        <n v="15287"/>
        <n v="15862"/>
        <n v="12882"/>
        <n v="19235"/>
        <n v="21583"/>
        <n v="26298"/>
        <n v="23144"/>
        <n v="25375"/>
        <n v="15468"/>
        <n v="28815"/>
        <n v="19299"/>
        <n v="14164"/>
        <n v="16209"/>
        <n v="11641"/>
        <n v="21039"/>
        <n v="19442"/>
        <n v="20657"/>
        <n v="19133"/>
        <n v="25419"/>
        <n v="17025"/>
        <n v="21613"/>
        <n v="27756"/>
        <n v="23197"/>
        <n v="23200"/>
        <n v="23893"/>
        <n v="23195"/>
        <n v="13920"/>
        <n v="14608"/>
        <n v="27393"/>
        <n v="19747"/>
        <n v="20401"/>
        <n v="17352"/>
        <n v="21441"/>
        <n v="20361"/>
        <n v="26452"/>
        <n v="28278"/>
        <n v="19441"/>
        <n v="20421"/>
        <n v="27740"/>
        <n v="12033"/>
        <n v="28087"/>
        <n v="13154"/>
        <n v="25261"/>
        <n v="27731"/>
        <n v="28090"/>
        <n v="13151"/>
        <n v="29052"/>
        <n v="18891"/>
        <n v="17926"/>
        <n v="24496"/>
        <n v="15255"/>
        <n v="16020"/>
        <n v="18363"/>
        <n v="23089"/>
        <n v="22976"/>
        <n v="17482"/>
        <n v="11143"/>
        <n v="15275"/>
        <n v="15814"/>
        <n v="17654"/>
        <n v="21260"/>
        <n v="27505"/>
        <n v="17657"/>
        <n v="23333"/>
        <n v="24514"/>
        <n v="27753"/>
        <n v="15272"/>
        <n v="24725"/>
        <n v="26236"/>
        <n v="18752"/>
        <n v="26238"/>
        <n v="26575"/>
        <n v="26778"/>
        <n v="19634"/>
        <n v="17337"/>
        <n v="22010"/>
        <n v="25041"/>
        <n v="29106"/>
        <n v="20711"/>
        <n v="25307"/>
        <n v="27190"/>
        <n v="25329"/>
        <n v="26984"/>
        <n v="26219"/>
        <n v="12744"/>
        <n v="28564"/>
        <n v="13687"/>
        <n v="18626"/>
        <n v="20729"/>
        <n v="27184"/>
        <n v="20053"/>
        <n v="17960"/>
        <n v="17650"/>
        <n v="25323"/>
        <n v="28758"/>
        <n v="19193"/>
        <n v="27183"/>
        <n v="25598"/>
        <n v="27261"/>
        <n v="11644"/>
        <n v="14865"/>
        <n v="23780"/>
        <n v="28521"/>
        <n v="29355"/>
        <n v="22633"/>
        <n v="27760"/>
        <n v="17964"/>
        <n v="17978"/>
        <n v="22464"/>
        <n v="14777"/>
        <n v="17793"/>
        <n v="26829"/>
        <n v="22634"/>
        <n v="22636"/>
        <n v="27775"/>
        <n v="12808"/>
        <n v="16406"/>
        <n v="26354"/>
        <n v="14791"/>
        <n v="12821"/>
        <n v="14939"/>
        <n v="28395"/>
        <n v="19475"/>
        <n v="19477"/>
        <n v="22500"/>
        <n v="11585"/>
        <n v="18012"/>
        <n v="12496"/>
        <n v="12497"/>
        <n v="20923"/>
        <n v="29132"/>
        <n v="14832"/>
        <n v="19147"/>
        <n v="17541"/>
        <n v="21108"/>
        <n v="25502"/>
        <n v="12510"/>
        <n v="19364"/>
        <n v="25651"/>
        <n v="16122"/>
        <n v="17858"/>
        <n v="23940"/>
        <n v="19399"/>
        <n v="13934"/>
        <n v="28799"/>
        <n v="21717"/>
        <n v="28625"/>
        <n v="14913"/>
        <n v="19228"/>
        <n v="14754"/>
        <n v="14900"/>
        <n v="14914"/>
        <n v="12774"/>
        <n v="24738"/>
        <n v="29097"/>
        <n v="16713"/>
        <n v="23105"/>
        <n v="24279"/>
        <n v="24485"/>
        <n v="26167"/>
        <n v="27494"/>
        <n v="16895"/>
        <n v="23513"/>
        <n v="14495"/>
        <n v="20528"/>
        <n v="26495"/>
        <n v="28997"/>
        <n v="23668"/>
        <n v="28026"/>
        <n v="20504"/>
        <n v="22743"/>
        <n v="24958"/>
        <n v="23704"/>
        <n v="20505"/>
        <n v="21451"/>
        <n v="18545"/>
        <n v="18976"/>
        <n v="27745"/>
        <n v="24637"/>
        <n v="14347"/>
        <n v="11149"/>
        <n v="26796"/>
        <n v="22988"/>
        <n v="23571"/>
        <n v="15265"/>
        <n v="15822"/>
        <n v="27994"/>
        <n v="17533"/>
        <n v="11555"/>
        <n v="15628"/>
        <n v="22971"/>
        <n v="14332"/>
        <n v="14514"/>
        <n v="27814"/>
        <n v="16725"/>
        <n v="18322"/>
        <n v="22014"/>
        <n v="12503"/>
        <n v="22518"/>
        <n v="22983"/>
        <n v="12728"/>
        <n v="17369"/>
        <n v="18329"/>
        <n v="14090"/>
        <n v="11935"/>
        <n v="13826"/>
        <n v="25006"/>
        <n v="27824"/>
        <n v="12029"/>
        <n v="14092"/>
        <n v="15612"/>
        <n v="19389"/>
        <n v="12871"/>
        <n v="24121"/>
        <n v="26886"/>
        <n v="17841"/>
        <n v="24119"/>
        <n v="20946"/>
        <n v="22707"/>
        <n v="27832"/>
        <n v="14077"/>
        <n v="16468"/>
        <n v="18910"/>
        <n v="23549"/>
        <n v="28436"/>
        <n v="12718"/>
        <n v="18347"/>
        <n v="25681"/>
        <n v="13066"/>
        <n v="17848"/>
        <n v="13683"/>
        <n v="19174"/>
        <n v="14271"/>
        <n v="14872"/>
        <n v="12716"/>
        <n v="12731"/>
        <n v="15839"/>
        <n v="15608"/>
        <n v="25303"/>
        <n v="20060"/>
        <n v="12389"/>
        <n v="27169"/>
        <n v="14154"/>
        <n v="22610"/>
        <n v="12284"/>
        <n v="25597"/>
        <n v="14927"/>
        <n v="22439"/>
        <n v="20877"/>
        <n v="14926"/>
        <n v="16390"/>
        <n v="12472"/>
        <n v="14785"/>
        <n v="23908"/>
        <n v="27771"/>
        <n v="20897"/>
        <n v="28379"/>
        <n v="11576"/>
        <n v="13813"/>
        <n v="22496"/>
        <n v="20919"/>
        <n v="21094"/>
        <n v="25649"/>
        <n v="19487"/>
        <n v="19491"/>
        <n v="22672"/>
        <n v="27803"/>
        <n v="12507"/>
        <n v="24107"/>
        <n v="18018"/>
        <n v="25693"/>
        <n v="19482"/>
        <n v="11386"/>
        <n v="12591"/>
        <n v="20828"/>
        <n v="11383"/>
        <n v="17754"/>
        <n v="21006"/>
        <n v="24187"/>
        <n v="15657"/>
        <n v="12610"/>
        <n v="15665"/>
        <n v="16549"/>
        <n v="20839"/>
        <n v="12273"/>
        <n v="26941"/>
        <n v="19223"/>
        <n v="24745"/>
        <n v="19217"/>
        <n v="23275"/>
        <n v="28609"/>
        <n v="20758"/>
        <n v="17668"/>
        <n v="20754"/>
        <n v="18649"/>
        <n v="14887"/>
        <n v="12768"/>
        <n v="23256"/>
        <n v="14883"/>
        <n v="22175"/>
        <n v="22173"/>
        <n v="22174"/>
        <n v="29094"/>
        <n v="22170"/>
        <n v="15019"/>
        <n v="16487"/>
        <n v="16489"/>
        <n v="11047"/>
        <n v="20417"/>
        <n v="23316"/>
        <n v="25918"/>
        <n v="26547"/>
        <n v="24955"/>
        <n v="26928"/>
        <n v="12590"/>
        <n v="12568"/>
        <n v="20147"/>
        <n v="25553"/>
        <n v="19650"/>
        <n v="11139"/>
        <n v="25266"/>
        <n v="29337"/>
        <n v="13136"/>
        <n v="20277"/>
        <n v="22974"/>
        <n v="13673"/>
        <n v="25559"/>
        <n v="20994"/>
        <n v="16188"/>
        <n v="28729"/>
        <n v="15030"/>
        <n v="20927"/>
        <n v="24174"/>
        <n v="25665"/>
        <n v="26863"/>
        <n v="27878"/>
        <n v="28488"/>
        <n v="12253"/>
        <n v="22527"/>
        <n v="28412"/>
        <n v="26879"/>
        <n v="25512"/>
        <n v="20942"/>
        <n v="13662"/>
        <n v="16466"/>
        <n v="17845"/>
        <n v="27835"/>
        <n v="13690"/>
        <n v="27165"/>
        <n v="11489"/>
        <n v="14135"/>
        <n v="26956"/>
        <n v="20851"/>
        <n v="12629"/>
        <n v="25460"/>
        <n v="24065"/>
        <n v="25458"/>
        <n v="19331"/>
        <n v="29380"/>
        <n v="12833"/>
        <n v="23915"/>
        <n v="17994"/>
        <n v="26852"/>
        <n v="14813"/>
        <n v="21738"/>
        <n v="17882"/>
        <n v="20962"/>
        <n v="20171"/>
        <n v="11381"/>
        <n v="27218"/>
        <n v="23801"/>
        <n v="25347"/>
        <n v="26270"/>
        <n v="27040"/>
        <n v="17894"/>
        <n v="25343"/>
        <n v="23797"/>
        <n v="24151"/>
        <n v="26248"/>
        <n v="13714"/>
        <n v="25752"/>
        <n v="20084"/>
        <n v="25605"/>
        <n v="25026"/>
        <n v="24273"/>
        <n v="25940"/>
        <n v="21375"/>
        <n v="22155"/>
        <n v="28102"/>
        <n v="19675"/>
        <n v="19748"/>
        <n v="14517"/>
        <n v="19273"/>
        <n v="20977"/>
        <n v="12236"/>
        <n v="12558"/>
        <n v="23986"/>
        <n v="14554"/>
        <n v="18058"/>
        <n v="15465"/>
        <n v="22402"/>
        <n v="25555"/>
        <n v="23993"/>
        <n v="22400"/>
        <n v="16514"/>
        <n v="22399"/>
        <n v="17907"/>
        <n v="12585"/>
        <n v="12581"/>
        <n v="16438"/>
        <n v="19508"/>
        <n v="24140"/>
        <n v="23962"/>
        <n v="17843"/>
        <n v="29424"/>
        <n v="22538"/>
        <n v="23963"/>
        <n v="15629"/>
        <n v="14696"/>
        <n v="16200"/>
        <n v="19291"/>
        <n v="28683"/>
        <n v="12274"/>
        <n v="19183"/>
        <n v="25313"/>
        <n v="16559"/>
        <n v="12212"/>
        <n v="24201"/>
        <n v="17702"/>
        <n v="13572"/>
        <n v="19445"/>
        <n v="20870"/>
        <n v="19305"/>
        <n v="26818"/>
        <n v="17703"/>
        <n v="16259"/>
        <n v="19461"/>
        <n v="24061"/>
        <n v="14798"/>
        <n v="16410"/>
        <n v="28380"/>
        <n v="14804"/>
        <n v="14805"/>
        <n v="26849"/>
        <n v="22381"/>
        <n v="25529"/>
        <n v="24185"/>
        <n v="11378"/>
        <n v="20797"/>
        <n v="16043"/>
        <n v="14545"/>
        <n v="24149"/>
        <n v="14544"/>
        <n v="13507"/>
        <n v="17891"/>
        <n v="23979"/>
        <n v="28468"/>
        <n v="12231"/>
        <n v="14547"/>
        <n v="19255"/>
        <n v="12234"/>
        <n v="20970"/>
        <n v="23248"/>
        <n v="20076"/>
        <n v="21365"/>
        <n v="25923"/>
        <n v="13981"/>
        <n v="25906"/>
        <n v="20974"/>
        <n v="29447"/>
        <n v="11340"/>
        <n v="15450"/>
      </sharedItems>
    </cacheField>
    <cacheField name="Marital Status" numFmtId="0">
      <sharedItems containsNonDate="0" count="2">
        <s v="M"/>
        <s v="S"/>
      </sharedItems>
    </cacheField>
    <cacheField name="Marital Status Full" numFmtId="0">
      <sharedItems containsNonDate="0" count="2">
        <s v="Married"/>
        <s v="Single"/>
      </sharedItems>
    </cacheField>
    <cacheField name="Gender" numFmtId="0">
      <sharedItems containsNonDate="0" count="2">
        <s v="F"/>
        <s v="M"/>
      </sharedItems>
    </cacheField>
    <cacheField name="Gender Full" numFmtId="0">
      <sharedItems containsNonDate="0" count="2">
        <s v="Female"/>
        <s v="Male"/>
      </sharedItems>
    </cacheField>
    <cacheField name="Income" numFmtId="0">
      <sharedItems containsSemiMixedTypes="0" containsNonDate="0" containsString="0" containsNumber="1" containsInteger="1" minValue="10000" maxValue="170000" count="16">
        <n v="170000"/>
        <n v="160000"/>
        <n v="150000"/>
        <n v="130000"/>
        <n v="120000"/>
        <n v="110000"/>
        <n v="100000"/>
        <n v="90000"/>
        <n v="80000"/>
        <n v="70000"/>
        <n v="60000"/>
        <n v="50000"/>
        <n v="40000"/>
        <n v="30000"/>
        <n v="20000"/>
        <n v="10000"/>
      </sharedItems>
    </cacheField>
    <cacheField name="Income Check" numFmtId="0">
      <sharedItems containsNonDate="0" count="1">
        <s v="okay"/>
      </sharedItems>
    </cacheField>
    <cacheField name="Children" numFmtId="0">
      <sharedItems containsSemiMixedTypes="0" containsNonDate="0" containsString="0" containsNumber="1" containsInteger="1" minValue="0" maxValue="5" count="6">
        <n v="4"/>
        <n v="5"/>
        <n v="1"/>
        <n v="2"/>
        <n v="0"/>
        <n v="3"/>
      </sharedItems>
    </cacheField>
    <cacheField name="Education" numFmtId="0">
      <sharedItems containsNonDate="0" count="5">
        <s v="Partial College"/>
        <s v="Graduate Degree"/>
        <s v="High School"/>
        <s v="Bachelors"/>
        <s v="Partial High School"/>
      </sharedItems>
    </cacheField>
    <cacheField name="Occupation" numFmtId="0">
      <sharedItems containsNonDate="0" count="5">
        <s v="Professional"/>
        <s v="Management"/>
        <s v="Manual"/>
        <s v="Skilled Manual"/>
        <s v="Clerical"/>
      </sharedItems>
    </cacheField>
    <cacheField name="Home Owner" numFmtId="0">
      <sharedItems containsNonDate="0" count="2">
        <s v="No"/>
        <s v="Yes"/>
      </sharedItems>
    </cacheField>
    <cacheField name="Cars" numFmtId="0">
      <sharedItems containsSemiMixedTypes="0" containsNonDate="0" containsString="0" containsNumber="1" containsInteger="1" minValue="0" maxValue="4" count="5">
        <n v="3"/>
        <n v="0"/>
        <n v="4"/>
        <n v="2"/>
        <n v="1"/>
      </sharedItems>
    </cacheField>
    <cacheField name="Commute Distance" numFmtId="0">
      <sharedItems containsNonDate="0" count="5">
        <s v="5-10 Miles"/>
        <s v="0-1 Miles"/>
        <s v="10+ Miles"/>
        <s v="1-2 Miles"/>
        <s v="2-5 Miles"/>
      </sharedItems>
    </cacheField>
    <cacheField name="Region" numFmtId="0">
      <sharedItems containsNonDate="0" count="3">
        <s v="Europe"/>
        <s v="North America"/>
        <s v="Pacific"/>
      </sharedItems>
    </cacheField>
    <cacheField name="Age" numFmtId="0">
      <sharedItems containsSemiMixedTypes="0" containsNonDate="0" containsString="0" containsNumber="1" containsInteger="1" minValue="25" maxValue="89" count="53">
        <n v="48"/>
        <n v="55"/>
        <n v="66"/>
        <n v="33"/>
        <n v="47"/>
        <n v="37"/>
        <n v="44"/>
        <n v="51"/>
        <n v="31"/>
        <n v="36"/>
        <n v="38"/>
        <n v="40"/>
        <n v="41"/>
        <n v="42"/>
        <n v="45"/>
        <n v="50"/>
        <n v="52"/>
        <n v="54"/>
        <n v="58"/>
        <n v="59"/>
        <n v="61"/>
        <n v="67"/>
        <n v="69"/>
        <n v="32"/>
        <n v="34"/>
        <n v="39"/>
        <n v="43"/>
        <n v="46"/>
        <n v="56"/>
        <n v="62"/>
        <n v="64"/>
        <n v="53"/>
        <n v="35"/>
        <n v="65"/>
        <n v="73"/>
        <n v="78"/>
        <n v="49"/>
        <n v="63"/>
        <n v="29"/>
        <n v="30"/>
        <n v="57"/>
        <n v="60"/>
        <n v="68"/>
        <n v="70"/>
        <n v="72"/>
        <n v="27"/>
        <n v="74"/>
        <n v="71"/>
        <n v="25"/>
        <n v="26"/>
        <n v="28"/>
        <n v="80"/>
        <n v="89"/>
      </sharedItems>
    </cacheField>
    <cacheField name="Age Check" numFmtId="0">
      <sharedItems containsNonDate="0" count="1">
        <s v="Okay"/>
      </sharedItems>
    </cacheField>
    <cacheField name="Age Group" numFmtId="0">
      <sharedItems containsNonDate="0" count="3">
        <s v="30-50"/>
        <s v="Over 50"/>
        <s v="UNDER 30"/>
      </sharedItems>
    </cacheField>
    <cacheField name="Purchased Bike" numFmtId="0">
      <sharedItems containsNonDate="0" count="2">
        <s v="Yes"/>
        <s v="No"/>
      </sharedItems>
    </cacheField>
    <cacheField name="ID Count" numFmtId="0">
      <sharedItems containsSemiMixedTypes="0" containsNonDate="0" containsString="0" containsNumber="1" containsInteger="1" minValue="1" maxValue="1" count="1">
        <n v="1"/>
      </sharedItems>
    </cacheField>
    <cacheField name="Income Number or text? " numFmtId="0">
      <sharedItems containsNonDate="0" count="1">
        <s v="Ok"/>
      </sharedItems>
    </cacheField>
    <cacheField name="Age number or text?" numFmtId="0">
      <sharedItems containsNonDate="0" count="1">
        <s v="ok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0"/>
    <x v="0"/>
    <x v="1"/>
    <x v="0"/>
    <x v="0"/>
    <x v="1"/>
    <x v="1"/>
    <x v="1"/>
    <x v="0"/>
    <x v="1"/>
    <x v="0"/>
    <x v="1"/>
    <x v="1"/>
    <x v="0"/>
    <x v="0"/>
    <x v="0"/>
  </r>
  <r>
    <x v="2"/>
    <x v="1"/>
    <x v="1"/>
    <x v="1"/>
    <x v="1"/>
    <x v="0"/>
    <x v="0"/>
    <x v="2"/>
    <x v="1"/>
    <x v="1"/>
    <x v="0"/>
    <x v="2"/>
    <x v="1"/>
    <x v="1"/>
    <x v="2"/>
    <x v="0"/>
    <x v="1"/>
    <x v="1"/>
    <x v="0"/>
    <x v="0"/>
    <x v="0"/>
  </r>
  <r>
    <x v="3"/>
    <x v="1"/>
    <x v="1"/>
    <x v="1"/>
    <x v="1"/>
    <x v="1"/>
    <x v="0"/>
    <x v="3"/>
    <x v="2"/>
    <x v="1"/>
    <x v="1"/>
    <x v="2"/>
    <x v="1"/>
    <x v="2"/>
    <x v="3"/>
    <x v="0"/>
    <x v="0"/>
    <x v="0"/>
    <x v="0"/>
    <x v="0"/>
    <x v="0"/>
  </r>
  <r>
    <x v="4"/>
    <x v="1"/>
    <x v="1"/>
    <x v="0"/>
    <x v="0"/>
    <x v="1"/>
    <x v="0"/>
    <x v="4"/>
    <x v="1"/>
    <x v="1"/>
    <x v="0"/>
    <x v="0"/>
    <x v="1"/>
    <x v="2"/>
    <x v="4"/>
    <x v="0"/>
    <x v="0"/>
    <x v="0"/>
    <x v="0"/>
    <x v="0"/>
    <x v="0"/>
  </r>
  <r>
    <x v="5"/>
    <x v="0"/>
    <x v="0"/>
    <x v="1"/>
    <x v="1"/>
    <x v="1"/>
    <x v="0"/>
    <x v="0"/>
    <x v="0"/>
    <x v="0"/>
    <x v="0"/>
    <x v="3"/>
    <x v="2"/>
    <x v="0"/>
    <x v="1"/>
    <x v="0"/>
    <x v="1"/>
    <x v="0"/>
    <x v="0"/>
    <x v="0"/>
    <x v="0"/>
  </r>
  <r>
    <x v="6"/>
    <x v="0"/>
    <x v="0"/>
    <x v="1"/>
    <x v="1"/>
    <x v="2"/>
    <x v="0"/>
    <x v="4"/>
    <x v="3"/>
    <x v="1"/>
    <x v="1"/>
    <x v="2"/>
    <x v="1"/>
    <x v="2"/>
    <x v="5"/>
    <x v="0"/>
    <x v="0"/>
    <x v="0"/>
    <x v="0"/>
    <x v="0"/>
    <x v="0"/>
  </r>
  <r>
    <x v="7"/>
    <x v="1"/>
    <x v="1"/>
    <x v="1"/>
    <x v="1"/>
    <x v="2"/>
    <x v="0"/>
    <x v="2"/>
    <x v="0"/>
    <x v="0"/>
    <x v="0"/>
    <x v="0"/>
    <x v="1"/>
    <x v="1"/>
    <x v="6"/>
    <x v="0"/>
    <x v="0"/>
    <x v="0"/>
    <x v="0"/>
    <x v="0"/>
    <x v="0"/>
  </r>
  <r>
    <x v="8"/>
    <x v="0"/>
    <x v="0"/>
    <x v="1"/>
    <x v="1"/>
    <x v="2"/>
    <x v="0"/>
    <x v="3"/>
    <x v="2"/>
    <x v="0"/>
    <x v="1"/>
    <x v="2"/>
    <x v="1"/>
    <x v="0"/>
    <x v="0"/>
    <x v="0"/>
    <x v="0"/>
    <x v="1"/>
    <x v="0"/>
    <x v="0"/>
    <x v="0"/>
  </r>
  <r>
    <x v="9"/>
    <x v="0"/>
    <x v="0"/>
    <x v="0"/>
    <x v="0"/>
    <x v="2"/>
    <x v="0"/>
    <x v="5"/>
    <x v="2"/>
    <x v="0"/>
    <x v="1"/>
    <x v="0"/>
    <x v="1"/>
    <x v="0"/>
    <x v="7"/>
    <x v="0"/>
    <x v="1"/>
    <x v="0"/>
    <x v="0"/>
    <x v="0"/>
    <x v="0"/>
  </r>
  <r>
    <x v="10"/>
    <x v="1"/>
    <x v="1"/>
    <x v="0"/>
    <x v="0"/>
    <x v="3"/>
    <x v="0"/>
    <x v="0"/>
    <x v="2"/>
    <x v="1"/>
    <x v="1"/>
    <x v="2"/>
    <x v="1"/>
    <x v="2"/>
    <x v="8"/>
    <x v="0"/>
    <x v="0"/>
    <x v="1"/>
    <x v="0"/>
    <x v="0"/>
    <x v="0"/>
  </r>
  <r>
    <x v="11"/>
    <x v="1"/>
    <x v="1"/>
    <x v="0"/>
    <x v="0"/>
    <x v="3"/>
    <x v="0"/>
    <x v="2"/>
    <x v="1"/>
    <x v="1"/>
    <x v="0"/>
    <x v="4"/>
    <x v="1"/>
    <x v="2"/>
    <x v="9"/>
    <x v="0"/>
    <x v="0"/>
    <x v="0"/>
    <x v="0"/>
    <x v="0"/>
    <x v="0"/>
  </r>
  <r>
    <x v="12"/>
    <x v="1"/>
    <x v="1"/>
    <x v="1"/>
    <x v="1"/>
    <x v="3"/>
    <x v="0"/>
    <x v="4"/>
    <x v="1"/>
    <x v="1"/>
    <x v="0"/>
    <x v="3"/>
    <x v="1"/>
    <x v="1"/>
    <x v="10"/>
    <x v="0"/>
    <x v="0"/>
    <x v="0"/>
    <x v="0"/>
    <x v="0"/>
    <x v="0"/>
  </r>
  <r>
    <x v="13"/>
    <x v="0"/>
    <x v="0"/>
    <x v="0"/>
    <x v="0"/>
    <x v="3"/>
    <x v="0"/>
    <x v="4"/>
    <x v="1"/>
    <x v="1"/>
    <x v="1"/>
    <x v="0"/>
    <x v="3"/>
    <x v="1"/>
    <x v="11"/>
    <x v="0"/>
    <x v="0"/>
    <x v="1"/>
    <x v="0"/>
    <x v="0"/>
    <x v="0"/>
  </r>
  <r>
    <x v="14"/>
    <x v="0"/>
    <x v="0"/>
    <x v="1"/>
    <x v="1"/>
    <x v="3"/>
    <x v="0"/>
    <x v="2"/>
    <x v="1"/>
    <x v="1"/>
    <x v="1"/>
    <x v="2"/>
    <x v="1"/>
    <x v="1"/>
    <x v="11"/>
    <x v="0"/>
    <x v="0"/>
    <x v="1"/>
    <x v="0"/>
    <x v="0"/>
    <x v="0"/>
  </r>
  <r>
    <x v="15"/>
    <x v="0"/>
    <x v="0"/>
    <x v="1"/>
    <x v="1"/>
    <x v="3"/>
    <x v="0"/>
    <x v="3"/>
    <x v="1"/>
    <x v="1"/>
    <x v="1"/>
    <x v="3"/>
    <x v="1"/>
    <x v="1"/>
    <x v="12"/>
    <x v="0"/>
    <x v="0"/>
    <x v="1"/>
    <x v="0"/>
    <x v="0"/>
    <x v="0"/>
  </r>
  <r>
    <x v="16"/>
    <x v="0"/>
    <x v="0"/>
    <x v="1"/>
    <x v="1"/>
    <x v="3"/>
    <x v="0"/>
    <x v="2"/>
    <x v="1"/>
    <x v="1"/>
    <x v="1"/>
    <x v="2"/>
    <x v="1"/>
    <x v="1"/>
    <x v="12"/>
    <x v="0"/>
    <x v="0"/>
    <x v="1"/>
    <x v="0"/>
    <x v="0"/>
    <x v="0"/>
  </r>
  <r>
    <x v="17"/>
    <x v="0"/>
    <x v="0"/>
    <x v="1"/>
    <x v="1"/>
    <x v="3"/>
    <x v="0"/>
    <x v="3"/>
    <x v="1"/>
    <x v="1"/>
    <x v="1"/>
    <x v="0"/>
    <x v="1"/>
    <x v="1"/>
    <x v="13"/>
    <x v="0"/>
    <x v="0"/>
    <x v="0"/>
    <x v="0"/>
    <x v="0"/>
    <x v="0"/>
  </r>
  <r>
    <x v="18"/>
    <x v="0"/>
    <x v="0"/>
    <x v="0"/>
    <x v="0"/>
    <x v="3"/>
    <x v="0"/>
    <x v="2"/>
    <x v="3"/>
    <x v="1"/>
    <x v="1"/>
    <x v="2"/>
    <x v="4"/>
    <x v="1"/>
    <x v="6"/>
    <x v="0"/>
    <x v="0"/>
    <x v="0"/>
    <x v="0"/>
    <x v="0"/>
    <x v="0"/>
  </r>
  <r>
    <x v="19"/>
    <x v="1"/>
    <x v="1"/>
    <x v="1"/>
    <x v="1"/>
    <x v="3"/>
    <x v="0"/>
    <x v="2"/>
    <x v="3"/>
    <x v="1"/>
    <x v="0"/>
    <x v="2"/>
    <x v="1"/>
    <x v="1"/>
    <x v="6"/>
    <x v="0"/>
    <x v="0"/>
    <x v="1"/>
    <x v="0"/>
    <x v="0"/>
    <x v="0"/>
  </r>
  <r>
    <x v="20"/>
    <x v="0"/>
    <x v="0"/>
    <x v="0"/>
    <x v="0"/>
    <x v="3"/>
    <x v="0"/>
    <x v="5"/>
    <x v="3"/>
    <x v="1"/>
    <x v="1"/>
    <x v="0"/>
    <x v="1"/>
    <x v="1"/>
    <x v="14"/>
    <x v="0"/>
    <x v="0"/>
    <x v="0"/>
    <x v="0"/>
    <x v="0"/>
    <x v="0"/>
  </r>
  <r>
    <x v="21"/>
    <x v="0"/>
    <x v="0"/>
    <x v="0"/>
    <x v="0"/>
    <x v="3"/>
    <x v="0"/>
    <x v="2"/>
    <x v="3"/>
    <x v="1"/>
    <x v="1"/>
    <x v="3"/>
    <x v="1"/>
    <x v="1"/>
    <x v="14"/>
    <x v="0"/>
    <x v="0"/>
    <x v="0"/>
    <x v="0"/>
    <x v="0"/>
    <x v="0"/>
  </r>
  <r>
    <x v="22"/>
    <x v="1"/>
    <x v="1"/>
    <x v="0"/>
    <x v="0"/>
    <x v="3"/>
    <x v="0"/>
    <x v="2"/>
    <x v="3"/>
    <x v="1"/>
    <x v="0"/>
    <x v="0"/>
    <x v="1"/>
    <x v="1"/>
    <x v="14"/>
    <x v="0"/>
    <x v="0"/>
    <x v="0"/>
    <x v="0"/>
    <x v="0"/>
    <x v="0"/>
  </r>
  <r>
    <x v="23"/>
    <x v="1"/>
    <x v="1"/>
    <x v="0"/>
    <x v="0"/>
    <x v="3"/>
    <x v="0"/>
    <x v="2"/>
    <x v="3"/>
    <x v="1"/>
    <x v="0"/>
    <x v="4"/>
    <x v="4"/>
    <x v="1"/>
    <x v="14"/>
    <x v="0"/>
    <x v="0"/>
    <x v="1"/>
    <x v="0"/>
    <x v="0"/>
    <x v="0"/>
  </r>
  <r>
    <x v="24"/>
    <x v="0"/>
    <x v="0"/>
    <x v="0"/>
    <x v="0"/>
    <x v="3"/>
    <x v="0"/>
    <x v="4"/>
    <x v="1"/>
    <x v="1"/>
    <x v="1"/>
    <x v="4"/>
    <x v="2"/>
    <x v="2"/>
    <x v="0"/>
    <x v="0"/>
    <x v="0"/>
    <x v="1"/>
    <x v="0"/>
    <x v="0"/>
    <x v="0"/>
  </r>
  <r>
    <x v="25"/>
    <x v="0"/>
    <x v="0"/>
    <x v="1"/>
    <x v="1"/>
    <x v="3"/>
    <x v="0"/>
    <x v="4"/>
    <x v="1"/>
    <x v="1"/>
    <x v="1"/>
    <x v="1"/>
    <x v="0"/>
    <x v="2"/>
    <x v="0"/>
    <x v="0"/>
    <x v="0"/>
    <x v="1"/>
    <x v="0"/>
    <x v="0"/>
    <x v="0"/>
  </r>
  <r>
    <x v="26"/>
    <x v="1"/>
    <x v="1"/>
    <x v="1"/>
    <x v="1"/>
    <x v="3"/>
    <x v="0"/>
    <x v="4"/>
    <x v="1"/>
    <x v="1"/>
    <x v="1"/>
    <x v="1"/>
    <x v="4"/>
    <x v="2"/>
    <x v="0"/>
    <x v="0"/>
    <x v="0"/>
    <x v="0"/>
    <x v="0"/>
    <x v="0"/>
    <x v="0"/>
  </r>
  <r>
    <x v="27"/>
    <x v="0"/>
    <x v="0"/>
    <x v="0"/>
    <x v="0"/>
    <x v="3"/>
    <x v="0"/>
    <x v="5"/>
    <x v="0"/>
    <x v="0"/>
    <x v="1"/>
    <x v="0"/>
    <x v="0"/>
    <x v="0"/>
    <x v="15"/>
    <x v="0"/>
    <x v="0"/>
    <x v="0"/>
    <x v="0"/>
    <x v="0"/>
    <x v="0"/>
  </r>
  <r>
    <x v="28"/>
    <x v="0"/>
    <x v="0"/>
    <x v="0"/>
    <x v="0"/>
    <x v="3"/>
    <x v="0"/>
    <x v="5"/>
    <x v="0"/>
    <x v="0"/>
    <x v="1"/>
    <x v="0"/>
    <x v="1"/>
    <x v="0"/>
    <x v="7"/>
    <x v="0"/>
    <x v="1"/>
    <x v="0"/>
    <x v="0"/>
    <x v="0"/>
    <x v="0"/>
  </r>
  <r>
    <x v="29"/>
    <x v="0"/>
    <x v="0"/>
    <x v="1"/>
    <x v="1"/>
    <x v="3"/>
    <x v="0"/>
    <x v="5"/>
    <x v="0"/>
    <x v="0"/>
    <x v="0"/>
    <x v="0"/>
    <x v="0"/>
    <x v="0"/>
    <x v="7"/>
    <x v="0"/>
    <x v="1"/>
    <x v="0"/>
    <x v="0"/>
    <x v="0"/>
    <x v="0"/>
  </r>
  <r>
    <x v="30"/>
    <x v="0"/>
    <x v="0"/>
    <x v="1"/>
    <x v="1"/>
    <x v="3"/>
    <x v="0"/>
    <x v="5"/>
    <x v="2"/>
    <x v="0"/>
    <x v="1"/>
    <x v="2"/>
    <x v="0"/>
    <x v="0"/>
    <x v="7"/>
    <x v="0"/>
    <x v="1"/>
    <x v="0"/>
    <x v="0"/>
    <x v="0"/>
    <x v="0"/>
  </r>
  <r>
    <x v="31"/>
    <x v="1"/>
    <x v="1"/>
    <x v="1"/>
    <x v="1"/>
    <x v="3"/>
    <x v="0"/>
    <x v="5"/>
    <x v="0"/>
    <x v="0"/>
    <x v="0"/>
    <x v="0"/>
    <x v="1"/>
    <x v="0"/>
    <x v="7"/>
    <x v="0"/>
    <x v="1"/>
    <x v="0"/>
    <x v="0"/>
    <x v="0"/>
    <x v="0"/>
  </r>
  <r>
    <x v="32"/>
    <x v="0"/>
    <x v="0"/>
    <x v="0"/>
    <x v="0"/>
    <x v="3"/>
    <x v="0"/>
    <x v="5"/>
    <x v="0"/>
    <x v="0"/>
    <x v="1"/>
    <x v="2"/>
    <x v="1"/>
    <x v="0"/>
    <x v="16"/>
    <x v="0"/>
    <x v="1"/>
    <x v="1"/>
    <x v="0"/>
    <x v="0"/>
    <x v="0"/>
  </r>
  <r>
    <x v="33"/>
    <x v="0"/>
    <x v="0"/>
    <x v="0"/>
    <x v="0"/>
    <x v="3"/>
    <x v="0"/>
    <x v="5"/>
    <x v="2"/>
    <x v="0"/>
    <x v="1"/>
    <x v="2"/>
    <x v="1"/>
    <x v="0"/>
    <x v="16"/>
    <x v="0"/>
    <x v="1"/>
    <x v="1"/>
    <x v="0"/>
    <x v="0"/>
    <x v="0"/>
  </r>
  <r>
    <x v="34"/>
    <x v="0"/>
    <x v="0"/>
    <x v="1"/>
    <x v="1"/>
    <x v="3"/>
    <x v="0"/>
    <x v="0"/>
    <x v="0"/>
    <x v="0"/>
    <x v="0"/>
    <x v="0"/>
    <x v="2"/>
    <x v="0"/>
    <x v="17"/>
    <x v="0"/>
    <x v="1"/>
    <x v="1"/>
    <x v="0"/>
    <x v="0"/>
    <x v="0"/>
  </r>
  <r>
    <x v="35"/>
    <x v="0"/>
    <x v="0"/>
    <x v="1"/>
    <x v="1"/>
    <x v="3"/>
    <x v="0"/>
    <x v="0"/>
    <x v="2"/>
    <x v="0"/>
    <x v="1"/>
    <x v="0"/>
    <x v="1"/>
    <x v="0"/>
    <x v="1"/>
    <x v="0"/>
    <x v="1"/>
    <x v="1"/>
    <x v="0"/>
    <x v="0"/>
    <x v="0"/>
  </r>
  <r>
    <x v="36"/>
    <x v="0"/>
    <x v="0"/>
    <x v="0"/>
    <x v="0"/>
    <x v="3"/>
    <x v="0"/>
    <x v="0"/>
    <x v="2"/>
    <x v="1"/>
    <x v="0"/>
    <x v="2"/>
    <x v="2"/>
    <x v="0"/>
    <x v="18"/>
    <x v="0"/>
    <x v="1"/>
    <x v="1"/>
    <x v="0"/>
    <x v="0"/>
    <x v="0"/>
  </r>
  <r>
    <x v="37"/>
    <x v="0"/>
    <x v="0"/>
    <x v="0"/>
    <x v="0"/>
    <x v="3"/>
    <x v="0"/>
    <x v="1"/>
    <x v="0"/>
    <x v="0"/>
    <x v="1"/>
    <x v="2"/>
    <x v="1"/>
    <x v="0"/>
    <x v="19"/>
    <x v="0"/>
    <x v="1"/>
    <x v="1"/>
    <x v="0"/>
    <x v="0"/>
    <x v="0"/>
  </r>
  <r>
    <x v="38"/>
    <x v="0"/>
    <x v="0"/>
    <x v="0"/>
    <x v="0"/>
    <x v="3"/>
    <x v="0"/>
    <x v="0"/>
    <x v="0"/>
    <x v="0"/>
    <x v="1"/>
    <x v="2"/>
    <x v="0"/>
    <x v="0"/>
    <x v="20"/>
    <x v="0"/>
    <x v="1"/>
    <x v="0"/>
    <x v="0"/>
    <x v="0"/>
    <x v="0"/>
  </r>
  <r>
    <x v="39"/>
    <x v="0"/>
    <x v="0"/>
    <x v="1"/>
    <x v="1"/>
    <x v="3"/>
    <x v="0"/>
    <x v="0"/>
    <x v="0"/>
    <x v="0"/>
    <x v="0"/>
    <x v="2"/>
    <x v="0"/>
    <x v="0"/>
    <x v="20"/>
    <x v="0"/>
    <x v="1"/>
    <x v="0"/>
    <x v="0"/>
    <x v="0"/>
    <x v="0"/>
  </r>
  <r>
    <x v="40"/>
    <x v="1"/>
    <x v="1"/>
    <x v="0"/>
    <x v="0"/>
    <x v="3"/>
    <x v="0"/>
    <x v="3"/>
    <x v="3"/>
    <x v="1"/>
    <x v="0"/>
    <x v="2"/>
    <x v="1"/>
    <x v="1"/>
    <x v="21"/>
    <x v="0"/>
    <x v="1"/>
    <x v="1"/>
    <x v="0"/>
    <x v="0"/>
    <x v="0"/>
  </r>
  <r>
    <x v="41"/>
    <x v="0"/>
    <x v="0"/>
    <x v="1"/>
    <x v="1"/>
    <x v="3"/>
    <x v="0"/>
    <x v="3"/>
    <x v="1"/>
    <x v="1"/>
    <x v="1"/>
    <x v="0"/>
    <x v="4"/>
    <x v="1"/>
    <x v="22"/>
    <x v="0"/>
    <x v="1"/>
    <x v="1"/>
    <x v="0"/>
    <x v="0"/>
    <x v="0"/>
  </r>
  <r>
    <x v="42"/>
    <x v="0"/>
    <x v="0"/>
    <x v="1"/>
    <x v="1"/>
    <x v="4"/>
    <x v="0"/>
    <x v="4"/>
    <x v="4"/>
    <x v="0"/>
    <x v="1"/>
    <x v="2"/>
    <x v="2"/>
    <x v="2"/>
    <x v="23"/>
    <x v="0"/>
    <x v="0"/>
    <x v="0"/>
    <x v="0"/>
    <x v="0"/>
    <x v="0"/>
  </r>
  <r>
    <x v="43"/>
    <x v="1"/>
    <x v="1"/>
    <x v="0"/>
    <x v="0"/>
    <x v="4"/>
    <x v="0"/>
    <x v="4"/>
    <x v="4"/>
    <x v="0"/>
    <x v="1"/>
    <x v="2"/>
    <x v="2"/>
    <x v="2"/>
    <x v="24"/>
    <x v="0"/>
    <x v="0"/>
    <x v="0"/>
    <x v="0"/>
    <x v="0"/>
    <x v="0"/>
  </r>
  <r>
    <x v="44"/>
    <x v="0"/>
    <x v="0"/>
    <x v="1"/>
    <x v="1"/>
    <x v="4"/>
    <x v="0"/>
    <x v="4"/>
    <x v="4"/>
    <x v="0"/>
    <x v="1"/>
    <x v="2"/>
    <x v="2"/>
    <x v="2"/>
    <x v="9"/>
    <x v="0"/>
    <x v="0"/>
    <x v="0"/>
    <x v="0"/>
    <x v="0"/>
    <x v="0"/>
  </r>
  <r>
    <x v="45"/>
    <x v="0"/>
    <x v="0"/>
    <x v="1"/>
    <x v="1"/>
    <x v="4"/>
    <x v="0"/>
    <x v="2"/>
    <x v="3"/>
    <x v="1"/>
    <x v="1"/>
    <x v="2"/>
    <x v="1"/>
    <x v="1"/>
    <x v="10"/>
    <x v="0"/>
    <x v="0"/>
    <x v="1"/>
    <x v="0"/>
    <x v="0"/>
    <x v="0"/>
  </r>
  <r>
    <x v="46"/>
    <x v="1"/>
    <x v="1"/>
    <x v="1"/>
    <x v="1"/>
    <x v="4"/>
    <x v="0"/>
    <x v="3"/>
    <x v="3"/>
    <x v="1"/>
    <x v="0"/>
    <x v="0"/>
    <x v="1"/>
    <x v="1"/>
    <x v="25"/>
    <x v="0"/>
    <x v="0"/>
    <x v="0"/>
    <x v="0"/>
    <x v="0"/>
    <x v="0"/>
  </r>
  <r>
    <x v="47"/>
    <x v="0"/>
    <x v="0"/>
    <x v="1"/>
    <x v="1"/>
    <x v="4"/>
    <x v="0"/>
    <x v="3"/>
    <x v="0"/>
    <x v="2"/>
    <x v="1"/>
    <x v="4"/>
    <x v="1"/>
    <x v="0"/>
    <x v="11"/>
    <x v="0"/>
    <x v="0"/>
    <x v="0"/>
    <x v="0"/>
    <x v="0"/>
    <x v="0"/>
  </r>
  <r>
    <x v="48"/>
    <x v="1"/>
    <x v="1"/>
    <x v="1"/>
    <x v="1"/>
    <x v="4"/>
    <x v="0"/>
    <x v="3"/>
    <x v="3"/>
    <x v="1"/>
    <x v="0"/>
    <x v="2"/>
    <x v="3"/>
    <x v="1"/>
    <x v="11"/>
    <x v="0"/>
    <x v="0"/>
    <x v="1"/>
    <x v="0"/>
    <x v="0"/>
    <x v="0"/>
  </r>
  <r>
    <x v="49"/>
    <x v="1"/>
    <x v="1"/>
    <x v="0"/>
    <x v="0"/>
    <x v="4"/>
    <x v="0"/>
    <x v="0"/>
    <x v="0"/>
    <x v="0"/>
    <x v="1"/>
    <x v="0"/>
    <x v="0"/>
    <x v="1"/>
    <x v="26"/>
    <x v="0"/>
    <x v="0"/>
    <x v="0"/>
    <x v="0"/>
    <x v="0"/>
    <x v="0"/>
  </r>
  <r>
    <x v="50"/>
    <x v="0"/>
    <x v="0"/>
    <x v="0"/>
    <x v="0"/>
    <x v="4"/>
    <x v="0"/>
    <x v="2"/>
    <x v="2"/>
    <x v="0"/>
    <x v="0"/>
    <x v="2"/>
    <x v="4"/>
    <x v="1"/>
    <x v="14"/>
    <x v="0"/>
    <x v="0"/>
    <x v="1"/>
    <x v="0"/>
    <x v="0"/>
    <x v="0"/>
  </r>
  <r>
    <x v="51"/>
    <x v="0"/>
    <x v="0"/>
    <x v="0"/>
    <x v="0"/>
    <x v="4"/>
    <x v="0"/>
    <x v="2"/>
    <x v="3"/>
    <x v="1"/>
    <x v="1"/>
    <x v="3"/>
    <x v="1"/>
    <x v="2"/>
    <x v="27"/>
    <x v="0"/>
    <x v="0"/>
    <x v="0"/>
    <x v="0"/>
    <x v="0"/>
    <x v="0"/>
  </r>
  <r>
    <x v="52"/>
    <x v="0"/>
    <x v="0"/>
    <x v="1"/>
    <x v="1"/>
    <x v="4"/>
    <x v="0"/>
    <x v="2"/>
    <x v="2"/>
    <x v="0"/>
    <x v="1"/>
    <x v="2"/>
    <x v="0"/>
    <x v="1"/>
    <x v="27"/>
    <x v="0"/>
    <x v="0"/>
    <x v="0"/>
    <x v="0"/>
    <x v="0"/>
    <x v="0"/>
  </r>
  <r>
    <x v="53"/>
    <x v="0"/>
    <x v="0"/>
    <x v="1"/>
    <x v="1"/>
    <x v="4"/>
    <x v="0"/>
    <x v="0"/>
    <x v="3"/>
    <x v="1"/>
    <x v="1"/>
    <x v="4"/>
    <x v="4"/>
    <x v="2"/>
    <x v="4"/>
    <x v="0"/>
    <x v="0"/>
    <x v="1"/>
    <x v="0"/>
    <x v="0"/>
    <x v="0"/>
  </r>
  <r>
    <x v="54"/>
    <x v="1"/>
    <x v="1"/>
    <x v="0"/>
    <x v="0"/>
    <x v="4"/>
    <x v="0"/>
    <x v="5"/>
    <x v="2"/>
    <x v="0"/>
    <x v="1"/>
    <x v="2"/>
    <x v="0"/>
    <x v="0"/>
    <x v="15"/>
    <x v="0"/>
    <x v="0"/>
    <x v="0"/>
    <x v="0"/>
    <x v="0"/>
    <x v="0"/>
  </r>
  <r>
    <x v="55"/>
    <x v="1"/>
    <x v="1"/>
    <x v="1"/>
    <x v="1"/>
    <x v="4"/>
    <x v="0"/>
    <x v="5"/>
    <x v="2"/>
    <x v="0"/>
    <x v="0"/>
    <x v="2"/>
    <x v="0"/>
    <x v="0"/>
    <x v="15"/>
    <x v="0"/>
    <x v="0"/>
    <x v="1"/>
    <x v="0"/>
    <x v="0"/>
    <x v="0"/>
  </r>
  <r>
    <x v="56"/>
    <x v="0"/>
    <x v="0"/>
    <x v="0"/>
    <x v="0"/>
    <x v="4"/>
    <x v="0"/>
    <x v="5"/>
    <x v="3"/>
    <x v="1"/>
    <x v="0"/>
    <x v="3"/>
    <x v="2"/>
    <x v="0"/>
    <x v="16"/>
    <x v="0"/>
    <x v="1"/>
    <x v="0"/>
    <x v="0"/>
    <x v="0"/>
    <x v="0"/>
  </r>
  <r>
    <x v="57"/>
    <x v="0"/>
    <x v="0"/>
    <x v="1"/>
    <x v="1"/>
    <x v="4"/>
    <x v="0"/>
    <x v="0"/>
    <x v="0"/>
    <x v="1"/>
    <x v="1"/>
    <x v="0"/>
    <x v="2"/>
    <x v="0"/>
    <x v="28"/>
    <x v="0"/>
    <x v="1"/>
    <x v="1"/>
    <x v="0"/>
    <x v="0"/>
    <x v="0"/>
  </r>
  <r>
    <x v="58"/>
    <x v="0"/>
    <x v="0"/>
    <x v="0"/>
    <x v="0"/>
    <x v="4"/>
    <x v="0"/>
    <x v="3"/>
    <x v="3"/>
    <x v="1"/>
    <x v="1"/>
    <x v="0"/>
    <x v="0"/>
    <x v="1"/>
    <x v="29"/>
    <x v="0"/>
    <x v="1"/>
    <x v="1"/>
    <x v="0"/>
    <x v="0"/>
    <x v="0"/>
  </r>
  <r>
    <x v="59"/>
    <x v="0"/>
    <x v="0"/>
    <x v="1"/>
    <x v="1"/>
    <x v="4"/>
    <x v="0"/>
    <x v="3"/>
    <x v="1"/>
    <x v="1"/>
    <x v="1"/>
    <x v="0"/>
    <x v="0"/>
    <x v="1"/>
    <x v="30"/>
    <x v="0"/>
    <x v="1"/>
    <x v="1"/>
    <x v="0"/>
    <x v="0"/>
    <x v="0"/>
  </r>
  <r>
    <x v="60"/>
    <x v="1"/>
    <x v="1"/>
    <x v="0"/>
    <x v="0"/>
    <x v="5"/>
    <x v="0"/>
    <x v="4"/>
    <x v="0"/>
    <x v="1"/>
    <x v="1"/>
    <x v="0"/>
    <x v="2"/>
    <x v="2"/>
    <x v="23"/>
    <x v="0"/>
    <x v="0"/>
    <x v="0"/>
    <x v="0"/>
    <x v="0"/>
    <x v="0"/>
  </r>
  <r>
    <x v="61"/>
    <x v="1"/>
    <x v="1"/>
    <x v="1"/>
    <x v="1"/>
    <x v="5"/>
    <x v="0"/>
    <x v="4"/>
    <x v="0"/>
    <x v="1"/>
    <x v="0"/>
    <x v="0"/>
    <x v="2"/>
    <x v="2"/>
    <x v="23"/>
    <x v="0"/>
    <x v="0"/>
    <x v="0"/>
    <x v="0"/>
    <x v="0"/>
    <x v="0"/>
  </r>
  <r>
    <x v="62"/>
    <x v="0"/>
    <x v="0"/>
    <x v="0"/>
    <x v="0"/>
    <x v="5"/>
    <x v="0"/>
    <x v="4"/>
    <x v="2"/>
    <x v="1"/>
    <x v="1"/>
    <x v="0"/>
    <x v="2"/>
    <x v="2"/>
    <x v="24"/>
    <x v="0"/>
    <x v="0"/>
    <x v="0"/>
    <x v="0"/>
    <x v="0"/>
    <x v="0"/>
  </r>
  <r>
    <x v="63"/>
    <x v="1"/>
    <x v="1"/>
    <x v="1"/>
    <x v="1"/>
    <x v="5"/>
    <x v="0"/>
    <x v="3"/>
    <x v="3"/>
    <x v="1"/>
    <x v="0"/>
    <x v="0"/>
    <x v="1"/>
    <x v="1"/>
    <x v="5"/>
    <x v="0"/>
    <x v="0"/>
    <x v="0"/>
    <x v="0"/>
    <x v="0"/>
    <x v="0"/>
  </r>
  <r>
    <x v="64"/>
    <x v="1"/>
    <x v="1"/>
    <x v="1"/>
    <x v="1"/>
    <x v="5"/>
    <x v="0"/>
    <x v="5"/>
    <x v="3"/>
    <x v="1"/>
    <x v="1"/>
    <x v="2"/>
    <x v="4"/>
    <x v="1"/>
    <x v="11"/>
    <x v="0"/>
    <x v="0"/>
    <x v="0"/>
    <x v="0"/>
    <x v="0"/>
    <x v="0"/>
  </r>
  <r>
    <x v="65"/>
    <x v="1"/>
    <x v="1"/>
    <x v="0"/>
    <x v="0"/>
    <x v="5"/>
    <x v="0"/>
    <x v="5"/>
    <x v="3"/>
    <x v="1"/>
    <x v="0"/>
    <x v="2"/>
    <x v="3"/>
    <x v="1"/>
    <x v="13"/>
    <x v="0"/>
    <x v="0"/>
    <x v="1"/>
    <x v="0"/>
    <x v="0"/>
    <x v="0"/>
  </r>
  <r>
    <x v="66"/>
    <x v="1"/>
    <x v="1"/>
    <x v="1"/>
    <x v="1"/>
    <x v="5"/>
    <x v="0"/>
    <x v="0"/>
    <x v="3"/>
    <x v="1"/>
    <x v="1"/>
    <x v="2"/>
    <x v="0"/>
    <x v="1"/>
    <x v="13"/>
    <x v="0"/>
    <x v="0"/>
    <x v="0"/>
    <x v="0"/>
    <x v="0"/>
    <x v="0"/>
  </r>
  <r>
    <x v="67"/>
    <x v="1"/>
    <x v="1"/>
    <x v="1"/>
    <x v="1"/>
    <x v="5"/>
    <x v="0"/>
    <x v="2"/>
    <x v="3"/>
    <x v="1"/>
    <x v="1"/>
    <x v="4"/>
    <x v="0"/>
    <x v="1"/>
    <x v="26"/>
    <x v="0"/>
    <x v="0"/>
    <x v="1"/>
    <x v="0"/>
    <x v="0"/>
    <x v="0"/>
  </r>
  <r>
    <x v="68"/>
    <x v="0"/>
    <x v="0"/>
    <x v="0"/>
    <x v="0"/>
    <x v="5"/>
    <x v="0"/>
    <x v="2"/>
    <x v="3"/>
    <x v="1"/>
    <x v="1"/>
    <x v="3"/>
    <x v="3"/>
    <x v="1"/>
    <x v="6"/>
    <x v="0"/>
    <x v="0"/>
    <x v="1"/>
    <x v="0"/>
    <x v="0"/>
    <x v="0"/>
  </r>
  <r>
    <x v="69"/>
    <x v="0"/>
    <x v="0"/>
    <x v="1"/>
    <x v="1"/>
    <x v="5"/>
    <x v="0"/>
    <x v="2"/>
    <x v="3"/>
    <x v="1"/>
    <x v="1"/>
    <x v="0"/>
    <x v="0"/>
    <x v="1"/>
    <x v="14"/>
    <x v="0"/>
    <x v="0"/>
    <x v="1"/>
    <x v="0"/>
    <x v="0"/>
    <x v="0"/>
  </r>
  <r>
    <x v="70"/>
    <x v="1"/>
    <x v="1"/>
    <x v="1"/>
    <x v="1"/>
    <x v="5"/>
    <x v="0"/>
    <x v="2"/>
    <x v="0"/>
    <x v="0"/>
    <x v="1"/>
    <x v="2"/>
    <x v="0"/>
    <x v="1"/>
    <x v="14"/>
    <x v="0"/>
    <x v="0"/>
    <x v="0"/>
    <x v="0"/>
    <x v="0"/>
    <x v="0"/>
  </r>
  <r>
    <x v="71"/>
    <x v="0"/>
    <x v="0"/>
    <x v="1"/>
    <x v="1"/>
    <x v="5"/>
    <x v="0"/>
    <x v="1"/>
    <x v="0"/>
    <x v="0"/>
    <x v="1"/>
    <x v="2"/>
    <x v="4"/>
    <x v="1"/>
    <x v="27"/>
    <x v="0"/>
    <x v="0"/>
    <x v="1"/>
    <x v="0"/>
    <x v="0"/>
    <x v="0"/>
  </r>
  <r>
    <x v="72"/>
    <x v="1"/>
    <x v="1"/>
    <x v="0"/>
    <x v="0"/>
    <x v="5"/>
    <x v="0"/>
    <x v="3"/>
    <x v="0"/>
    <x v="0"/>
    <x v="0"/>
    <x v="0"/>
    <x v="0"/>
    <x v="0"/>
    <x v="0"/>
    <x v="0"/>
    <x v="0"/>
    <x v="1"/>
    <x v="0"/>
    <x v="0"/>
    <x v="0"/>
  </r>
  <r>
    <x v="73"/>
    <x v="0"/>
    <x v="0"/>
    <x v="1"/>
    <x v="1"/>
    <x v="5"/>
    <x v="0"/>
    <x v="1"/>
    <x v="3"/>
    <x v="1"/>
    <x v="1"/>
    <x v="2"/>
    <x v="4"/>
    <x v="2"/>
    <x v="0"/>
    <x v="0"/>
    <x v="0"/>
    <x v="0"/>
    <x v="0"/>
    <x v="0"/>
    <x v="0"/>
  </r>
  <r>
    <x v="74"/>
    <x v="0"/>
    <x v="0"/>
    <x v="1"/>
    <x v="1"/>
    <x v="5"/>
    <x v="0"/>
    <x v="0"/>
    <x v="3"/>
    <x v="1"/>
    <x v="1"/>
    <x v="0"/>
    <x v="4"/>
    <x v="2"/>
    <x v="0"/>
    <x v="0"/>
    <x v="0"/>
    <x v="1"/>
    <x v="0"/>
    <x v="0"/>
    <x v="0"/>
  </r>
  <r>
    <x v="75"/>
    <x v="1"/>
    <x v="1"/>
    <x v="0"/>
    <x v="0"/>
    <x v="5"/>
    <x v="0"/>
    <x v="5"/>
    <x v="3"/>
    <x v="1"/>
    <x v="1"/>
    <x v="2"/>
    <x v="2"/>
    <x v="0"/>
    <x v="31"/>
    <x v="0"/>
    <x v="1"/>
    <x v="1"/>
    <x v="0"/>
    <x v="0"/>
    <x v="0"/>
  </r>
  <r>
    <x v="76"/>
    <x v="0"/>
    <x v="0"/>
    <x v="0"/>
    <x v="0"/>
    <x v="6"/>
    <x v="0"/>
    <x v="4"/>
    <x v="2"/>
    <x v="1"/>
    <x v="1"/>
    <x v="2"/>
    <x v="2"/>
    <x v="2"/>
    <x v="24"/>
    <x v="0"/>
    <x v="0"/>
    <x v="0"/>
    <x v="0"/>
    <x v="0"/>
    <x v="0"/>
  </r>
  <r>
    <x v="77"/>
    <x v="0"/>
    <x v="0"/>
    <x v="1"/>
    <x v="1"/>
    <x v="6"/>
    <x v="0"/>
    <x v="4"/>
    <x v="2"/>
    <x v="1"/>
    <x v="1"/>
    <x v="0"/>
    <x v="2"/>
    <x v="2"/>
    <x v="32"/>
    <x v="0"/>
    <x v="0"/>
    <x v="0"/>
    <x v="0"/>
    <x v="0"/>
    <x v="0"/>
  </r>
  <r>
    <x v="78"/>
    <x v="1"/>
    <x v="1"/>
    <x v="1"/>
    <x v="1"/>
    <x v="6"/>
    <x v="0"/>
    <x v="4"/>
    <x v="2"/>
    <x v="1"/>
    <x v="1"/>
    <x v="0"/>
    <x v="2"/>
    <x v="2"/>
    <x v="32"/>
    <x v="0"/>
    <x v="0"/>
    <x v="1"/>
    <x v="0"/>
    <x v="0"/>
    <x v="0"/>
  </r>
  <r>
    <x v="79"/>
    <x v="0"/>
    <x v="0"/>
    <x v="1"/>
    <x v="1"/>
    <x v="6"/>
    <x v="0"/>
    <x v="2"/>
    <x v="1"/>
    <x v="1"/>
    <x v="1"/>
    <x v="1"/>
    <x v="4"/>
    <x v="2"/>
    <x v="9"/>
    <x v="0"/>
    <x v="0"/>
    <x v="0"/>
    <x v="0"/>
    <x v="0"/>
    <x v="0"/>
  </r>
  <r>
    <x v="80"/>
    <x v="1"/>
    <x v="1"/>
    <x v="1"/>
    <x v="1"/>
    <x v="6"/>
    <x v="0"/>
    <x v="5"/>
    <x v="3"/>
    <x v="1"/>
    <x v="0"/>
    <x v="0"/>
    <x v="3"/>
    <x v="1"/>
    <x v="10"/>
    <x v="0"/>
    <x v="0"/>
    <x v="1"/>
    <x v="0"/>
    <x v="0"/>
    <x v="0"/>
  </r>
  <r>
    <x v="81"/>
    <x v="1"/>
    <x v="1"/>
    <x v="0"/>
    <x v="0"/>
    <x v="6"/>
    <x v="0"/>
    <x v="4"/>
    <x v="1"/>
    <x v="1"/>
    <x v="0"/>
    <x v="4"/>
    <x v="3"/>
    <x v="2"/>
    <x v="25"/>
    <x v="0"/>
    <x v="0"/>
    <x v="0"/>
    <x v="0"/>
    <x v="0"/>
    <x v="0"/>
  </r>
  <r>
    <x v="82"/>
    <x v="0"/>
    <x v="0"/>
    <x v="0"/>
    <x v="0"/>
    <x v="6"/>
    <x v="0"/>
    <x v="0"/>
    <x v="3"/>
    <x v="1"/>
    <x v="1"/>
    <x v="2"/>
    <x v="1"/>
    <x v="1"/>
    <x v="11"/>
    <x v="0"/>
    <x v="0"/>
    <x v="1"/>
    <x v="0"/>
    <x v="0"/>
    <x v="0"/>
  </r>
  <r>
    <x v="83"/>
    <x v="1"/>
    <x v="1"/>
    <x v="0"/>
    <x v="0"/>
    <x v="6"/>
    <x v="0"/>
    <x v="4"/>
    <x v="3"/>
    <x v="0"/>
    <x v="0"/>
    <x v="4"/>
    <x v="0"/>
    <x v="2"/>
    <x v="11"/>
    <x v="0"/>
    <x v="0"/>
    <x v="1"/>
    <x v="0"/>
    <x v="0"/>
    <x v="0"/>
  </r>
  <r>
    <x v="84"/>
    <x v="0"/>
    <x v="0"/>
    <x v="1"/>
    <x v="1"/>
    <x v="6"/>
    <x v="0"/>
    <x v="0"/>
    <x v="0"/>
    <x v="0"/>
    <x v="1"/>
    <x v="2"/>
    <x v="1"/>
    <x v="1"/>
    <x v="11"/>
    <x v="0"/>
    <x v="0"/>
    <x v="1"/>
    <x v="0"/>
    <x v="0"/>
    <x v="0"/>
  </r>
  <r>
    <x v="85"/>
    <x v="0"/>
    <x v="0"/>
    <x v="1"/>
    <x v="1"/>
    <x v="6"/>
    <x v="0"/>
    <x v="4"/>
    <x v="1"/>
    <x v="1"/>
    <x v="1"/>
    <x v="1"/>
    <x v="4"/>
    <x v="2"/>
    <x v="11"/>
    <x v="0"/>
    <x v="0"/>
    <x v="0"/>
    <x v="0"/>
    <x v="0"/>
    <x v="0"/>
  </r>
  <r>
    <x v="86"/>
    <x v="0"/>
    <x v="0"/>
    <x v="0"/>
    <x v="0"/>
    <x v="6"/>
    <x v="0"/>
    <x v="0"/>
    <x v="0"/>
    <x v="0"/>
    <x v="1"/>
    <x v="2"/>
    <x v="4"/>
    <x v="1"/>
    <x v="12"/>
    <x v="0"/>
    <x v="0"/>
    <x v="0"/>
    <x v="0"/>
    <x v="0"/>
    <x v="0"/>
  </r>
  <r>
    <x v="87"/>
    <x v="0"/>
    <x v="0"/>
    <x v="1"/>
    <x v="1"/>
    <x v="6"/>
    <x v="0"/>
    <x v="5"/>
    <x v="3"/>
    <x v="1"/>
    <x v="1"/>
    <x v="2"/>
    <x v="1"/>
    <x v="1"/>
    <x v="12"/>
    <x v="0"/>
    <x v="0"/>
    <x v="1"/>
    <x v="0"/>
    <x v="0"/>
    <x v="0"/>
  </r>
  <r>
    <x v="88"/>
    <x v="1"/>
    <x v="1"/>
    <x v="0"/>
    <x v="0"/>
    <x v="6"/>
    <x v="0"/>
    <x v="2"/>
    <x v="0"/>
    <x v="0"/>
    <x v="0"/>
    <x v="0"/>
    <x v="3"/>
    <x v="1"/>
    <x v="6"/>
    <x v="0"/>
    <x v="0"/>
    <x v="1"/>
    <x v="0"/>
    <x v="0"/>
    <x v="0"/>
  </r>
  <r>
    <x v="89"/>
    <x v="1"/>
    <x v="1"/>
    <x v="1"/>
    <x v="1"/>
    <x v="6"/>
    <x v="0"/>
    <x v="2"/>
    <x v="0"/>
    <x v="0"/>
    <x v="0"/>
    <x v="0"/>
    <x v="3"/>
    <x v="1"/>
    <x v="6"/>
    <x v="0"/>
    <x v="0"/>
    <x v="1"/>
    <x v="0"/>
    <x v="0"/>
    <x v="0"/>
  </r>
  <r>
    <x v="90"/>
    <x v="0"/>
    <x v="0"/>
    <x v="0"/>
    <x v="0"/>
    <x v="6"/>
    <x v="0"/>
    <x v="5"/>
    <x v="0"/>
    <x v="0"/>
    <x v="1"/>
    <x v="2"/>
    <x v="3"/>
    <x v="1"/>
    <x v="14"/>
    <x v="0"/>
    <x v="0"/>
    <x v="1"/>
    <x v="0"/>
    <x v="0"/>
    <x v="0"/>
  </r>
  <r>
    <x v="91"/>
    <x v="1"/>
    <x v="1"/>
    <x v="1"/>
    <x v="1"/>
    <x v="6"/>
    <x v="0"/>
    <x v="4"/>
    <x v="0"/>
    <x v="0"/>
    <x v="0"/>
    <x v="2"/>
    <x v="3"/>
    <x v="1"/>
    <x v="14"/>
    <x v="0"/>
    <x v="0"/>
    <x v="1"/>
    <x v="0"/>
    <x v="0"/>
    <x v="0"/>
  </r>
  <r>
    <x v="92"/>
    <x v="0"/>
    <x v="0"/>
    <x v="0"/>
    <x v="0"/>
    <x v="6"/>
    <x v="0"/>
    <x v="0"/>
    <x v="3"/>
    <x v="0"/>
    <x v="1"/>
    <x v="4"/>
    <x v="2"/>
    <x v="2"/>
    <x v="27"/>
    <x v="0"/>
    <x v="0"/>
    <x v="1"/>
    <x v="0"/>
    <x v="0"/>
    <x v="0"/>
  </r>
  <r>
    <x v="93"/>
    <x v="1"/>
    <x v="1"/>
    <x v="1"/>
    <x v="1"/>
    <x v="6"/>
    <x v="0"/>
    <x v="2"/>
    <x v="3"/>
    <x v="1"/>
    <x v="0"/>
    <x v="0"/>
    <x v="1"/>
    <x v="2"/>
    <x v="27"/>
    <x v="0"/>
    <x v="0"/>
    <x v="0"/>
    <x v="0"/>
    <x v="0"/>
    <x v="0"/>
  </r>
  <r>
    <x v="94"/>
    <x v="0"/>
    <x v="0"/>
    <x v="1"/>
    <x v="1"/>
    <x v="6"/>
    <x v="0"/>
    <x v="2"/>
    <x v="3"/>
    <x v="1"/>
    <x v="1"/>
    <x v="0"/>
    <x v="4"/>
    <x v="2"/>
    <x v="4"/>
    <x v="0"/>
    <x v="0"/>
    <x v="1"/>
    <x v="0"/>
    <x v="0"/>
    <x v="0"/>
  </r>
  <r>
    <x v="95"/>
    <x v="1"/>
    <x v="1"/>
    <x v="1"/>
    <x v="1"/>
    <x v="6"/>
    <x v="0"/>
    <x v="1"/>
    <x v="3"/>
    <x v="0"/>
    <x v="1"/>
    <x v="4"/>
    <x v="0"/>
    <x v="2"/>
    <x v="4"/>
    <x v="0"/>
    <x v="0"/>
    <x v="0"/>
    <x v="0"/>
    <x v="0"/>
    <x v="0"/>
  </r>
  <r>
    <x v="96"/>
    <x v="1"/>
    <x v="1"/>
    <x v="0"/>
    <x v="0"/>
    <x v="6"/>
    <x v="0"/>
    <x v="2"/>
    <x v="3"/>
    <x v="1"/>
    <x v="1"/>
    <x v="2"/>
    <x v="4"/>
    <x v="2"/>
    <x v="0"/>
    <x v="0"/>
    <x v="0"/>
    <x v="1"/>
    <x v="0"/>
    <x v="0"/>
    <x v="0"/>
  </r>
  <r>
    <x v="97"/>
    <x v="1"/>
    <x v="1"/>
    <x v="1"/>
    <x v="1"/>
    <x v="6"/>
    <x v="0"/>
    <x v="2"/>
    <x v="3"/>
    <x v="1"/>
    <x v="0"/>
    <x v="0"/>
    <x v="1"/>
    <x v="2"/>
    <x v="0"/>
    <x v="0"/>
    <x v="0"/>
    <x v="1"/>
    <x v="0"/>
    <x v="0"/>
    <x v="0"/>
  </r>
  <r>
    <x v="98"/>
    <x v="1"/>
    <x v="1"/>
    <x v="0"/>
    <x v="0"/>
    <x v="6"/>
    <x v="0"/>
    <x v="5"/>
    <x v="0"/>
    <x v="1"/>
    <x v="1"/>
    <x v="2"/>
    <x v="2"/>
    <x v="0"/>
    <x v="28"/>
    <x v="0"/>
    <x v="1"/>
    <x v="1"/>
    <x v="0"/>
    <x v="0"/>
    <x v="0"/>
  </r>
  <r>
    <x v="99"/>
    <x v="1"/>
    <x v="1"/>
    <x v="0"/>
    <x v="0"/>
    <x v="6"/>
    <x v="0"/>
    <x v="5"/>
    <x v="0"/>
    <x v="1"/>
    <x v="0"/>
    <x v="2"/>
    <x v="0"/>
    <x v="0"/>
    <x v="28"/>
    <x v="0"/>
    <x v="1"/>
    <x v="1"/>
    <x v="0"/>
    <x v="0"/>
    <x v="0"/>
  </r>
  <r>
    <x v="100"/>
    <x v="0"/>
    <x v="0"/>
    <x v="0"/>
    <x v="0"/>
    <x v="6"/>
    <x v="0"/>
    <x v="3"/>
    <x v="3"/>
    <x v="1"/>
    <x v="1"/>
    <x v="2"/>
    <x v="2"/>
    <x v="0"/>
    <x v="19"/>
    <x v="0"/>
    <x v="1"/>
    <x v="1"/>
    <x v="0"/>
    <x v="0"/>
    <x v="0"/>
  </r>
  <r>
    <x v="101"/>
    <x v="0"/>
    <x v="0"/>
    <x v="1"/>
    <x v="1"/>
    <x v="6"/>
    <x v="0"/>
    <x v="5"/>
    <x v="4"/>
    <x v="0"/>
    <x v="1"/>
    <x v="1"/>
    <x v="2"/>
    <x v="0"/>
    <x v="19"/>
    <x v="0"/>
    <x v="1"/>
    <x v="0"/>
    <x v="0"/>
    <x v="0"/>
    <x v="0"/>
  </r>
  <r>
    <x v="102"/>
    <x v="0"/>
    <x v="0"/>
    <x v="1"/>
    <x v="1"/>
    <x v="6"/>
    <x v="0"/>
    <x v="3"/>
    <x v="1"/>
    <x v="1"/>
    <x v="1"/>
    <x v="0"/>
    <x v="3"/>
    <x v="1"/>
    <x v="33"/>
    <x v="0"/>
    <x v="1"/>
    <x v="1"/>
    <x v="0"/>
    <x v="0"/>
    <x v="0"/>
  </r>
  <r>
    <x v="103"/>
    <x v="1"/>
    <x v="1"/>
    <x v="1"/>
    <x v="1"/>
    <x v="6"/>
    <x v="0"/>
    <x v="2"/>
    <x v="1"/>
    <x v="1"/>
    <x v="1"/>
    <x v="0"/>
    <x v="4"/>
    <x v="1"/>
    <x v="34"/>
    <x v="0"/>
    <x v="1"/>
    <x v="0"/>
    <x v="0"/>
    <x v="0"/>
    <x v="0"/>
  </r>
  <r>
    <x v="104"/>
    <x v="0"/>
    <x v="0"/>
    <x v="1"/>
    <x v="1"/>
    <x v="6"/>
    <x v="0"/>
    <x v="1"/>
    <x v="1"/>
    <x v="1"/>
    <x v="0"/>
    <x v="4"/>
    <x v="3"/>
    <x v="2"/>
    <x v="35"/>
    <x v="0"/>
    <x v="1"/>
    <x v="0"/>
    <x v="0"/>
    <x v="0"/>
    <x v="0"/>
  </r>
  <r>
    <x v="105"/>
    <x v="1"/>
    <x v="1"/>
    <x v="1"/>
    <x v="1"/>
    <x v="7"/>
    <x v="0"/>
    <x v="4"/>
    <x v="3"/>
    <x v="0"/>
    <x v="0"/>
    <x v="0"/>
    <x v="2"/>
    <x v="2"/>
    <x v="24"/>
    <x v="0"/>
    <x v="0"/>
    <x v="0"/>
    <x v="0"/>
    <x v="0"/>
    <x v="0"/>
  </r>
  <r>
    <x v="106"/>
    <x v="1"/>
    <x v="1"/>
    <x v="1"/>
    <x v="1"/>
    <x v="7"/>
    <x v="0"/>
    <x v="4"/>
    <x v="3"/>
    <x v="0"/>
    <x v="0"/>
    <x v="2"/>
    <x v="2"/>
    <x v="2"/>
    <x v="32"/>
    <x v="0"/>
    <x v="0"/>
    <x v="0"/>
    <x v="0"/>
    <x v="0"/>
    <x v="0"/>
  </r>
  <r>
    <x v="107"/>
    <x v="0"/>
    <x v="0"/>
    <x v="0"/>
    <x v="0"/>
    <x v="7"/>
    <x v="0"/>
    <x v="3"/>
    <x v="3"/>
    <x v="0"/>
    <x v="0"/>
    <x v="1"/>
    <x v="1"/>
    <x v="2"/>
    <x v="9"/>
    <x v="0"/>
    <x v="0"/>
    <x v="0"/>
    <x v="0"/>
    <x v="0"/>
    <x v="0"/>
  </r>
  <r>
    <x v="108"/>
    <x v="1"/>
    <x v="1"/>
    <x v="0"/>
    <x v="0"/>
    <x v="7"/>
    <x v="0"/>
    <x v="4"/>
    <x v="3"/>
    <x v="0"/>
    <x v="0"/>
    <x v="2"/>
    <x v="2"/>
    <x v="2"/>
    <x v="9"/>
    <x v="0"/>
    <x v="0"/>
    <x v="1"/>
    <x v="0"/>
    <x v="0"/>
    <x v="0"/>
  </r>
  <r>
    <x v="109"/>
    <x v="1"/>
    <x v="1"/>
    <x v="0"/>
    <x v="0"/>
    <x v="7"/>
    <x v="0"/>
    <x v="2"/>
    <x v="1"/>
    <x v="1"/>
    <x v="1"/>
    <x v="1"/>
    <x v="1"/>
    <x v="2"/>
    <x v="9"/>
    <x v="0"/>
    <x v="0"/>
    <x v="0"/>
    <x v="0"/>
    <x v="0"/>
    <x v="0"/>
  </r>
  <r>
    <x v="110"/>
    <x v="1"/>
    <x v="1"/>
    <x v="0"/>
    <x v="0"/>
    <x v="7"/>
    <x v="0"/>
    <x v="3"/>
    <x v="3"/>
    <x v="0"/>
    <x v="0"/>
    <x v="1"/>
    <x v="1"/>
    <x v="2"/>
    <x v="9"/>
    <x v="0"/>
    <x v="0"/>
    <x v="0"/>
    <x v="0"/>
    <x v="0"/>
    <x v="0"/>
  </r>
  <r>
    <x v="111"/>
    <x v="1"/>
    <x v="1"/>
    <x v="1"/>
    <x v="1"/>
    <x v="7"/>
    <x v="0"/>
    <x v="3"/>
    <x v="2"/>
    <x v="2"/>
    <x v="1"/>
    <x v="1"/>
    <x v="1"/>
    <x v="0"/>
    <x v="9"/>
    <x v="0"/>
    <x v="0"/>
    <x v="0"/>
    <x v="0"/>
    <x v="0"/>
    <x v="0"/>
  </r>
  <r>
    <x v="112"/>
    <x v="0"/>
    <x v="0"/>
    <x v="0"/>
    <x v="0"/>
    <x v="7"/>
    <x v="0"/>
    <x v="2"/>
    <x v="1"/>
    <x v="1"/>
    <x v="1"/>
    <x v="1"/>
    <x v="1"/>
    <x v="2"/>
    <x v="5"/>
    <x v="0"/>
    <x v="0"/>
    <x v="0"/>
    <x v="0"/>
    <x v="0"/>
    <x v="0"/>
  </r>
  <r>
    <x v="113"/>
    <x v="0"/>
    <x v="0"/>
    <x v="1"/>
    <x v="1"/>
    <x v="7"/>
    <x v="0"/>
    <x v="0"/>
    <x v="3"/>
    <x v="0"/>
    <x v="1"/>
    <x v="1"/>
    <x v="3"/>
    <x v="2"/>
    <x v="10"/>
    <x v="0"/>
    <x v="0"/>
    <x v="0"/>
    <x v="0"/>
    <x v="0"/>
    <x v="0"/>
  </r>
  <r>
    <x v="114"/>
    <x v="1"/>
    <x v="1"/>
    <x v="1"/>
    <x v="1"/>
    <x v="7"/>
    <x v="0"/>
    <x v="0"/>
    <x v="3"/>
    <x v="1"/>
    <x v="1"/>
    <x v="4"/>
    <x v="3"/>
    <x v="1"/>
    <x v="10"/>
    <x v="0"/>
    <x v="0"/>
    <x v="0"/>
    <x v="0"/>
    <x v="0"/>
    <x v="0"/>
  </r>
  <r>
    <x v="115"/>
    <x v="1"/>
    <x v="1"/>
    <x v="1"/>
    <x v="1"/>
    <x v="7"/>
    <x v="0"/>
    <x v="0"/>
    <x v="3"/>
    <x v="1"/>
    <x v="1"/>
    <x v="4"/>
    <x v="3"/>
    <x v="1"/>
    <x v="10"/>
    <x v="0"/>
    <x v="0"/>
    <x v="0"/>
    <x v="0"/>
    <x v="0"/>
    <x v="0"/>
  </r>
  <r>
    <x v="116"/>
    <x v="0"/>
    <x v="0"/>
    <x v="0"/>
    <x v="0"/>
    <x v="7"/>
    <x v="0"/>
    <x v="1"/>
    <x v="0"/>
    <x v="0"/>
    <x v="1"/>
    <x v="0"/>
    <x v="4"/>
    <x v="1"/>
    <x v="11"/>
    <x v="0"/>
    <x v="0"/>
    <x v="1"/>
    <x v="0"/>
    <x v="0"/>
    <x v="0"/>
  </r>
  <r>
    <x v="117"/>
    <x v="0"/>
    <x v="0"/>
    <x v="1"/>
    <x v="1"/>
    <x v="7"/>
    <x v="0"/>
    <x v="3"/>
    <x v="3"/>
    <x v="0"/>
    <x v="1"/>
    <x v="1"/>
    <x v="3"/>
    <x v="2"/>
    <x v="11"/>
    <x v="0"/>
    <x v="0"/>
    <x v="0"/>
    <x v="0"/>
    <x v="0"/>
    <x v="0"/>
  </r>
  <r>
    <x v="118"/>
    <x v="0"/>
    <x v="0"/>
    <x v="1"/>
    <x v="1"/>
    <x v="7"/>
    <x v="0"/>
    <x v="1"/>
    <x v="0"/>
    <x v="0"/>
    <x v="1"/>
    <x v="0"/>
    <x v="1"/>
    <x v="1"/>
    <x v="12"/>
    <x v="0"/>
    <x v="0"/>
    <x v="1"/>
    <x v="0"/>
    <x v="0"/>
    <x v="0"/>
  </r>
  <r>
    <x v="119"/>
    <x v="1"/>
    <x v="1"/>
    <x v="1"/>
    <x v="1"/>
    <x v="7"/>
    <x v="0"/>
    <x v="4"/>
    <x v="0"/>
    <x v="0"/>
    <x v="0"/>
    <x v="3"/>
    <x v="1"/>
    <x v="1"/>
    <x v="26"/>
    <x v="0"/>
    <x v="0"/>
    <x v="0"/>
    <x v="0"/>
    <x v="0"/>
    <x v="0"/>
  </r>
  <r>
    <x v="120"/>
    <x v="0"/>
    <x v="0"/>
    <x v="0"/>
    <x v="0"/>
    <x v="7"/>
    <x v="0"/>
    <x v="0"/>
    <x v="0"/>
    <x v="0"/>
    <x v="1"/>
    <x v="4"/>
    <x v="3"/>
    <x v="1"/>
    <x v="14"/>
    <x v="0"/>
    <x v="0"/>
    <x v="1"/>
    <x v="0"/>
    <x v="0"/>
    <x v="0"/>
  </r>
  <r>
    <x v="121"/>
    <x v="1"/>
    <x v="1"/>
    <x v="0"/>
    <x v="0"/>
    <x v="7"/>
    <x v="0"/>
    <x v="0"/>
    <x v="2"/>
    <x v="0"/>
    <x v="0"/>
    <x v="0"/>
    <x v="3"/>
    <x v="1"/>
    <x v="14"/>
    <x v="0"/>
    <x v="0"/>
    <x v="0"/>
    <x v="0"/>
    <x v="0"/>
    <x v="0"/>
  </r>
  <r>
    <x v="122"/>
    <x v="0"/>
    <x v="0"/>
    <x v="1"/>
    <x v="1"/>
    <x v="7"/>
    <x v="0"/>
    <x v="0"/>
    <x v="2"/>
    <x v="0"/>
    <x v="1"/>
    <x v="3"/>
    <x v="3"/>
    <x v="1"/>
    <x v="14"/>
    <x v="0"/>
    <x v="0"/>
    <x v="1"/>
    <x v="0"/>
    <x v="0"/>
    <x v="0"/>
  </r>
  <r>
    <x v="123"/>
    <x v="0"/>
    <x v="0"/>
    <x v="0"/>
    <x v="0"/>
    <x v="7"/>
    <x v="0"/>
    <x v="2"/>
    <x v="3"/>
    <x v="0"/>
    <x v="1"/>
    <x v="4"/>
    <x v="0"/>
    <x v="2"/>
    <x v="27"/>
    <x v="0"/>
    <x v="0"/>
    <x v="1"/>
    <x v="0"/>
    <x v="0"/>
    <x v="0"/>
  </r>
  <r>
    <x v="124"/>
    <x v="0"/>
    <x v="0"/>
    <x v="0"/>
    <x v="0"/>
    <x v="7"/>
    <x v="0"/>
    <x v="2"/>
    <x v="3"/>
    <x v="0"/>
    <x v="1"/>
    <x v="4"/>
    <x v="4"/>
    <x v="2"/>
    <x v="4"/>
    <x v="0"/>
    <x v="0"/>
    <x v="0"/>
    <x v="0"/>
    <x v="0"/>
    <x v="0"/>
  </r>
  <r>
    <x v="125"/>
    <x v="0"/>
    <x v="0"/>
    <x v="1"/>
    <x v="1"/>
    <x v="7"/>
    <x v="0"/>
    <x v="1"/>
    <x v="1"/>
    <x v="0"/>
    <x v="1"/>
    <x v="1"/>
    <x v="1"/>
    <x v="1"/>
    <x v="4"/>
    <x v="0"/>
    <x v="0"/>
    <x v="0"/>
    <x v="0"/>
    <x v="0"/>
    <x v="0"/>
  </r>
  <r>
    <x v="126"/>
    <x v="0"/>
    <x v="0"/>
    <x v="1"/>
    <x v="1"/>
    <x v="7"/>
    <x v="0"/>
    <x v="3"/>
    <x v="3"/>
    <x v="0"/>
    <x v="1"/>
    <x v="4"/>
    <x v="0"/>
    <x v="2"/>
    <x v="4"/>
    <x v="0"/>
    <x v="0"/>
    <x v="1"/>
    <x v="0"/>
    <x v="0"/>
    <x v="0"/>
  </r>
  <r>
    <x v="127"/>
    <x v="1"/>
    <x v="1"/>
    <x v="1"/>
    <x v="1"/>
    <x v="7"/>
    <x v="0"/>
    <x v="2"/>
    <x v="3"/>
    <x v="0"/>
    <x v="1"/>
    <x v="4"/>
    <x v="4"/>
    <x v="2"/>
    <x v="4"/>
    <x v="0"/>
    <x v="0"/>
    <x v="0"/>
    <x v="0"/>
    <x v="0"/>
    <x v="0"/>
  </r>
  <r>
    <x v="128"/>
    <x v="1"/>
    <x v="1"/>
    <x v="1"/>
    <x v="1"/>
    <x v="7"/>
    <x v="0"/>
    <x v="3"/>
    <x v="0"/>
    <x v="0"/>
    <x v="1"/>
    <x v="4"/>
    <x v="4"/>
    <x v="1"/>
    <x v="0"/>
    <x v="0"/>
    <x v="0"/>
    <x v="0"/>
    <x v="0"/>
    <x v="0"/>
    <x v="0"/>
  </r>
  <r>
    <x v="129"/>
    <x v="0"/>
    <x v="0"/>
    <x v="1"/>
    <x v="1"/>
    <x v="7"/>
    <x v="0"/>
    <x v="3"/>
    <x v="0"/>
    <x v="0"/>
    <x v="0"/>
    <x v="1"/>
    <x v="0"/>
    <x v="1"/>
    <x v="36"/>
    <x v="0"/>
    <x v="0"/>
    <x v="0"/>
    <x v="0"/>
    <x v="0"/>
    <x v="0"/>
  </r>
  <r>
    <x v="130"/>
    <x v="0"/>
    <x v="0"/>
    <x v="0"/>
    <x v="0"/>
    <x v="7"/>
    <x v="0"/>
    <x v="3"/>
    <x v="2"/>
    <x v="0"/>
    <x v="1"/>
    <x v="4"/>
    <x v="2"/>
    <x v="1"/>
    <x v="7"/>
    <x v="0"/>
    <x v="1"/>
    <x v="0"/>
    <x v="0"/>
    <x v="0"/>
    <x v="0"/>
  </r>
  <r>
    <x v="131"/>
    <x v="1"/>
    <x v="1"/>
    <x v="0"/>
    <x v="0"/>
    <x v="7"/>
    <x v="0"/>
    <x v="5"/>
    <x v="2"/>
    <x v="0"/>
    <x v="0"/>
    <x v="4"/>
    <x v="4"/>
    <x v="0"/>
    <x v="7"/>
    <x v="0"/>
    <x v="1"/>
    <x v="1"/>
    <x v="0"/>
    <x v="0"/>
    <x v="0"/>
  </r>
  <r>
    <x v="132"/>
    <x v="0"/>
    <x v="0"/>
    <x v="0"/>
    <x v="0"/>
    <x v="7"/>
    <x v="0"/>
    <x v="0"/>
    <x v="2"/>
    <x v="0"/>
    <x v="0"/>
    <x v="3"/>
    <x v="4"/>
    <x v="0"/>
    <x v="17"/>
    <x v="0"/>
    <x v="1"/>
    <x v="0"/>
    <x v="0"/>
    <x v="0"/>
    <x v="0"/>
  </r>
  <r>
    <x v="133"/>
    <x v="1"/>
    <x v="1"/>
    <x v="0"/>
    <x v="0"/>
    <x v="7"/>
    <x v="0"/>
    <x v="0"/>
    <x v="2"/>
    <x v="1"/>
    <x v="0"/>
    <x v="0"/>
    <x v="0"/>
    <x v="0"/>
    <x v="28"/>
    <x v="0"/>
    <x v="1"/>
    <x v="1"/>
    <x v="0"/>
    <x v="0"/>
    <x v="0"/>
  </r>
  <r>
    <x v="134"/>
    <x v="0"/>
    <x v="0"/>
    <x v="1"/>
    <x v="1"/>
    <x v="7"/>
    <x v="0"/>
    <x v="0"/>
    <x v="2"/>
    <x v="1"/>
    <x v="1"/>
    <x v="0"/>
    <x v="0"/>
    <x v="0"/>
    <x v="28"/>
    <x v="0"/>
    <x v="1"/>
    <x v="0"/>
    <x v="0"/>
    <x v="0"/>
    <x v="0"/>
  </r>
  <r>
    <x v="135"/>
    <x v="0"/>
    <x v="0"/>
    <x v="0"/>
    <x v="0"/>
    <x v="7"/>
    <x v="0"/>
    <x v="0"/>
    <x v="4"/>
    <x v="3"/>
    <x v="1"/>
    <x v="2"/>
    <x v="2"/>
    <x v="0"/>
    <x v="18"/>
    <x v="0"/>
    <x v="1"/>
    <x v="1"/>
    <x v="0"/>
    <x v="0"/>
    <x v="0"/>
  </r>
  <r>
    <x v="136"/>
    <x v="0"/>
    <x v="0"/>
    <x v="1"/>
    <x v="1"/>
    <x v="7"/>
    <x v="0"/>
    <x v="0"/>
    <x v="2"/>
    <x v="1"/>
    <x v="1"/>
    <x v="0"/>
    <x v="0"/>
    <x v="0"/>
    <x v="18"/>
    <x v="0"/>
    <x v="1"/>
    <x v="0"/>
    <x v="0"/>
    <x v="0"/>
    <x v="0"/>
  </r>
  <r>
    <x v="137"/>
    <x v="0"/>
    <x v="0"/>
    <x v="0"/>
    <x v="0"/>
    <x v="7"/>
    <x v="0"/>
    <x v="1"/>
    <x v="4"/>
    <x v="3"/>
    <x v="1"/>
    <x v="3"/>
    <x v="2"/>
    <x v="0"/>
    <x v="19"/>
    <x v="0"/>
    <x v="1"/>
    <x v="1"/>
    <x v="0"/>
    <x v="0"/>
    <x v="0"/>
  </r>
  <r>
    <x v="138"/>
    <x v="1"/>
    <x v="1"/>
    <x v="0"/>
    <x v="0"/>
    <x v="7"/>
    <x v="0"/>
    <x v="1"/>
    <x v="0"/>
    <x v="0"/>
    <x v="1"/>
    <x v="3"/>
    <x v="2"/>
    <x v="0"/>
    <x v="29"/>
    <x v="0"/>
    <x v="1"/>
    <x v="1"/>
    <x v="0"/>
    <x v="0"/>
    <x v="0"/>
  </r>
  <r>
    <x v="139"/>
    <x v="1"/>
    <x v="1"/>
    <x v="1"/>
    <x v="1"/>
    <x v="7"/>
    <x v="0"/>
    <x v="1"/>
    <x v="0"/>
    <x v="0"/>
    <x v="0"/>
    <x v="3"/>
    <x v="2"/>
    <x v="0"/>
    <x v="29"/>
    <x v="0"/>
    <x v="1"/>
    <x v="1"/>
    <x v="0"/>
    <x v="0"/>
    <x v="0"/>
  </r>
  <r>
    <x v="140"/>
    <x v="1"/>
    <x v="1"/>
    <x v="1"/>
    <x v="1"/>
    <x v="7"/>
    <x v="0"/>
    <x v="1"/>
    <x v="0"/>
    <x v="0"/>
    <x v="0"/>
    <x v="3"/>
    <x v="4"/>
    <x v="0"/>
    <x v="29"/>
    <x v="0"/>
    <x v="1"/>
    <x v="0"/>
    <x v="0"/>
    <x v="0"/>
    <x v="0"/>
  </r>
  <r>
    <x v="141"/>
    <x v="0"/>
    <x v="0"/>
    <x v="0"/>
    <x v="0"/>
    <x v="7"/>
    <x v="0"/>
    <x v="1"/>
    <x v="3"/>
    <x v="1"/>
    <x v="1"/>
    <x v="3"/>
    <x v="3"/>
    <x v="1"/>
    <x v="37"/>
    <x v="0"/>
    <x v="1"/>
    <x v="0"/>
    <x v="0"/>
    <x v="0"/>
    <x v="0"/>
  </r>
  <r>
    <x v="142"/>
    <x v="0"/>
    <x v="0"/>
    <x v="0"/>
    <x v="0"/>
    <x v="7"/>
    <x v="0"/>
    <x v="1"/>
    <x v="3"/>
    <x v="1"/>
    <x v="1"/>
    <x v="3"/>
    <x v="3"/>
    <x v="1"/>
    <x v="2"/>
    <x v="0"/>
    <x v="1"/>
    <x v="0"/>
    <x v="0"/>
    <x v="0"/>
    <x v="0"/>
  </r>
  <r>
    <x v="143"/>
    <x v="1"/>
    <x v="1"/>
    <x v="1"/>
    <x v="1"/>
    <x v="7"/>
    <x v="0"/>
    <x v="0"/>
    <x v="1"/>
    <x v="1"/>
    <x v="1"/>
    <x v="4"/>
    <x v="0"/>
    <x v="1"/>
    <x v="34"/>
    <x v="0"/>
    <x v="1"/>
    <x v="1"/>
    <x v="0"/>
    <x v="0"/>
    <x v="0"/>
  </r>
  <r>
    <x v="144"/>
    <x v="0"/>
    <x v="0"/>
    <x v="1"/>
    <x v="1"/>
    <x v="8"/>
    <x v="0"/>
    <x v="4"/>
    <x v="3"/>
    <x v="0"/>
    <x v="1"/>
    <x v="3"/>
    <x v="2"/>
    <x v="2"/>
    <x v="38"/>
    <x v="0"/>
    <x v="2"/>
    <x v="0"/>
    <x v="0"/>
    <x v="0"/>
    <x v="0"/>
  </r>
  <r>
    <x v="145"/>
    <x v="0"/>
    <x v="0"/>
    <x v="1"/>
    <x v="1"/>
    <x v="8"/>
    <x v="0"/>
    <x v="4"/>
    <x v="3"/>
    <x v="0"/>
    <x v="1"/>
    <x v="0"/>
    <x v="2"/>
    <x v="2"/>
    <x v="39"/>
    <x v="0"/>
    <x v="0"/>
    <x v="1"/>
    <x v="0"/>
    <x v="0"/>
    <x v="0"/>
  </r>
  <r>
    <x v="146"/>
    <x v="1"/>
    <x v="1"/>
    <x v="0"/>
    <x v="0"/>
    <x v="8"/>
    <x v="0"/>
    <x v="4"/>
    <x v="3"/>
    <x v="0"/>
    <x v="0"/>
    <x v="0"/>
    <x v="2"/>
    <x v="2"/>
    <x v="8"/>
    <x v="0"/>
    <x v="0"/>
    <x v="1"/>
    <x v="0"/>
    <x v="0"/>
    <x v="0"/>
  </r>
  <r>
    <x v="147"/>
    <x v="0"/>
    <x v="0"/>
    <x v="0"/>
    <x v="0"/>
    <x v="8"/>
    <x v="0"/>
    <x v="4"/>
    <x v="3"/>
    <x v="0"/>
    <x v="1"/>
    <x v="0"/>
    <x v="2"/>
    <x v="2"/>
    <x v="23"/>
    <x v="0"/>
    <x v="0"/>
    <x v="1"/>
    <x v="0"/>
    <x v="0"/>
    <x v="0"/>
  </r>
  <r>
    <x v="148"/>
    <x v="1"/>
    <x v="1"/>
    <x v="0"/>
    <x v="0"/>
    <x v="8"/>
    <x v="0"/>
    <x v="4"/>
    <x v="3"/>
    <x v="0"/>
    <x v="1"/>
    <x v="0"/>
    <x v="2"/>
    <x v="2"/>
    <x v="23"/>
    <x v="0"/>
    <x v="0"/>
    <x v="1"/>
    <x v="0"/>
    <x v="0"/>
    <x v="0"/>
  </r>
  <r>
    <x v="149"/>
    <x v="1"/>
    <x v="1"/>
    <x v="1"/>
    <x v="1"/>
    <x v="8"/>
    <x v="0"/>
    <x v="4"/>
    <x v="3"/>
    <x v="0"/>
    <x v="1"/>
    <x v="0"/>
    <x v="2"/>
    <x v="2"/>
    <x v="23"/>
    <x v="0"/>
    <x v="0"/>
    <x v="1"/>
    <x v="0"/>
    <x v="0"/>
    <x v="0"/>
  </r>
  <r>
    <x v="150"/>
    <x v="1"/>
    <x v="1"/>
    <x v="0"/>
    <x v="0"/>
    <x v="8"/>
    <x v="0"/>
    <x v="4"/>
    <x v="3"/>
    <x v="0"/>
    <x v="0"/>
    <x v="0"/>
    <x v="2"/>
    <x v="2"/>
    <x v="3"/>
    <x v="0"/>
    <x v="0"/>
    <x v="1"/>
    <x v="0"/>
    <x v="0"/>
    <x v="0"/>
  </r>
  <r>
    <x v="151"/>
    <x v="1"/>
    <x v="1"/>
    <x v="1"/>
    <x v="1"/>
    <x v="8"/>
    <x v="0"/>
    <x v="4"/>
    <x v="3"/>
    <x v="0"/>
    <x v="0"/>
    <x v="0"/>
    <x v="2"/>
    <x v="2"/>
    <x v="3"/>
    <x v="0"/>
    <x v="0"/>
    <x v="0"/>
    <x v="0"/>
    <x v="0"/>
    <x v="0"/>
  </r>
  <r>
    <x v="152"/>
    <x v="0"/>
    <x v="0"/>
    <x v="0"/>
    <x v="0"/>
    <x v="8"/>
    <x v="0"/>
    <x v="4"/>
    <x v="3"/>
    <x v="1"/>
    <x v="1"/>
    <x v="4"/>
    <x v="3"/>
    <x v="1"/>
    <x v="24"/>
    <x v="0"/>
    <x v="0"/>
    <x v="0"/>
    <x v="0"/>
    <x v="0"/>
    <x v="0"/>
  </r>
  <r>
    <x v="153"/>
    <x v="0"/>
    <x v="0"/>
    <x v="0"/>
    <x v="0"/>
    <x v="8"/>
    <x v="0"/>
    <x v="4"/>
    <x v="3"/>
    <x v="1"/>
    <x v="1"/>
    <x v="4"/>
    <x v="3"/>
    <x v="1"/>
    <x v="24"/>
    <x v="0"/>
    <x v="0"/>
    <x v="0"/>
    <x v="0"/>
    <x v="0"/>
    <x v="0"/>
  </r>
  <r>
    <x v="154"/>
    <x v="1"/>
    <x v="1"/>
    <x v="0"/>
    <x v="0"/>
    <x v="8"/>
    <x v="0"/>
    <x v="4"/>
    <x v="3"/>
    <x v="1"/>
    <x v="1"/>
    <x v="4"/>
    <x v="3"/>
    <x v="1"/>
    <x v="24"/>
    <x v="0"/>
    <x v="0"/>
    <x v="0"/>
    <x v="0"/>
    <x v="0"/>
    <x v="0"/>
  </r>
  <r>
    <x v="155"/>
    <x v="1"/>
    <x v="1"/>
    <x v="0"/>
    <x v="0"/>
    <x v="8"/>
    <x v="0"/>
    <x v="4"/>
    <x v="3"/>
    <x v="0"/>
    <x v="1"/>
    <x v="2"/>
    <x v="2"/>
    <x v="2"/>
    <x v="32"/>
    <x v="0"/>
    <x v="0"/>
    <x v="1"/>
    <x v="0"/>
    <x v="0"/>
    <x v="0"/>
  </r>
  <r>
    <x v="156"/>
    <x v="1"/>
    <x v="1"/>
    <x v="1"/>
    <x v="1"/>
    <x v="8"/>
    <x v="0"/>
    <x v="4"/>
    <x v="3"/>
    <x v="0"/>
    <x v="0"/>
    <x v="2"/>
    <x v="2"/>
    <x v="2"/>
    <x v="32"/>
    <x v="0"/>
    <x v="0"/>
    <x v="1"/>
    <x v="0"/>
    <x v="0"/>
    <x v="0"/>
  </r>
  <r>
    <x v="157"/>
    <x v="0"/>
    <x v="0"/>
    <x v="0"/>
    <x v="0"/>
    <x v="8"/>
    <x v="0"/>
    <x v="5"/>
    <x v="1"/>
    <x v="0"/>
    <x v="1"/>
    <x v="1"/>
    <x v="1"/>
    <x v="1"/>
    <x v="9"/>
    <x v="0"/>
    <x v="0"/>
    <x v="0"/>
    <x v="0"/>
    <x v="0"/>
    <x v="0"/>
  </r>
  <r>
    <x v="158"/>
    <x v="0"/>
    <x v="0"/>
    <x v="0"/>
    <x v="0"/>
    <x v="8"/>
    <x v="0"/>
    <x v="0"/>
    <x v="1"/>
    <x v="1"/>
    <x v="1"/>
    <x v="4"/>
    <x v="1"/>
    <x v="2"/>
    <x v="9"/>
    <x v="0"/>
    <x v="0"/>
    <x v="1"/>
    <x v="0"/>
    <x v="0"/>
    <x v="0"/>
  </r>
  <r>
    <x v="159"/>
    <x v="1"/>
    <x v="1"/>
    <x v="0"/>
    <x v="0"/>
    <x v="8"/>
    <x v="0"/>
    <x v="5"/>
    <x v="1"/>
    <x v="0"/>
    <x v="0"/>
    <x v="1"/>
    <x v="1"/>
    <x v="1"/>
    <x v="9"/>
    <x v="0"/>
    <x v="0"/>
    <x v="0"/>
    <x v="0"/>
    <x v="0"/>
    <x v="0"/>
  </r>
  <r>
    <x v="160"/>
    <x v="0"/>
    <x v="0"/>
    <x v="1"/>
    <x v="1"/>
    <x v="8"/>
    <x v="0"/>
    <x v="0"/>
    <x v="1"/>
    <x v="1"/>
    <x v="1"/>
    <x v="4"/>
    <x v="1"/>
    <x v="2"/>
    <x v="9"/>
    <x v="0"/>
    <x v="0"/>
    <x v="0"/>
    <x v="0"/>
    <x v="0"/>
    <x v="0"/>
  </r>
  <r>
    <x v="161"/>
    <x v="1"/>
    <x v="1"/>
    <x v="1"/>
    <x v="1"/>
    <x v="8"/>
    <x v="0"/>
    <x v="0"/>
    <x v="1"/>
    <x v="1"/>
    <x v="1"/>
    <x v="1"/>
    <x v="1"/>
    <x v="2"/>
    <x v="9"/>
    <x v="0"/>
    <x v="0"/>
    <x v="0"/>
    <x v="0"/>
    <x v="0"/>
    <x v="0"/>
  </r>
  <r>
    <x v="162"/>
    <x v="1"/>
    <x v="1"/>
    <x v="0"/>
    <x v="0"/>
    <x v="8"/>
    <x v="0"/>
    <x v="5"/>
    <x v="1"/>
    <x v="0"/>
    <x v="1"/>
    <x v="1"/>
    <x v="1"/>
    <x v="1"/>
    <x v="5"/>
    <x v="0"/>
    <x v="0"/>
    <x v="0"/>
    <x v="0"/>
    <x v="0"/>
    <x v="0"/>
  </r>
  <r>
    <x v="163"/>
    <x v="0"/>
    <x v="0"/>
    <x v="1"/>
    <x v="1"/>
    <x v="8"/>
    <x v="0"/>
    <x v="3"/>
    <x v="1"/>
    <x v="0"/>
    <x v="1"/>
    <x v="1"/>
    <x v="1"/>
    <x v="1"/>
    <x v="5"/>
    <x v="0"/>
    <x v="0"/>
    <x v="0"/>
    <x v="0"/>
    <x v="0"/>
    <x v="0"/>
  </r>
  <r>
    <x v="164"/>
    <x v="1"/>
    <x v="1"/>
    <x v="0"/>
    <x v="0"/>
    <x v="8"/>
    <x v="0"/>
    <x v="1"/>
    <x v="3"/>
    <x v="0"/>
    <x v="1"/>
    <x v="2"/>
    <x v="3"/>
    <x v="2"/>
    <x v="10"/>
    <x v="0"/>
    <x v="0"/>
    <x v="1"/>
    <x v="0"/>
    <x v="0"/>
    <x v="0"/>
  </r>
  <r>
    <x v="165"/>
    <x v="1"/>
    <x v="1"/>
    <x v="0"/>
    <x v="0"/>
    <x v="8"/>
    <x v="0"/>
    <x v="4"/>
    <x v="3"/>
    <x v="1"/>
    <x v="0"/>
    <x v="4"/>
    <x v="1"/>
    <x v="1"/>
    <x v="10"/>
    <x v="0"/>
    <x v="0"/>
    <x v="0"/>
    <x v="0"/>
    <x v="0"/>
    <x v="0"/>
  </r>
  <r>
    <x v="166"/>
    <x v="1"/>
    <x v="1"/>
    <x v="1"/>
    <x v="1"/>
    <x v="8"/>
    <x v="0"/>
    <x v="4"/>
    <x v="3"/>
    <x v="1"/>
    <x v="0"/>
    <x v="4"/>
    <x v="1"/>
    <x v="1"/>
    <x v="10"/>
    <x v="0"/>
    <x v="0"/>
    <x v="0"/>
    <x v="0"/>
    <x v="0"/>
    <x v="0"/>
  </r>
  <r>
    <x v="167"/>
    <x v="0"/>
    <x v="0"/>
    <x v="1"/>
    <x v="1"/>
    <x v="8"/>
    <x v="0"/>
    <x v="1"/>
    <x v="1"/>
    <x v="1"/>
    <x v="0"/>
    <x v="3"/>
    <x v="1"/>
    <x v="2"/>
    <x v="25"/>
    <x v="0"/>
    <x v="0"/>
    <x v="1"/>
    <x v="0"/>
    <x v="0"/>
    <x v="0"/>
  </r>
  <r>
    <x v="168"/>
    <x v="0"/>
    <x v="0"/>
    <x v="0"/>
    <x v="0"/>
    <x v="8"/>
    <x v="0"/>
    <x v="1"/>
    <x v="1"/>
    <x v="1"/>
    <x v="1"/>
    <x v="0"/>
    <x v="1"/>
    <x v="2"/>
    <x v="11"/>
    <x v="0"/>
    <x v="0"/>
    <x v="1"/>
    <x v="0"/>
    <x v="0"/>
    <x v="0"/>
  </r>
  <r>
    <x v="169"/>
    <x v="0"/>
    <x v="0"/>
    <x v="0"/>
    <x v="0"/>
    <x v="8"/>
    <x v="0"/>
    <x v="1"/>
    <x v="1"/>
    <x v="1"/>
    <x v="1"/>
    <x v="0"/>
    <x v="1"/>
    <x v="2"/>
    <x v="11"/>
    <x v="0"/>
    <x v="0"/>
    <x v="1"/>
    <x v="0"/>
    <x v="0"/>
    <x v="0"/>
  </r>
  <r>
    <x v="170"/>
    <x v="0"/>
    <x v="0"/>
    <x v="0"/>
    <x v="0"/>
    <x v="8"/>
    <x v="0"/>
    <x v="4"/>
    <x v="1"/>
    <x v="3"/>
    <x v="1"/>
    <x v="1"/>
    <x v="3"/>
    <x v="1"/>
    <x v="11"/>
    <x v="0"/>
    <x v="0"/>
    <x v="0"/>
    <x v="0"/>
    <x v="0"/>
    <x v="0"/>
  </r>
  <r>
    <x v="171"/>
    <x v="1"/>
    <x v="1"/>
    <x v="0"/>
    <x v="0"/>
    <x v="8"/>
    <x v="0"/>
    <x v="5"/>
    <x v="3"/>
    <x v="3"/>
    <x v="1"/>
    <x v="0"/>
    <x v="2"/>
    <x v="1"/>
    <x v="11"/>
    <x v="0"/>
    <x v="0"/>
    <x v="0"/>
    <x v="0"/>
    <x v="0"/>
    <x v="0"/>
  </r>
  <r>
    <x v="172"/>
    <x v="1"/>
    <x v="1"/>
    <x v="0"/>
    <x v="0"/>
    <x v="8"/>
    <x v="0"/>
    <x v="4"/>
    <x v="1"/>
    <x v="3"/>
    <x v="0"/>
    <x v="1"/>
    <x v="1"/>
    <x v="0"/>
    <x v="11"/>
    <x v="0"/>
    <x v="0"/>
    <x v="0"/>
    <x v="0"/>
    <x v="0"/>
    <x v="0"/>
  </r>
  <r>
    <x v="173"/>
    <x v="1"/>
    <x v="1"/>
    <x v="0"/>
    <x v="0"/>
    <x v="8"/>
    <x v="0"/>
    <x v="4"/>
    <x v="1"/>
    <x v="3"/>
    <x v="0"/>
    <x v="1"/>
    <x v="1"/>
    <x v="1"/>
    <x v="11"/>
    <x v="0"/>
    <x v="0"/>
    <x v="1"/>
    <x v="0"/>
    <x v="0"/>
    <x v="0"/>
  </r>
  <r>
    <x v="174"/>
    <x v="0"/>
    <x v="0"/>
    <x v="1"/>
    <x v="1"/>
    <x v="8"/>
    <x v="0"/>
    <x v="1"/>
    <x v="3"/>
    <x v="0"/>
    <x v="1"/>
    <x v="2"/>
    <x v="3"/>
    <x v="2"/>
    <x v="11"/>
    <x v="0"/>
    <x v="0"/>
    <x v="1"/>
    <x v="0"/>
    <x v="0"/>
    <x v="0"/>
  </r>
  <r>
    <x v="175"/>
    <x v="0"/>
    <x v="0"/>
    <x v="1"/>
    <x v="1"/>
    <x v="8"/>
    <x v="0"/>
    <x v="1"/>
    <x v="3"/>
    <x v="0"/>
    <x v="1"/>
    <x v="2"/>
    <x v="3"/>
    <x v="2"/>
    <x v="11"/>
    <x v="0"/>
    <x v="0"/>
    <x v="1"/>
    <x v="0"/>
    <x v="0"/>
    <x v="0"/>
  </r>
  <r>
    <x v="176"/>
    <x v="1"/>
    <x v="1"/>
    <x v="1"/>
    <x v="1"/>
    <x v="8"/>
    <x v="0"/>
    <x v="1"/>
    <x v="1"/>
    <x v="1"/>
    <x v="1"/>
    <x v="0"/>
    <x v="1"/>
    <x v="2"/>
    <x v="11"/>
    <x v="0"/>
    <x v="0"/>
    <x v="1"/>
    <x v="0"/>
    <x v="0"/>
    <x v="0"/>
  </r>
  <r>
    <x v="177"/>
    <x v="1"/>
    <x v="1"/>
    <x v="1"/>
    <x v="1"/>
    <x v="8"/>
    <x v="0"/>
    <x v="5"/>
    <x v="3"/>
    <x v="3"/>
    <x v="1"/>
    <x v="1"/>
    <x v="4"/>
    <x v="1"/>
    <x v="11"/>
    <x v="0"/>
    <x v="0"/>
    <x v="1"/>
    <x v="0"/>
    <x v="0"/>
    <x v="0"/>
  </r>
  <r>
    <x v="178"/>
    <x v="0"/>
    <x v="0"/>
    <x v="0"/>
    <x v="0"/>
    <x v="8"/>
    <x v="0"/>
    <x v="4"/>
    <x v="3"/>
    <x v="0"/>
    <x v="1"/>
    <x v="4"/>
    <x v="3"/>
    <x v="2"/>
    <x v="12"/>
    <x v="0"/>
    <x v="0"/>
    <x v="0"/>
    <x v="0"/>
    <x v="0"/>
    <x v="0"/>
  </r>
  <r>
    <x v="179"/>
    <x v="1"/>
    <x v="1"/>
    <x v="0"/>
    <x v="0"/>
    <x v="8"/>
    <x v="0"/>
    <x v="5"/>
    <x v="3"/>
    <x v="3"/>
    <x v="1"/>
    <x v="4"/>
    <x v="1"/>
    <x v="1"/>
    <x v="12"/>
    <x v="0"/>
    <x v="0"/>
    <x v="0"/>
    <x v="0"/>
    <x v="0"/>
    <x v="0"/>
  </r>
  <r>
    <x v="180"/>
    <x v="1"/>
    <x v="1"/>
    <x v="0"/>
    <x v="0"/>
    <x v="8"/>
    <x v="0"/>
    <x v="5"/>
    <x v="3"/>
    <x v="3"/>
    <x v="1"/>
    <x v="3"/>
    <x v="4"/>
    <x v="1"/>
    <x v="12"/>
    <x v="0"/>
    <x v="0"/>
    <x v="0"/>
    <x v="0"/>
    <x v="0"/>
    <x v="0"/>
  </r>
  <r>
    <x v="181"/>
    <x v="1"/>
    <x v="1"/>
    <x v="0"/>
    <x v="0"/>
    <x v="8"/>
    <x v="0"/>
    <x v="5"/>
    <x v="3"/>
    <x v="3"/>
    <x v="1"/>
    <x v="3"/>
    <x v="4"/>
    <x v="1"/>
    <x v="12"/>
    <x v="0"/>
    <x v="0"/>
    <x v="0"/>
    <x v="0"/>
    <x v="0"/>
    <x v="0"/>
  </r>
  <r>
    <x v="182"/>
    <x v="0"/>
    <x v="0"/>
    <x v="0"/>
    <x v="0"/>
    <x v="8"/>
    <x v="0"/>
    <x v="0"/>
    <x v="3"/>
    <x v="1"/>
    <x v="1"/>
    <x v="1"/>
    <x v="1"/>
    <x v="1"/>
    <x v="13"/>
    <x v="0"/>
    <x v="0"/>
    <x v="1"/>
    <x v="0"/>
    <x v="0"/>
    <x v="0"/>
  </r>
  <r>
    <x v="183"/>
    <x v="0"/>
    <x v="0"/>
    <x v="1"/>
    <x v="1"/>
    <x v="8"/>
    <x v="0"/>
    <x v="0"/>
    <x v="3"/>
    <x v="1"/>
    <x v="1"/>
    <x v="1"/>
    <x v="3"/>
    <x v="1"/>
    <x v="13"/>
    <x v="0"/>
    <x v="0"/>
    <x v="1"/>
    <x v="0"/>
    <x v="0"/>
    <x v="0"/>
  </r>
  <r>
    <x v="184"/>
    <x v="0"/>
    <x v="0"/>
    <x v="1"/>
    <x v="1"/>
    <x v="8"/>
    <x v="0"/>
    <x v="0"/>
    <x v="3"/>
    <x v="1"/>
    <x v="1"/>
    <x v="1"/>
    <x v="1"/>
    <x v="1"/>
    <x v="26"/>
    <x v="0"/>
    <x v="0"/>
    <x v="1"/>
    <x v="0"/>
    <x v="0"/>
    <x v="0"/>
  </r>
  <r>
    <x v="185"/>
    <x v="1"/>
    <x v="1"/>
    <x v="1"/>
    <x v="1"/>
    <x v="8"/>
    <x v="0"/>
    <x v="0"/>
    <x v="0"/>
    <x v="0"/>
    <x v="0"/>
    <x v="3"/>
    <x v="1"/>
    <x v="1"/>
    <x v="26"/>
    <x v="0"/>
    <x v="0"/>
    <x v="1"/>
    <x v="0"/>
    <x v="0"/>
    <x v="0"/>
  </r>
  <r>
    <x v="186"/>
    <x v="1"/>
    <x v="1"/>
    <x v="0"/>
    <x v="0"/>
    <x v="8"/>
    <x v="0"/>
    <x v="1"/>
    <x v="0"/>
    <x v="0"/>
    <x v="1"/>
    <x v="3"/>
    <x v="0"/>
    <x v="1"/>
    <x v="6"/>
    <x v="0"/>
    <x v="0"/>
    <x v="1"/>
    <x v="0"/>
    <x v="0"/>
    <x v="0"/>
  </r>
  <r>
    <x v="187"/>
    <x v="0"/>
    <x v="0"/>
    <x v="1"/>
    <x v="1"/>
    <x v="8"/>
    <x v="0"/>
    <x v="1"/>
    <x v="0"/>
    <x v="0"/>
    <x v="1"/>
    <x v="3"/>
    <x v="1"/>
    <x v="1"/>
    <x v="6"/>
    <x v="0"/>
    <x v="0"/>
    <x v="1"/>
    <x v="0"/>
    <x v="0"/>
    <x v="0"/>
  </r>
  <r>
    <x v="188"/>
    <x v="0"/>
    <x v="0"/>
    <x v="1"/>
    <x v="1"/>
    <x v="8"/>
    <x v="0"/>
    <x v="1"/>
    <x v="0"/>
    <x v="0"/>
    <x v="1"/>
    <x v="0"/>
    <x v="0"/>
    <x v="1"/>
    <x v="14"/>
    <x v="0"/>
    <x v="0"/>
    <x v="1"/>
    <x v="0"/>
    <x v="0"/>
    <x v="0"/>
  </r>
  <r>
    <x v="189"/>
    <x v="0"/>
    <x v="0"/>
    <x v="1"/>
    <x v="1"/>
    <x v="8"/>
    <x v="0"/>
    <x v="1"/>
    <x v="0"/>
    <x v="0"/>
    <x v="1"/>
    <x v="0"/>
    <x v="3"/>
    <x v="1"/>
    <x v="27"/>
    <x v="0"/>
    <x v="0"/>
    <x v="1"/>
    <x v="0"/>
    <x v="0"/>
    <x v="0"/>
  </r>
  <r>
    <x v="190"/>
    <x v="1"/>
    <x v="1"/>
    <x v="0"/>
    <x v="0"/>
    <x v="8"/>
    <x v="0"/>
    <x v="0"/>
    <x v="1"/>
    <x v="3"/>
    <x v="1"/>
    <x v="1"/>
    <x v="3"/>
    <x v="1"/>
    <x v="4"/>
    <x v="0"/>
    <x v="0"/>
    <x v="1"/>
    <x v="0"/>
    <x v="0"/>
    <x v="0"/>
  </r>
  <r>
    <x v="191"/>
    <x v="1"/>
    <x v="1"/>
    <x v="0"/>
    <x v="0"/>
    <x v="8"/>
    <x v="0"/>
    <x v="0"/>
    <x v="1"/>
    <x v="3"/>
    <x v="0"/>
    <x v="1"/>
    <x v="1"/>
    <x v="1"/>
    <x v="4"/>
    <x v="0"/>
    <x v="0"/>
    <x v="1"/>
    <x v="0"/>
    <x v="0"/>
    <x v="0"/>
  </r>
  <r>
    <x v="192"/>
    <x v="1"/>
    <x v="1"/>
    <x v="0"/>
    <x v="0"/>
    <x v="8"/>
    <x v="0"/>
    <x v="1"/>
    <x v="1"/>
    <x v="3"/>
    <x v="0"/>
    <x v="1"/>
    <x v="1"/>
    <x v="1"/>
    <x v="4"/>
    <x v="0"/>
    <x v="0"/>
    <x v="1"/>
    <x v="0"/>
    <x v="0"/>
    <x v="0"/>
  </r>
  <r>
    <x v="193"/>
    <x v="0"/>
    <x v="0"/>
    <x v="1"/>
    <x v="1"/>
    <x v="8"/>
    <x v="0"/>
    <x v="0"/>
    <x v="1"/>
    <x v="3"/>
    <x v="1"/>
    <x v="1"/>
    <x v="3"/>
    <x v="1"/>
    <x v="4"/>
    <x v="0"/>
    <x v="0"/>
    <x v="1"/>
    <x v="0"/>
    <x v="0"/>
    <x v="0"/>
  </r>
  <r>
    <x v="194"/>
    <x v="0"/>
    <x v="0"/>
    <x v="1"/>
    <x v="1"/>
    <x v="8"/>
    <x v="0"/>
    <x v="2"/>
    <x v="0"/>
    <x v="3"/>
    <x v="0"/>
    <x v="4"/>
    <x v="1"/>
    <x v="1"/>
    <x v="4"/>
    <x v="0"/>
    <x v="0"/>
    <x v="0"/>
    <x v="0"/>
    <x v="0"/>
    <x v="0"/>
  </r>
  <r>
    <x v="195"/>
    <x v="0"/>
    <x v="0"/>
    <x v="1"/>
    <x v="1"/>
    <x v="8"/>
    <x v="0"/>
    <x v="1"/>
    <x v="3"/>
    <x v="0"/>
    <x v="0"/>
    <x v="4"/>
    <x v="1"/>
    <x v="2"/>
    <x v="4"/>
    <x v="0"/>
    <x v="0"/>
    <x v="0"/>
    <x v="0"/>
    <x v="0"/>
    <x v="0"/>
  </r>
  <r>
    <x v="196"/>
    <x v="1"/>
    <x v="1"/>
    <x v="1"/>
    <x v="1"/>
    <x v="8"/>
    <x v="0"/>
    <x v="1"/>
    <x v="1"/>
    <x v="3"/>
    <x v="0"/>
    <x v="1"/>
    <x v="1"/>
    <x v="1"/>
    <x v="4"/>
    <x v="0"/>
    <x v="0"/>
    <x v="1"/>
    <x v="0"/>
    <x v="0"/>
    <x v="0"/>
  </r>
  <r>
    <x v="197"/>
    <x v="1"/>
    <x v="1"/>
    <x v="0"/>
    <x v="0"/>
    <x v="8"/>
    <x v="0"/>
    <x v="0"/>
    <x v="1"/>
    <x v="3"/>
    <x v="1"/>
    <x v="1"/>
    <x v="3"/>
    <x v="1"/>
    <x v="0"/>
    <x v="0"/>
    <x v="0"/>
    <x v="1"/>
    <x v="0"/>
    <x v="0"/>
    <x v="0"/>
  </r>
  <r>
    <x v="198"/>
    <x v="1"/>
    <x v="1"/>
    <x v="0"/>
    <x v="0"/>
    <x v="8"/>
    <x v="0"/>
    <x v="0"/>
    <x v="1"/>
    <x v="3"/>
    <x v="0"/>
    <x v="1"/>
    <x v="1"/>
    <x v="1"/>
    <x v="0"/>
    <x v="0"/>
    <x v="0"/>
    <x v="1"/>
    <x v="0"/>
    <x v="0"/>
    <x v="0"/>
  </r>
  <r>
    <x v="199"/>
    <x v="0"/>
    <x v="0"/>
    <x v="1"/>
    <x v="1"/>
    <x v="8"/>
    <x v="0"/>
    <x v="5"/>
    <x v="3"/>
    <x v="0"/>
    <x v="1"/>
    <x v="4"/>
    <x v="4"/>
    <x v="1"/>
    <x v="0"/>
    <x v="0"/>
    <x v="0"/>
    <x v="0"/>
    <x v="0"/>
    <x v="0"/>
    <x v="0"/>
  </r>
  <r>
    <x v="200"/>
    <x v="0"/>
    <x v="0"/>
    <x v="1"/>
    <x v="1"/>
    <x v="8"/>
    <x v="0"/>
    <x v="2"/>
    <x v="0"/>
    <x v="3"/>
    <x v="1"/>
    <x v="4"/>
    <x v="4"/>
    <x v="1"/>
    <x v="0"/>
    <x v="0"/>
    <x v="0"/>
    <x v="0"/>
    <x v="0"/>
    <x v="0"/>
    <x v="0"/>
  </r>
  <r>
    <x v="201"/>
    <x v="1"/>
    <x v="1"/>
    <x v="0"/>
    <x v="0"/>
    <x v="8"/>
    <x v="0"/>
    <x v="3"/>
    <x v="4"/>
    <x v="3"/>
    <x v="1"/>
    <x v="3"/>
    <x v="0"/>
    <x v="1"/>
    <x v="36"/>
    <x v="0"/>
    <x v="0"/>
    <x v="1"/>
    <x v="0"/>
    <x v="0"/>
    <x v="0"/>
  </r>
  <r>
    <x v="202"/>
    <x v="0"/>
    <x v="0"/>
    <x v="1"/>
    <x v="1"/>
    <x v="8"/>
    <x v="0"/>
    <x v="5"/>
    <x v="0"/>
    <x v="0"/>
    <x v="0"/>
    <x v="3"/>
    <x v="1"/>
    <x v="1"/>
    <x v="36"/>
    <x v="0"/>
    <x v="0"/>
    <x v="0"/>
    <x v="0"/>
    <x v="0"/>
    <x v="0"/>
  </r>
  <r>
    <x v="203"/>
    <x v="0"/>
    <x v="0"/>
    <x v="0"/>
    <x v="0"/>
    <x v="8"/>
    <x v="0"/>
    <x v="3"/>
    <x v="2"/>
    <x v="3"/>
    <x v="1"/>
    <x v="3"/>
    <x v="0"/>
    <x v="2"/>
    <x v="15"/>
    <x v="0"/>
    <x v="0"/>
    <x v="0"/>
    <x v="0"/>
    <x v="0"/>
    <x v="0"/>
  </r>
  <r>
    <x v="204"/>
    <x v="1"/>
    <x v="1"/>
    <x v="0"/>
    <x v="0"/>
    <x v="8"/>
    <x v="0"/>
    <x v="3"/>
    <x v="4"/>
    <x v="3"/>
    <x v="0"/>
    <x v="3"/>
    <x v="3"/>
    <x v="1"/>
    <x v="15"/>
    <x v="0"/>
    <x v="0"/>
    <x v="1"/>
    <x v="0"/>
    <x v="0"/>
    <x v="0"/>
  </r>
  <r>
    <x v="205"/>
    <x v="0"/>
    <x v="0"/>
    <x v="1"/>
    <x v="1"/>
    <x v="8"/>
    <x v="0"/>
    <x v="5"/>
    <x v="0"/>
    <x v="0"/>
    <x v="0"/>
    <x v="3"/>
    <x v="4"/>
    <x v="1"/>
    <x v="15"/>
    <x v="0"/>
    <x v="0"/>
    <x v="0"/>
    <x v="0"/>
    <x v="0"/>
    <x v="0"/>
  </r>
  <r>
    <x v="206"/>
    <x v="0"/>
    <x v="0"/>
    <x v="1"/>
    <x v="1"/>
    <x v="8"/>
    <x v="0"/>
    <x v="3"/>
    <x v="2"/>
    <x v="3"/>
    <x v="0"/>
    <x v="3"/>
    <x v="3"/>
    <x v="2"/>
    <x v="15"/>
    <x v="0"/>
    <x v="0"/>
    <x v="0"/>
    <x v="0"/>
    <x v="0"/>
    <x v="0"/>
  </r>
  <r>
    <x v="207"/>
    <x v="1"/>
    <x v="1"/>
    <x v="1"/>
    <x v="1"/>
    <x v="8"/>
    <x v="0"/>
    <x v="3"/>
    <x v="2"/>
    <x v="3"/>
    <x v="0"/>
    <x v="3"/>
    <x v="3"/>
    <x v="2"/>
    <x v="15"/>
    <x v="0"/>
    <x v="0"/>
    <x v="0"/>
    <x v="0"/>
    <x v="0"/>
    <x v="0"/>
  </r>
  <r>
    <x v="208"/>
    <x v="1"/>
    <x v="1"/>
    <x v="1"/>
    <x v="1"/>
    <x v="8"/>
    <x v="0"/>
    <x v="1"/>
    <x v="1"/>
    <x v="1"/>
    <x v="1"/>
    <x v="0"/>
    <x v="1"/>
    <x v="2"/>
    <x v="15"/>
    <x v="0"/>
    <x v="0"/>
    <x v="1"/>
    <x v="0"/>
    <x v="0"/>
    <x v="0"/>
  </r>
  <r>
    <x v="209"/>
    <x v="1"/>
    <x v="1"/>
    <x v="1"/>
    <x v="1"/>
    <x v="8"/>
    <x v="0"/>
    <x v="3"/>
    <x v="4"/>
    <x v="3"/>
    <x v="0"/>
    <x v="3"/>
    <x v="3"/>
    <x v="1"/>
    <x v="15"/>
    <x v="0"/>
    <x v="0"/>
    <x v="1"/>
    <x v="0"/>
    <x v="0"/>
    <x v="0"/>
  </r>
  <r>
    <x v="210"/>
    <x v="1"/>
    <x v="1"/>
    <x v="1"/>
    <x v="1"/>
    <x v="8"/>
    <x v="0"/>
    <x v="5"/>
    <x v="0"/>
    <x v="0"/>
    <x v="0"/>
    <x v="4"/>
    <x v="3"/>
    <x v="1"/>
    <x v="7"/>
    <x v="0"/>
    <x v="1"/>
    <x v="0"/>
    <x v="0"/>
    <x v="0"/>
    <x v="0"/>
  </r>
  <r>
    <x v="211"/>
    <x v="1"/>
    <x v="1"/>
    <x v="0"/>
    <x v="0"/>
    <x v="8"/>
    <x v="0"/>
    <x v="3"/>
    <x v="0"/>
    <x v="3"/>
    <x v="1"/>
    <x v="3"/>
    <x v="0"/>
    <x v="2"/>
    <x v="16"/>
    <x v="0"/>
    <x v="1"/>
    <x v="0"/>
    <x v="0"/>
    <x v="0"/>
    <x v="0"/>
  </r>
  <r>
    <x v="212"/>
    <x v="1"/>
    <x v="1"/>
    <x v="1"/>
    <x v="1"/>
    <x v="8"/>
    <x v="0"/>
    <x v="3"/>
    <x v="4"/>
    <x v="3"/>
    <x v="0"/>
    <x v="3"/>
    <x v="3"/>
    <x v="1"/>
    <x v="16"/>
    <x v="0"/>
    <x v="1"/>
    <x v="1"/>
    <x v="0"/>
    <x v="0"/>
    <x v="0"/>
  </r>
  <r>
    <x v="213"/>
    <x v="0"/>
    <x v="0"/>
    <x v="0"/>
    <x v="0"/>
    <x v="8"/>
    <x v="0"/>
    <x v="0"/>
    <x v="0"/>
    <x v="0"/>
    <x v="0"/>
    <x v="4"/>
    <x v="4"/>
    <x v="0"/>
    <x v="31"/>
    <x v="0"/>
    <x v="1"/>
    <x v="0"/>
    <x v="0"/>
    <x v="0"/>
    <x v="0"/>
  </r>
  <r>
    <x v="214"/>
    <x v="0"/>
    <x v="0"/>
    <x v="0"/>
    <x v="0"/>
    <x v="8"/>
    <x v="0"/>
    <x v="0"/>
    <x v="0"/>
    <x v="0"/>
    <x v="1"/>
    <x v="3"/>
    <x v="4"/>
    <x v="0"/>
    <x v="31"/>
    <x v="0"/>
    <x v="1"/>
    <x v="1"/>
    <x v="0"/>
    <x v="0"/>
    <x v="0"/>
  </r>
  <r>
    <x v="215"/>
    <x v="0"/>
    <x v="0"/>
    <x v="1"/>
    <x v="1"/>
    <x v="8"/>
    <x v="0"/>
    <x v="0"/>
    <x v="0"/>
    <x v="0"/>
    <x v="1"/>
    <x v="3"/>
    <x v="2"/>
    <x v="0"/>
    <x v="31"/>
    <x v="0"/>
    <x v="1"/>
    <x v="1"/>
    <x v="0"/>
    <x v="0"/>
    <x v="0"/>
  </r>
  <r>
    <x v="216"/>
    <x v="0"/>
    <x v="0"/>
    <x v="1"/>
    <x v="1"/>
    <x v="8"/>
    <x v="0"/>
    <x v="0"/>
    <x v="2"/>
    <x v="0"/>
    <x v="1"/>
    <x v="3"/>
    <x v="2"/>
    <x v="0"/>
    <x v="17"/>
    <x v="0"/>
    <x v="1"/>
    <x v="1"/>
    <x v="0"/>
    <x v="0"/>
    <x v="0"/>
  </r>
  <r>
    <x v="217"/>
    <x v="1"/>
    <x v="1"/>
    <x v="1"/>
    <x v="1"/>
    <x v="8"/>
    <x v="0"/>
    <x v="0"/>
    <x v="0"/>
    <x v="0"/>
    <x v="0"/>
    <x v="3"/>
    <x v="4"/>
    <x v="0"/>
    <x v="17"/>
    <x v="0"/>
    <x v="1"/>
    <x v="0"/>
    <x v="0"/>
    <x v="0"/>
    <x v="0"/>
  </r>
  <r>
    <x v="218"/>
    <x v="0"/>
    <x v="0"/>
    <x v="0"/>
    <x v="0"/>
    <x v="8"/>
    <x v="0"/>
    <x v="1"/>
    <x v="2"/>
    <x v="1"/>
    <x v="0"/>
    <x v="0"/>
    <x v="0"/>
    <x v="0"/>
    <x v="28"/>
    <x v="0"/>
    <x v="1"/>
    <x v="1"/>
    <x v="0"/>
    <x v="0"/>
    <x v="0"/>
  </r>
  <r>
    <x v="219"/>
    <x v="0"/>
    <x v="0"/>
    <x v="1"/>
    <x v="1"/>
    <x v="8"/>
    <x v="0"/>
    <x v="5"/>
    <x v="3"/>
    <x v="1"/>
    <x v="1"/>
    <x v="4"/>
    <x v="3"/>
    <x v="1"/>
    <x v="28"/>
    <x v="0"/>
    <x v="1"/>
    <x v="1"/>
    <x v="0"/>
    <x v="0"/>
    <x v="0"/>
  </r>
  <r>
    <x v="220"/>
    <x v="1"/>
    <x v="1"/>
    <x v="1"/>
    <x v="1"/>
    <x v="8"/>
    <x v="0"/>
    <x v="1"/>
    <x v="2"/>
    <x v="1"/>
    <x v="1"/>
    <x v="0"/>
    <x v="2"/>
    <x v="0"/>
    <x v="40"/>
    <x v="0"/>
    <x v="1"/>
    <x v="1"/>
    <x v="0"/>
    <x v="0"/>
    <x v="0"/>
  </r>
  <r>
    <x v="221"/>
    <x v="1"/>
    <x v="1"/>
    <x v="1"/>
    <x v="1"/>
    <x v="8"/>
    <x v="0"/>
    <x v="1"/>
    <x v="0"/>
    <x v="0"/>
    <x v="0"/>
    <x v="3"/>
    <x v="2"/>
    <x v="0"/>
    <x v="19"/>
    <x v="0"/>
    <x v="1"/>
    <x v="1"/>
    <x v="0"/>
    <x v="0"/>
    <x v="0"/>
  </r>
  <r>
    <x v="222"/>
    <x v="0"/>
    <x v="0"/>
    <x v="1"/>
    <x v="1"/>
    <x v="8"/>
    <x v="0"/>
    <x v="1"/>
    <x v="0"/>
    <x v="0"/>
    <x v="0"/>
    <x v="3"/>
    <x v="4"/>
    <x v="0"/>
    <x v="41"/>
    <x v="0"/>
    <x v="1"/>
    <x v="1"/>
    <x v="0"/>
    <x v="0"/>
    <x v="0"/>
  </r>
  <r>
    <x v="223"/>
    <x v="0"/>
    <x v="0"/>
    <x v="0"/>
    <x v="0"/>
    <x v="8"/>
    <x v="0"/>
    <x v="1"/>
    <x v="3"/>
    <x v="1"/>
    <x v="1"/>
    <x v="3"/>
    <x v="4"/>
    <x v="0"/>
    <x v="20"/>
    <x v="0"/>
    <x v="1"/>
    <x v="1"/>
    <x v="0"/>
    <x v="0"/>
    <x v="0"/>
  </r>
  <r>
    <x v="224"/>
    <x v="1"/>
    <x v="1"/>
    <x v="0"/>
    <x v="0"/>
    <x v="8"/>
    <x v="0"/>
    <x v="1"/>
    <x v="3"/>
    <x v="1"/>
    <x v="1"/>
    <x v="3"/>
    <x v="2"/>
    <x v="0"/>
    <x v="29"/>
    <x v="0"/>
    <x v="1"/>
    <x v="1"/>
    <x v="0"/>
    <x v="0"/>
    <x v="0"/>
  </r>
  <r>
    <x v="225"/>
    <x v="0"/>
    <x v="0"/>
    <x v="1"/>
    <x v="1"/>
    <x v="8"/>
    <x v="0"/>
    <x v="1"/>
    <x v="3"/>
    <x v="1"/>
    <x v="0"/>
    <x v="3"/>
    <x v="4"/>
    <x v="0"/>
    <x v="29"/>
    <x v="0"/>
    <x v="1"/>
    <x v="1"/>
    <x v="0"/>
    <x v="0"/>
    <x v="0"/>
  </r>
  <r>
    <x v="226"/>
    <x v="0"/>
    <x v="0"/>
    <x v="1"/>
    <x v="1"/>
    <x v="8"/>
    <x v="0"/>
    <x v="1"/>
    <x v="3"/>
    <x v="1"/>
    <x v="1"/>
    <x v="3"/>
    <x v="4"/>
    <x v="0"/>
    <x v="29"/>
    <x v="0"/>
    <x v="1"/>
    <x v="1"/>
    <x v="0"/>
    <x v="0"/>
    <x v="0"/>
  </r>
  <r>
    <x v="227"/>
    <x v="0"/>
    <x v="0"/>
    <x v="0"/>
    <x v="0"/>
    <x v="8"/>
    <x v="0"/>
    <x v="1"/>
    <x v="3"/>
    <x v="1"/>
    <x v="1"/>
    <x v="3"/>
    <x v="0"/>
    <x v="1"/>
    <x v="30"/>
    <x v="0"/>
    <x v="1"/>
    <x v="1"/>
    <x v="0"/>
    <x v="0"/>
    <x v="0"/>
  </r>
  <r>
    <x v="228"/>
    <x v="0"/>
    <x v="0"/>
    <x v="1"/>
    <x v="1"/>
    <x v="8"/>
    <x v="0"/>
    <x v="1"/>
    <x v="3"/>
    <x v="1"/>
    <x v="1"/>
    <x v="3"/>
    <x v="3"/>
    <x v="1"/>
    <x v="30"/>
    <x v="0"/>
    <x v="1"/>
    <x v="1"/>
    <x v="0"/>
    <x v="0"/>
    <x v="0"/>
  </r>
  <r>
    <x v="229"/>
    <x v="1"/>
    <x v="1"/>
    <x v="0"/>
    <x v="0"/>
    <x v="8"/>
    <x v="0"/>
    <x v="0"/>
    <x v="1"/>
    <x v="1"/>
    <x v="1"/>
    <x v="3"/>
    <x v="0"/>
    <x v="1"/>
    <x v="33"/>
    <x v="0"/>
    <x v="1"/>
    <x v="1"/>
    <x v="0"/>
    <x v="0"/>
    <x v="0"/>
  </r>
  <r>
    <x v="230"/>
    <x v="1"/>
    <x v="1"/>
    <x v="1"/>
    <x v="1"/>
    <x v="8"/>
    <x v="0"/>
    <x v="0"/>
    <x v="3"/>
    <x v="1"/>
    <x v="1"/>
    <x v="1"/>
    <x v="0"/>
    <x v="1"/>
    <x v="2"/>
    <x v="0"/>
    <x v="1"/>
    <x v="0"/>
    <x v="0"/>
    <x v="0"/>
    <x v="0"/>
  </r>
  <r>
    <x v="231"/>
    <x v="1"/>
    <x v="1"/>
    <x v="0"/>
    <x v="0"/>
    <x v="8"/>
    <x v="0"/>
    <x v="0"/>
    <x v="1"/>
    <x v="1"/>
    <x v="1"/>
    <x v="3"/>
    <x v="0"/>
    <x v="1"/>
    <x v="21"/>
    <x v="0"/>
    <x v="1"/>
    <x v="1"/>
    <x v="0"/>
    <x v="0"/>
    <x v="0"/>
  </r>
  <r>
    <x v="232"/>
    <x v="0"/>
    <x v="0"/>
    <x v="1"/>
    <x v="1"/>
    <x v="8"/>
    <x v="0"/>
    <x v="0"/>
    <x v="1"/>
    <x v="1"/>
    <x v="1"/>
    <x v="3"/>
    <x v="0"/>
    <x v="1"/>
    <x v="42"/>
    <x v="0"/>
    <x v="1"/>
    <x v="1"/>
    <x v="0"/>
    <x v="0"/>
    <x v="0"/>
  </r>
  <r>
    <x v="233"/>
    <x v="0"/>
    <x v="0"/>
    <x v="1"/>
    <x v="1"/>
    <x v="8"/>
    <x v="0"/>
    <x v="0"/>
    <x v="1"/>
    <x v="1"/>
    <x v="1"/>
    <x v="3"/>
    <x v="0"/>
    <x v="1"/>
    <x v="43"/>
    <x v="0"/>
    <x v="1"/>
    <x v="1"/>
    <x v="0"/>
    <x v="0"/>
    <x v="0"/>
  </r>
  <r>
    <x v="234"/>
    <x v="0"/>
    <x v="0"/>
    <x v="0"/>
    <x v="0"/>
    <x v="8"/>
    <x v="0"/>
    <x v="0"/>
    <x v="1"/>
    <x v="1"/>
    <x v="1"/>
    <x v="3"/>
    <x v="1"/>
    <x v="1"/>
    <x v="44"/>
    <x v="0"/>
    <x v="1"/>
    <x v="0"/>
    <x v="0"/>
    <x v="0"/>
    <x v="0"/>
  </r>
  <r>
    <x v="235"/>
    <x v="1"/>
    <x v="1"/>
    <x v="0"/>
    <x v="0"/>
    <x v="9"/>
    <x v="0"/>
    <x v="4"/>
    <x v="0"/>
    <x v="3"/>
    <x v="0"/>
    <x v="3"/>
    <x v="1"/>
    <x v="1"/>
    <x v="45"/>
    <x v="0"/>
    <x v="2"/>
    <x v="0"/>
    <x v="0"/>
    <x v="0"/>
    <x v="0"/>
  </r>
  <r>
    <x v="236"/>
    <x v="1"/>
    <x v="1"/>
    <x v="1"/>
    <x v="1"/>
    <x v="9"/>
    <x v="0"/>
    <x v="4"/>
    <x v="3"/>
    <x v="0"/>
    <x v="0"/>
    <x v="0"/>
    <x v="2"/>
    <x v="2"/>
    <x v="39"/>
    <x v="0"/>
    <x v="0"/>
    <x v="0"/>
    <x v="0"/>
    <x v="0"/>
    <x v="0"/>
  </r>
  <r>
    <x v="237"/>
    <x v="1"/>
    <x v="1"/>
    <x v="1"/>
    <x v="1"/>
    <x v="9"/>
    <x v="0"/>
    <x v="4"/>
    <x v="3"/>
    <x v="0"/>
    <x v="0"/>
    <x v="2"/>
    <x v="2"/>
    <x v="2"/>
    <x v="8"/>
    <x v="0"/>
    <x v="0"/>
    <x v="0"/>
    <x v="0"/>
    <x v="0"/>
    <x v="0"/>
  </r>
  <r>
    <x v="238"/>
    <x v="0"/>
    <x v="0"/>
    <x v="0"/>
    <x v="0"/>
    <x v="9"/>
    <x v="0"/>
    <x v="4"/>
    <x v="3"/>
    <x v="0"/>
    <x v="1"/>
    <x v="2"/>
    <x v="2"/>
    <x v="2"/>
    <x v="23"/>
    <x v="0"/>
    <x v="0"/>
    <x v="0"/>
    <x v="0"/>
    <x v="0"/>
    <x v="0"/>
  </r>
  <r>
    <x v="239"/>
    <x v="0"/>
    <x v="0"/>
    <x v="0"/>
    <x v="0"/>
    <x v="9"/>
    <x v="0"/>
    <x v="3"/>
    <x v="1"/>
    <x v="0"/>
    <x v="1"/>
    <x v="1"/>
    <x v="4"/>
    <x v="1"/>
    <x v="24"/>
    <x v="0"/>
    <x v="0"/>
    <x v="0"/>
    <x v="0"/>
    <x v="0"/>
    <x v="0"/>
  </r>
  <r>
    <x v="240"/>
    <x v="0"/>
    <x v="0"/>
    <x v="0"/>
    <x v="0"/>
    <x v="9"/>
    <x v="0"/>
    <x v="4"/>
    <x v="0"/>
    <x v="3"/>
    <x v="1"/>
    <x v="3"/>
    <x v="0"/>
    <x v="1"/>
    <x v="24"/>
    <x v="0"/>
    <x v="0"/>
    <x v="0"/>
    <x v="0"/>
    <x v="0"/>
    <x v="0"/>
  </r>
  <r>
    <x v="241"/>
    <x v="1"/>
    <x v="1"/>
    <x v="0"/>
    <x v="0"/>
    <x v="9"/>
    <x v="0"/>
    <x v="2"/>
    <x v="1"/>
    <x v="0"/>
    <x v="1"/>
    <x v="1"/>
    <x v="4"/>
    <x v="1"/>
    <x v="24"/>
    <x v="0"/>
    <x v="0"/>
    <x v="1"/>
    <x v="0"/>
    <x v="0"/>
    <x v="0"/>
  </r>
  <r>
    <x v="242"/>
    <x v="1"/>
    <x v="1"/>
    <x v="0"/>
    <x v="0"/>
    <x v="9"/>
    <x v="0"/>
    <x v="2"/>
    <x v="1"/>
    <x v="0"/>
    <x v="1"/>
    <x v="1"/>
    <x v="4"/>
    <x v="1"/>
    <x v="24"/>
    <x v="0"/>
    <x v="0"/>
    <x v="0"/>
    <x v="0"/>
    <x v="0"/>
    <x v="0"/>
  </r>
  <r>
    <x v="243"/>
    <x v="1"/>
    <x v="1"/>
    <x v="0"/>
    <x v="0"/>
    <x v="9"/>
    <x v="0"/>
    <x v="4"/>
    <x v="0"/>
    <x v="3"/>
    <x v="1"/>
    <x v="3"/>
    <x v="0"/>
    <x v="1"/>
    <x v="24"/>
    <x v="0"/>
    <x v="0"/>
    <x v="0"/>
    <x v="0"/>
    <x v="0"/>
    <x v="0"/>
  </r>
  <r>
    <x v="244"/>
    <x v="0"/>
    <x v="0"/>
    <x v="1"/>
    <x v="1"/>
    <x v="9"/>
    <x v="0"/>
    <x v="5"/>
    <x v="1"/>
    <x v="0"/>
    <x v="1"/>
    <x v="1"/>
    <x v="4"/>
    <x v="1"/>
    <x v="24"/>
    <x v="0"/>
    <x v="0"/>
    <x v="1"/>
    <x v="0"/>
    <x v="0"/>
    <x v="0"/>
  </r>
  <r>
    <x v="245"/>
    <x v="0"/>
    <x v="0"/>
    <x v="0"/>
    <x v="0"/>
    <x v="9"/>
    <x v="0"/>
    <x v="0"/>
    <x v="1"/>
    <x v="0"/>
    <x v="1"/>
    <x v="1"/>
    <x v="4"/>
    <x v="1"/>
    <x v="32"/>
    <x v="0"/>
    <x v="0"/>
    <x v="0"/>
    <x v="0"/>
    <x v="0"/>
    <x v="0"/>
  </r>
  <r>
    <x v="246"/>
    <x v="0"/>
    <x v="0"/>
    <x v="0"/>
    <x v="0"/>
    <x v="9"/>
    <x v="0"/>
    <x v="5"/>
    <x v="1"/>
    <x v="0"/>
    <x v="1"/>
    <x v="1"/>
    <x v="4"/>
    <x v="1"/>
    <x v="32"/>
    <x v="0"/>
    <x v="0"/>
    <x v="0"/>
    <x v="0"/>
    <x v="0"/>
    <x v="0"/>
  </r>
  <r>
    <x v="247"/>
    <x v="0"/>
    <x v="0"/>
    <x v="0"/>
    <x v="0"/>
    <x v="9"/>
    <x v="0"/>
    <x v="2"/>
    <x v="1"/>
    <x v="3"/>
    <x v="1"/>
    <x v="1"/>
    <x v="1"/>
    <x v="1"/>
    <x v="32"/>
    <x v="0"/>
    <x v="0"/>
    <x v="0"/>
    <x v="0"/>
    <x v="0"/>
    <x v="0"/>
  </r>
  <r>
    <x v="248"/>
    <x v="1"/>
    <x v="1"/>
    <x v="0"/>
    <x v="0"/>
    <x v="9"/>
    <x v="0"/>
    <x v="0"/>
    <x v="1"/>
    <x v="0"/>
    <x v="1"/>
    <x v="1"/>
    <x v="4"/>
    <x v="1"/>
    <x v="32"/>
    <x v="0"/>
    <x v="0"/>
    <x v="0"/>
    <x v="0"/>
    <x v="0"/>
    <x v="0"/>
  </r>
  <r>
    <x v="249"/>
    <x v="0"/>
    <x v="0"/>
    <x v="1"/>
    <x v="1"/>
    <x v="9"/>
    <x v="0"/>
    <x v="5"/>
    <x v="1"/>
    <x v="0"/>
    <x v="1"/>
    <x v="1"/>
    <x v="1"/>
    <x v="1"/>
    <x v="32"/>
    <x v="0"/>
    <x v="0"/>
    <x v="0"/>
    <x v="0"/>
    <x v="0"/>
    <x v="0"/>
  </r>
  <r>
    <x v="250"/>
    <x v="0"/>
    <x v="0"/>
    <x v="1"/>
    <x v="1"/>
    <x v="9"/>
    <x v="0"/>
    <x v="5"/>
    <x v="1"/>
    <x v="0"/>
    <x v="1"/>
    <x v="1"/>
    <x v="1"/>
    <x v="1"/>
    <x v="32"/>
    <x v="0"/>
    <x v="0"/>
    <x v="0"/>
    <x v="0"/>
    <x v="0"/>
    <x v="0"/>
  </r>
  <r>
    <x v="251"/>
    <x v="1"/>
    <x v="1"/>
    <x v="1"/>
    <x v="1"/>
    <x v="9"/>
    <x v="0"/>
    <x v="5"/>
    <x v="1"/>
    <x v="0"/>
    <x v="0"/>
    <x v="1"/>
    <x v="1"/>
    <x v="1"/>
    <x v="32"/>
    <x v="0"/>
    <x v="0"/>
    <x v="0"/>
    <x v="0"/>
    <x v="0"/>
    <x v="0"/>
  </r>
  <r>
    <x v="252"/>
    <x v="1"/>
    <x v="1"/>
    <x v="1"/>
    <x v="1"/>
    <x v="9"/>
    <x v="0"/>
    <x v="0"/>
    <x v="1"/>
    <x v="0"/>
    <x v="1"/>
    <x v="1"/>
    <x v="4"/>
    <x v="1"/>
    <x v="32"/>
    <x v="0"/>
    <x v="0"/>
    <x v="0"/>
    <x v="0"/>
    <x v="0"/>
    <x v="0"/>
  </r>
  <r>
    <x v="253"/>
    <x v="0"/>
    <x v="0"/>
    <x v="1"/>
    <x v="1"/>
    <x v="9"/>
    <x v="0"/>
    <x v="0"/>
    <x v="1"/>
    <x v="0"/>
    <x v="1"/>
    <x v="1"/>
    <x v="1"/>
    <x v="1"/>
    <x v="9"/>
    <x v="0"/>
    <x v="0"/>
    <x v="0"/>
    <x v="0"/>
    <x v="0"/>
    <x v="0"/>
  </r>
  <r>
    <x v="254"/>
    <x v="0"/>
    <x v="0"/>
    <x v="1"/>
    <x v="1"/>
    <x v="9"/>
    <x v="0"/>
    <x v="0"/>
    <x v="1"/>
    <x v="0"/>
    <x v="1"/>
    <x v="1"/>
    <x v="4"/>
    <x v="1"/>
    <x v="9"/>
    <x v="0"/>
    <x v="0"/>
    <x v="0"/>
    <x v="0"/>
    <x v="0"/>
    <x v="0"/>
  </r>
  <r>
    <x v="255"/>
    <x v="0"/>
    <x v="0"/>
    <x v="1"/>
    <x v="1"/>
    <x v="9"/>
    <x v="0"/>
    <x v="0"/>
    <x v="1"/>
    <x v="0"/>
    <x v="1"/>
    <x v="1"/>
    <x v="4"/>
    <x v="1"/>
    <x v="9"/>
    <x v="0"/>
    <x v="0"/>
    <x v="0"/>
    <x v="0"/>
    <x v="0"/>
    <x v="0"/>
  </r>
  <r>
    <x v="256"/>
    <x v="0"/>
    <x v="0"/>
    <x v="0"/>
    <x v="0"/>
    <x v="9"/>
    <x v="0"/>
    <x v="1"/>
    <x v="1"/>
    <x v="0"/>
    <x v="1"/>
    <x v="3"/>
    <x v="1"/>
    <x v="1"/>
    <x v="5"/>
    <x v="0"/>
    <x v="0"/>
    <x v="1"/>
    <x v="0"/>
    <x v="0"/>
    <x v="0"/>
  </r>
  <r>
    <x v="257"/>
    <x v="1"/>
    <x v="1"/>
    <x v="0"/>
    <x v="0"/>
    <x v="9"/>
    <x v="0"/>
    <x v="4"/>
    <x v="3"/>
    <x v="0"/>
    <x v="0"/>
    <x v="4"/>
    <x v="4"/>
    <x v="1"/>
    <x v="5"/>
    <x v="0"/>
    <x v="0"/>
    <x v="0"/>
    <x v="0"/>
    <x v="0"/>
    <x v="0"/>
  </r>
  <r>
    <x v="258"/>
    <x v="1"/>
    <x v="1"/>
    <x v="0"/>
    <x v="0"/>
    <x v="9"/>
    <x v="0"/>
    <x v="4"/>
    <x v="3"/>
    <x v="0"/>
    <x v="0"/>
    <x v="4"/>
    <x v="1"/>
    <x v="1"/>
    <x v="5"/>
    <x v="0"/>
    <x v="0"/>
    <x v="0"/>
    <x v="0"/>
    <x v="0"/>
    <x v="0"/>
  </r>
  <r>
    <x v="259"/>
    <x v="1"/>
    <x v="1"/>
    <x v="1"/>
    <x v="1"/>
    <x v="9"/>
    <x v="0"/>
    <x v="4"/>
    <x v="3"/>
    <x v="0"/>
    <x v="0"/>
    <x v="4"/>
    <x v="4"/>
    <x v="1"/>
    <x v="5"/>
    <x v="0"/>
    <x v="0"/>
    <x v="0"/>
    <x v="0"/>
    <x v="0"/>
    <x v="0"/>
  </r>
  <r>
    <x v="260"/>
    <x v="1"/>
    <x v="1"/>
    <x v="1"/>
    <x v="1"/>
    <x v="9"/>
    <x v="0"/>
    <x v="4"/>
    <x v="3"/>
    <x v="0"/>
    <x v="1"/>
    <x v="4"/>
    <x v="0"/>
    <x v="2"/>
    <x v="5"/>
    <x v="0"/>
    <x v="0"/>
    <x v="0"/>
    <x v="0"/>
    <x v="0"/>
    <x v="0"/>
  </r>
  <r>
    <x v="261"/>
    <x v="1"/>
    <x v="1"/>
    <x v="1"/>
    <x v="1"/>
    <x v="9"/>
    <x v="0"/>
    <x v="3"/>
    <x v="3"/>
    <x v="3"/>
    <x v="0"/>
    <x v="4"/>
    <x v="1"/>
    <x v="1"/>
    <x v="5"/>
    <x v="0"/>
    <x v="0"/>
    <x v="0"/>
    <x v="0"/>
    <x v="0"/>
    <x v="0"/>
  </r>
  <r>
    <x v="262"/>
    <x v="1"/>
    <x v="1"/>
    <x v="0"/>
    <x v="0"/>
    <x v="9"/>
    <x v="0"/>
    <x v="3"/>
    <x v="3"/>
    <x v="3"/>
    <x v="1"/>
    <x v="4"/>
    <x v="4"/>
    <x v="1"/>
    <x v="10"/>
    <x v="0"/>
    <x v="0"/>
    <x v="1"/>
    <x v="0"/>
    <x v="0"/>
    <x v="0"/>
  </r>
  <r>
    <x v="263"/>
    <x v="1"/>
    <x v="1"/>
    <x v="0"/>
    <x v="0"/>
    <x v="9"/>
    <x v="0"/>
    <x v="4"/>
    <x v="3"/>
    <x v="0"/>
    <x v="0"/>
    <x v="4"/>
    <x v="0"/>
    <x v="2"/>
    <x v="10"/>
    <x v="0"/>
    <x v="0"/>
    <x v="1"/>
    <x v="0"/>
    <x v="0"/>
    <x v="0"/>
  </r>
  <r>
    <x v="264"/>
    <x v="1"/>
    <x v="1"/>
    <x v="0"/>
    <x v="0"/>
    <x v="9"/>
    <x v="0"/>
    <x v="4"/>
    <x v="3"/>
    <x v="0"/>
    <x v="0"/>
    <x v="4"/>
    <x v="4"/>
    <x v="1"/>
    <x v="10"/>
    <x v="0"/>
    <x v="0"/>
    <x v="0"/>
    <x v="0"/>
    <x v="0"/>
    <x v="0"/>
  </r>
  <r>
    <x v="265"/>
    <x v="1"/>
    <x v="1"/>
    <x v="0"/>
    <x v="0"/>
    <x v="9"/>
    <x v="0"/>
    <x v="3"/>
    <x v="3"/>
    <x v="3"/>
    <x v="1"/>
    <x v="1"/>
    <x v="4"/>
    <x v="1"/>
    <x v="10"/>
    <x v="0"/>
    <x v="0"/>
    <x v="0"/>
    <x v="0"/>
    <x v="0"/>
    <x v="0"/>
  </r>
  <r>
    <x v="266"/>
    <x v="0"/>
    <x v="0"/>
    <x v="1"/>
    <x v="1"/>
    <x v="9"/>
    <x v="0"/>
    <x v="4"/>
    <x v="3"/>
    <x v="0"/>
    <x v="0"/>
    <x v="4"/>
    <x v="1"/>
    <x v="1"/>
    <x v="10"/>
    <x v="0"/>
    <x v="0"/>
    <x v="1"/>
    <x v="0"/>
    <x v="0"/>
    <x v="0"/>
  </r>
  <r>
    <x v="267"/>
    <x v="0"/>
    <x v="0"/>
    <x v="1"/>
    <x v="1"/>
    <x v="9"/>
    <x v="0"/>
    <x v="3"/>
    <x v="3"/>
    <x v="3"/>
    <x v="1"/>
    <x v="4"/>
    <x v="4"/>
    <x v="1"/>
    <x v="10"/>
    <x v="0"/>
    <x v="0"/>
    <x v="0"/>
    <x v="0"/>
    <x v="0"/>
    <x v="0"/>
  </r>
  <r>
    <x v="268"/>
    <x v="1"/>
    <x v="1"/>
    <x v="1"/>
    <x v="1"/>
    <x v="9"/>
    <x v="0"/>
    <x v="4"/>
    <x v="3"/>
    <x v="0"/>
    <x v="0"/>
    <x v="4"/>
    <x v="0"/>
    <x v="2"/>
    <x v="10"/>
    <x v="0"/>
    <x v="0"/>
    <x v="1"/>
    <x v="0"/>
    <x v="0"/>
    <x v="0"/>
  </r>
  <r>
    <x v="269"/>
    <x v="0"/>
    <x v="0"/>
    <x v="0"/>
    <x v="0"/>
    <x v="9"/>
    <x v="0"/>
    <x v="4"/>
    <x v="1"/>
    <x v="0"/>
    <x v="1"/>
    <x v="1"/>
    <x v="4"/>
    <x v="1"/>
    <x v="25"/>
    <x v="0"/>
    <x v="0"/>
    <x v="1"/>
    <x v="0"/>
    <x v="0"/>
    <x v="0"/>
  </r>
  <r>
    <x v="270"/>
    <x v="1"/>
    <x v="1"/>
    <x v="0"/>
    <x v="0"/>
    <x v="9"/>
    <x v="0"/>
    <x v="1"/>
    <x v="3"/>
    <x v="0"/>
    <x v="1"/>
    <x v="2"/>
    <x v="2"/>
    <x v="2"/>
    <x v="25"/>
    <x v="0"/>
    <x v="0"/>
    <x v="1"/>
    <x v="0"/>
    <x v="0"/>
    <x v="0"/>
  </r>
  <r>
    <x v="271"/>
    <x v="1"/>
    <x v="1"/>
    <x v="0"/>
    <x v="0"/>
    <x v="9"/>
    <x v="0"/>
    <x v="1"/>
    <x v="3"/>
    <x v="0"/>
    <x v="1"/>
    <x v="0"/>
    <x v="2"/>
    <x v="2"/>
    <x v="25"/>
    <x v="0"/>
    <x v="0"/>
    <x v="1"/>
    <x v="0"/>
    <x v="0"/>
    <x v="0"/>
  </r>
  <r>
    <x v="272"/>
    <x v="0"/>
    <x v="0"/>
    <x v="0"/>
    <x v="0"/>
    <x v="9"/>
    <x v="0"/>
    <x v="1"/>
    <x v="3"/>
    <x v="0"/>
    <x v="1"/>
    <x v="2"/>
    <x v="2"/>
    <x v="2"/>
    <x v="12"/>
    <x v="0"/>
    <x v="0"/>
    <x v="1"/>
    <x v="0"/>
    <x v="0"/>
    <x v="0"/>
  </r>
  <r>
    <x v="273"/>
    <x v="1"/>
    <x v="1"/>
    <x v="0"/>
    <x v="0"/>
    <x v="9"/>
    <x v="0"/>
    <x v="4"/>
    <x v="3"/>
    <x v="0"/>
    <x v="0"/>
    <x v="4"/>
    <x v="1"/>
    <x v="2"/>
    <x v="12"/>
    <x v="0"/>
    <x v="0"/>
    <x v="0"/>
    <x v="0"/>
    <x v="0"/>
    <x v="0"/>
  </r>
  <r>
    <x v="274"/>
    <x v="1"/>
    <x v="1"/>
    <x v="1"/>
    <x v="1"/>
    <x v="9"/>
    <x v="0"/>
    <x v="4"/>
    <x v="3"/>
    <x v="0"/>
    <x v="0"/>
    <x v="4"/>
    <x v="0"/>
    <x v="2"/>
    <x v="12"/>
    <x v="0"/>
    <x v="0"/>
    <x v="0"/>
    <x v="0"/>
    <x v="0"/>
    <x v="0"/>
  </r>
  <r>
    <x v="275"/>
    <x v="1"/>
    <x v="1"/>
    <x v="1"/>
    <x v="1"/>
    <x v="9"/>
    <x v="0"/>
    <x v="4"/>
    <x v="3"/>
    <x v="0"/>
    <x v="0"/>
    <x v="4"/>
    <x v="0"/>
    <x v="2"/>
    <x v="12"/>
    <x v="0"/>
    <x v="0"/>
    <x v="1"/>
    <x v="0"/>
    <x v="0"/>
    <x v="0"/>
  </r>
  <r>
    <x v="276"/>
    <x v="1"/>
    <x v="1"/>
    <x v="1"/>
    <x v="1"/>
    <x v="9"/>
    <x v="0"/>
    <x v="4"/>
    <x v="3"/>
    <x v="0"/>
    <x v="1"/>
    <x v="4"/>
    <x v="0"/>
    <x v="2"/>
    <x v="12"/>
    <x v="0"/>
    <x v="0"/>
    <x v="0"/>
    <x v="0"/>
    <x v="0"/>
    <x v="0"/>
  </r>
  <r>
    <x v="277"/>
    <x v="0"/>
    <x v="0"/>
    <x v="0"/>
    <x v="0"/>
    <x v="9"/>
    <x v="0"/>
    <x v="0"/>
    <x v="3"/>
    <x v="0"/>
    <x v="1"/>
    <x v="3"/>
    <x v="4"/>
    <x v="1"/>
    <x v="13"/>
    <x v="0"/>
    <x v="0"/>
    <x v="0"/>
    <x v="0"/>
    <x v="0"/>
    <x v="0"/>
  </r>
  <r>
    <x v="278"/>
    <x v="1"/>
    <x v="1"/>
    <x v="0"/>
    <x v="0"/>
    <x v="9"/>
    <x v="0"/>
    <x v="4"/>
    <x v="3"/>
    <x v="0"/>
    <x v="0"/>
    <x v="4"/>
    <x v="1"/>
    <x v="2"/>
    <x v="13"/>
    <x v="0"/>
    <x v="0"/>
    <x v="0"/>
    <x v="0"/>
    <x v="0"/>
    <x v="0"/>
  </r>
  <r>
    <x v="279"/>
    <x v="1"/>
    <x v="1"/>
    <x v="0"/>
    <x v="0"/>
    <x v="9"/>
    <x v="0"/>
    <x v="4"/>
    <x v="3"/>
    <x v="0"/>
    <x v="0"/>
    <x v="4"/>
    <x v="0"/>
    <x v="2"/>
    <x v="13"/>
    <x v="0"/>
    <x v="0"/>
    <x v="1"/>
    <x v="0"/>
    <x v="0"/>
    <x v="0"/>
  </r>
  <r>
    <x v="280"/>
    <x v="1"/>
    <x v="1"/>
    <x v="0"/>
    <x v="0"/>
    <x v="9"/>
    <x v="0"/>
    <x v="4"/>
    <x v="3"/>
    <x v="0"/>
    <x v="1"/>
    <x v="4"/>
    <x v="0"/>
    <x v="2"/>
    <x v="13"/>
    <x v="0"/>
    <x v="0"/>
    <x v="0"/>
    <x v="0"/>
    <x v="0"/>
    <x v="0"/>
  </r>
  <r>
    <x v="281"/>
    <x v="0"/>
    <x v="0"/>
    <x v="0"/>
    <x v="0"/>
    <x v="9"/>
    <x v="0"/>
    <x v="0"/>
    <x v="3"/>
    <x v="0"/>
    <x v="1"/>
    <x v="3"/>
    <x v="1"/>
    <x v="1"/>
    <x v="26"/>
    <x v="0"/>
    <x v="0"/>
    <x v="0"/>
    <x v="0"/>
    <x v="0"/>
    <x v="0"/>
  </r>
  <r>
    <x v="282"/>
    <x v="1"/>
    <x v="1"/>
    <x v="0"/>
    <x v="0"/>
    <x v="9"/>
    <x v="0"/>
    <x v="0"/>
    <x v="3"/>
    <x v="3"/>
    <x v="1"/>
    <x v="3"/>
    <x v="4"/>
    <x v="1"/>
    <x v="26"/>
    <x v="0"/>
    <x v="0"/>
    <x v="0"/>
    <x v="0"/>
    <x v="0"/>
    <x v="0"/>
  </r>
  <r>
    <x v="283"/>
    <x v="0"/>
    <x v="0"/>
    <x v="1"/>
    <x v="1"/>
    <x v="9"/>
    <x v="0"/>
    <x v="1"/>
    <x v="0"/>
    <x v="3"/>
    <x v="1"/>
    <x v="3"/>
    <x v="0"/>
    <x v="2"/>
    <x v="26"/>
    <x v="0"/>
    <x v="0"/>
    <x v="1"/>
    <x v="0"/>
    <x v="0"/>
    <x v="0"/>
  </r>
  <r>
    <x v="284"/>
    <x v="0"/>
    <x v="0"/>
    <x v="1"/>
    <x v="1"/>
    <x v="9"/>
    <x v="0"/>
    <x v="4"/>
    <x v="3"/>
    <x v="0"/>
    <x v="0"/>
    <x v="4"/>
    <x v="1"/>
    <x v="1"/>
    <x v="26"/>
    <x v="0"/>
    <x v="0"/>
    <x v="1"/>
    <x v="0"/>
    <x v="0"/>
    <x v="0"/>
  </r>
  <r>
    <x v="285"/>
    <x v="1"/>
    <x v="1"/>
    <x v="1"/>
    <x v="1"/>
    <x v="9"/>
    <x v="0"/>
    <x v="0"/>
    <x v="3"/>
    <x v="0"/>
    <x v="1"/>
    <x v="3"/>
    <x v="4"/>
    <x v="1"/>
    <x v="26"/>
    <x v="0"/>
    <x v="0"/>
    <x v="0"/>
    <x v="0"/>
    <x v="0"/>
    <x v="0"/>
  </r>
  <r>
    <x v="286"/>
    <x v="1"/>
    <x v="1"/>
    <x v="1"/>
    <x v="1"/>
    <x v="9"/>
    <x v="0"/>
    <x v="4"/>
    <x v="3"/>
    <x v="0"/>
    <x v="0"/>
    <x v="3"/>
    <x v="0"/>
    <x v="2"/>
    <x v="26"/>
    <x v="0"/>
    <x v="0"/>
    <x v="0"/>
    <x v="0"/>
    <x v="0"/>
    <x v="0"/>
  </r>
  <r>
    <x v="287"/>
    <x v="0"/>
    <x v="0"/>
    <x v="0"/>
    <x v="0"/>
    <x v="9"/>
    <x v="0"/>
    <x v="2"/>
    <x v="0"/>
    <x v="3"/>
    <x v="1"/>
    <x v="4"/>
    <x v="1"/>
    <x v="1"/>
    <x v="6"/>
    <x v="0"/>
    <x v="0"/>
    <x v="0"/>
    <x v="0"/>
    <x v="0"/>
    <x v="0"/>
  </r>
  <r>
    <x v="288"/>
    <x v="1"/>
    <x v="1"/>
    <x v="0"/>
    <x v="0"/>
    <x v="9"/>
    <x v="0"/>
    <x v="2"/>
    <x v="3"/>
    <x v="0"/>
    <x v="0"/>
    <x v="4"/>
    <x v="1"/>
    <x v="1"/>
    <x v="6"/>
    <x v="0"/>
    <x v="0"/>
    <x v="1"/>
    <x v="0"/>
    <x v="0"/>
    <x v="0"/>
  </r>
  <r>
    <x v="289"/>
    <x v="0"/>
    <x v="0"/>
    <x v="1"/>
    <x v="1"/>
    <x v="9"/>
    <x v="0"/>
    <x v="1"/>
    <x v="0"/>
    <x v="3"/>
    <x v="1"/>
    <x v="3"/>
    <x v="0"/>
    <x v="2"/>
    <x v="6"/>
    <x v="0"/>
    <x v="0"/>
    <x v="1"/>
    <x v="0"/>
    <x v="0"/>
    <x v="0"/>
  </r>
  <r>
    <x v="290"/>
    <x v="0"/>
    <x v="0"/>
    <x v="1"/>
    <x v="1"/>
    <x v="9"/>
    <x v="0"/>
    <x v="2"/>
    <x v="0"/>
    <x v="3"/>
    <x v="1"/>
    <x v="4"/>
    <x v="1"/>
    <x v="1"/>
    <x v="6"/>
    <x v="0"/>
    <x v="0"/>
    <x v="1"/>
    <x v="0"/>
    <x v="0"/>
    <x v="0"/>
  </r>
  <r>
    <x v="291"/>
    <x v="0"/>
    <x v="0"/>
    <x v="1"/>
    <x v="1"/>
    <x v="9"/>
    <x v="0"/>
    <x v="1"/>
    <x v="0"/>
    <x v="3"/>
    <x v="1"/>
    <x v="3"/>
    <x v="1"/>
    <x v="2"/>
    <x v="6"/>
    <x v="0"/>
    <x v="0"/>
    <x v="1"/>
    <x v="0"/>
    <x v="0"/>
    <x v="0"/>
  </r>
  <r>
    <x v="292"/>
    <x v="0"/>
    <x v="0"/>
    <x v="1"/>
    <x v="1"/>
    <x v="9"/>
    <x v="0"/>
    <x v="2"/>
    <x v="3"/>
    <x v="0"/>
    <x v="1"/>
    <x v="4"/>
    <x v="4"/>
    <x v="1"/>
    <x v="6"/>
    <x v="0"/>
    <x v="0"/>
    <x v="0"/>
    <x v="0"/>
    <x v="0"/>
    <x v="0"/>
  </r>
  <r>
    <x v="293"/>
    <x v="0"/>
    <x v="0"/>
    <x v="1"/>
    <x v="1"/>
    <x v="9"/>
    <x v="0"/>
    <x v="2"/>
    <x v="0"/>
    <x v="3"/>
    <x v="1"/>
    <x v="4"/>
    <x v="4"/>
    <x v="1"/>
    <x v="6"/>
    <x v="0"/>
    <x v="0"/>
    <x v="0"/>
    <x v="0"/>
    <x v="0"/>
    <x v="0"/>
  </r>
  <r>
    <x v="294"/>
    <x v="1"/>
    <x v="1"/>
    <x v="1"/>
    <x v="1"/>
    <x v="9"/>
    <x v="0"/>
    <x v="1"/>
    <x v="0"/>
    <x v="0"/>
    <x v="1"/>
    <x v="0"/>
    <x v="4"/>
    <x v="1"/>
    <x v="6"/>
    <x v="0"/>
    <x v="0"/>
    <x v="1"/>
    <x v="0"/>
    <x v="0"/>
    <x v="0"/>
  </r>
  <r>
    <x v="295"/>
    <x v="1"/>
    <x v="1"/>
    <x v="0"/>
    <x v="0"/>
    <x v="9"/>
    <x v="0"/>
    <x v="1"/>
    <x v="0"/>
    <x v="3"/>
    <x v="1"/>
    <x v="3"/>
    <x v="0"/>
    <x v="2"/>
    <x v="14"/>
    <x v="0"/>
    <x v="0"/>
    <x v="1"/>
    <x v="0"/>
    <x v="0"/>
    <x v="0"/>
  </r>
  <r>
    <x v="296"/>
    <x v="0"/>
    <x v="0"/>
    <x v="1"/>
    <x v="1"/>
    <x v="9"/>
    <x v="0"/>
    <x v="1"/>
    <x v="0"/>
    <x v="0"/>
    <x v="0"/>
    <x v="0"/>
    <x v="0"/>
    <x v="1"/>
    <x v="14"/>
    <x v="0"/>
    <x v="0"/>
    <x v="1"/>
    <x v="0"/>
    <x v="0"/>
    <x v="0"/>
  </r>
  <r>
    <x v="297"/>
    <x v="0"/>
    <x v="0"/>
    <x v="1"/>
    <x v="1"/>
    <x v="9"/>
    <x v="0"/>
    <x v="1"/>
    <x v="0"/>
    <x v="3"/>
    <x v="1"/>
    <x v="0"/>
    <x v="0"/>
    <x v="2"/>
    <x v="14"/>
    <x v="0"/>
    <x v="0"/>
    <x v="1"/>
    <x v="0"/>
    <x v="0"/>
    <x v="0"/>
  </r>
  <r>
    <x v="298"/>
    <x v="0"/>
    <x v="0"/>
    <x v="0"/>
    <x v="0"/>
    <x v="9"/>
    <x v="0"/>
    <x v="1"/>
    <x v="0"/>
    <x v="3"/>
    <x v="0"/>
    <x v="0"/>
    <x v="0"/>
    <x v="2"/>
    <x v="27"/>
    <x v="0"/>
    <x v="0"/>
    <x v="1"/>
    <x v="0"/>
    <x v="0"/>
    <x v="0"/>
  </r>
  <r>
    <x v="299"/>
    <x v="0"/>
    <x v="0"/>
    <x v="0"/>
    <x v="0"/>
    <x v="9"/>
    <x v="0"/>
    <x v="1"/>
    <x v="1"/>
    <x v="0"/>
    <x v="1"/>
    <x v="0"/>
    <x v="2"/>
    <x v="1"/>
    <x v="27"/>
    <x v="0"/>
    <x v="0"/>
    <x v="1"/>
    <x v="0"/>
    <x v="0"/>
    <x v="0"/>
  </r>
  <r>
    <x v="300"/>
    <x v="1"/>
    <x v="1"/>
    <x v="0"/>
    <x v="0"/>
    <x v="9"/>
    <x v="0"/>
    <x v="1"/>
    <x v="1"/>
    <x v="0"/>
    <x v="1"/>
    <x v="0"/>
    <x v="2"/>
    <x v="1"/>
    <x v="27"/>
    <x v="0"/>
    <x v="0"/>
    <x v="0"/>
    <x v="0"/>
    <x v="0"/>
    <x v="0"/>
  </r>
  <r>
    <x v="301"/>
    <x v="0"/>
    <x v="0"/>
    <x v="1"/>
    <x v="1"/>
    <x v="9"/>
    <x v="0"/>
    <x v="2"/>
    <x v="1"/>
    <x v="0"/>
    <x v="1"/>
    <x v="4"/>
    <x v="1"/>
    <x v="1"/>
    <x v="27"/>
    <x v="0"/>
    <x v="0"/>
    <x v="0"/>
    <x v="0"/>
    <x v="0"/>
    <x v="0"/>
  </r>
  <r>
    <x v="302"/>
    <x v="0"/>
    <x v="0"/>
    <x v="1"/>
    <x v="1"/>
    <x v="9"/>
    <x v="0"/>
    <x v="1"/>
    <x v="0"/>
    <x v="3"/>
    <x v="1"/>
    <x v="0"/>
    <x v="0"/>
    <x v="2"/>
    <x v="27"/>
    <x v="0"/>
    <x v="0"/>
    <x v="1"/>
    <x v="0"/>
    <x v="0"/>
    <x v="0"/>
  </r>
  <r>
    <x v="303"/>
    <x v="0"/>
    <x v="0"/>
    <x v="0"/>
    <x v="0"/>
    <x v="9"/>
    <x v="0"/>
    <x v="1"/>
    <x v="1"/>
    <x v="0"/>
    <x v="1"/>
    <x v="4"/>
    <x v="1"/>
    <x v="1"/>
    <x v="4"/>
    <x v="0"/>
    <x v="0"/>
    <x v="1"/>
    <x v="0"/>
    <x v="0"/>
    <x v="0"/>
  </r>
  <r>
    <x v="304"/>
    <x v="0"/>
    <x v="0"/>
    <x v="0"/>
    <x v="0"/>
    <x v="9"/>
    <x v="0"/>
    <x v="1"/>
    <x v="3"/>
    <x v="0"/>
    <x v="1"/>
    <x v="3"/>
    <x v="4"/>
    <x v="1"/>
    <x v="4"/>
    <x v="0"/>
    <x v="0"/>
    <x v="1"/>
    <x v="0"/>
    <x v="0"/>
    <x v="0"/>
  </r>
  <r>
    <x v="305"/>
    <x v="0"/>
    <x v="0"/>
    <x v="1"/>
    <x v="1"/>
    <x v="9"/>
    <x v="0"/>
    <x v="1"/>
    <x v="1"/>
    <x v="0"/>
    <x v="0"/>
    <x v="0"/>
    <x v="2"/>
    <x v="1"/>
    <x v="4"/>
    <x v="0"/>
    <x v="0"/>
    <x v="1"/>
    <x v="0"/>
    <x v="0"/>
    <x v="0"/>
  </r>
  <r>
    <x v="306"/>
    <x v="0"/>
    <x v="0"/>
    <x v="1"/>
    <x v="1"/>
    <x v="9"/>
    <x v="0"/>
    <x v="3"/>
    <x v="4"/>
    <x v="3"/>
    <x v="1"/>
    <x v="3"/>
    <x v="0"/>
    <x v="1"/>
    <x v="0"/>
    <x v="0"/>
    <x v="0"/>
    <x v="1"/>
    <x v="0"/>
    <x v="0"/>
    <x v="0"/>
  </r>
  <r>
    <x v="307"/>
    <x v="1"/>
    <x v="1"/>
    <x v="0"/>
    <x v="0"/>
    <x v="9"/>
    <x v="0"/>
    <x v="5"/>
    <x v="0"/>
    <x v="0"/>
    <x v="1"/>
    <x v="4"/>
    <x v="0"/>
    <x v="1"/>
    <x v="36"/>
    <x v="0"/>
    <x v="0"/>
    <x v="0"/>
    <x v="0"/>
    <x v="0"/>
    <x v="0"/>
  </r>
  <r>
    <x v="308"/>
    <x v="1"/>
    <x v="1"/>
    <x v="0"/>
    <x v="0"/>
    <x v="9"/>
    <x v="0"/>
    <x v="3"/>
    <x v="2"/>
    <x v="0"/>
    <x v="1"/>
    <x v="3"/>
    <x v="0"/>
    <x v="2"/>
    <x v="36"/>
    <x v="0"/>
    <x v="0"/>
    <x v="0"/>
    <x v="0"/>
    <x v="0"/>
    <x v="0"/>
  </r>
  <r>
    <x v="309"/>
    <x v="1"/>
    <x v="1"/>
    <x v="0"/>
    <x v="0"/>
    <x v="9"/>
    <x v="0"/>
    <x v="3"/>
    <x v="0"/>
    <x v="0"/>
    <x v="1"/>
    <x v="1"/>
    <x v="0"/>
    <x v="1"/>
    <x v="36"/>
    <x v="0"/>
    <x v="0"/>
    <x v="0"/>
    <x v="0"/>
    <x v="0"/>
    <x v="0"/>
  </r>
  <r>
    <x v="310"/>
    <x v="0"/>
    <x v="0"/>
    <x v="1"/>
    <x v="1"/>
    <x v="9"/>
    <x v="0"/>
    <x v="3"/>
    <x v="4"/>
    <x v="3"/>
    <x v="0"/>
    <x v="3"/>
    <x v="3"/>
    <x v="1"/>
    <x v="36"/>
    <x v="0"/>
    <x v="0"/>
    <x v="1"/>
    <x v="0"/>
    <x v="0"/>
    <x v="0"/>
  </r>
  <r>
    <x v="311"/>
    <x v="0"/>
    <x v="0"/>
    <x v="1"/>
    <x v="1"/>
    <x v="9"/>
    <x v="0"/>
    <x v="5"/>
    <x v="0"/>
    <x v="0"/>
    <x v="1"/>
    <x v="4"/>
    <x v="0"/>
    <x v="1"/>
    <x v="36"/>
    <x v="0"/>
    <x v="0"/>
    <x v="1"/>
    <x v="0"/>
    <x v="0"/>
    <x v="0"/>
  </r>
  <r>
    <x v="312"/>
    <x v="0"/>
    <x v="0"/>
    <x v="0"/>
    <x v="0"/>
    <x v="9"/>
    <x v="0"/>
    <x v="5"/>
    <x v="0"/>
    <x v="0"/>
    <x v="1"/>
    <x v="3"/>
    <x v="0"/>
    <x v="1"/>
    <x v="15"/>
    <x v="0"/>
    <x v="0"/>
    <x v="0"/>
    <x v="0"/>
    <x v="0"/>
    <x v="0"/>
  </r>
  <r>
    <x v="313"/>
    <x v="1"/>
    <x v="1"/>
    <x v="0"/>
    <x v="0"/>
    <x v="9"/>
    <x v="0"/>
    <x v="0"/>
    <x v="2"/>
    <x v="0"/>
    <x v="1"/>
    <x v="1"/>
    <x v="0"/>
    <x v="1"/>
    <x v="15"/>
    <x v="0"/>
    <x v="0"/>
    <x v="0"/>
    <x v="0"/>
    <x v="0"/>
    <x v="0"/>
  </r>
  <r>
    <x v="314"/>
    <x v="0"/>
    <x v="0"/>
    <x v="1"/>
    <x v="1"/>
    <x v="9"/>
    <x v="0"/>
    <x v="3"/>
    <x v="2"/>
    <x v="3"/>
    <x v="0"/>
    <x v="3"/>
    <x v="3"/>
    <x v="2"/>
    <x v="15"/>
    <x v="0"/>
    <x v="0"/>
    <x v="0"/>
    <x v="0"/>
    <x v="0"/>
    <x v="0"/>
  </r>
  <r>
    <x v="315"/>
    <x v="0"/>
    <x v="0"/>
    <x v="1"/>
    <x v="1"/>
    <x v="9"/>
    <x v="0"/>
    <x v="0"/>
    <x v="2"/>
    <x v="0"/>
    <x v="1"/>
    <x v="1"/>
    <x v="0"/>
    <x v="1"/>
    <x v="7"/>
    <x v="0"/>
    <x v="1"/>
    <x v="1"/>
    <x v="0"/>
    <x v="0"/>
    <x v="0"/>
  </r>
  <r>
    <x v="316"/>
    <x v="1"/>
    <x v="1"/>
    <x v="0"/>
    <x v="0"/>
    <x v="9"/>
    <x v="0"/>
    <x v="5"/>
    <x v="1"/>
    <x v="1"/>
    <x v="1"/>
    <x v="3"/>
    <x v="3"/>
    <x v="1"/>
    <x v="16"/>
    <x v="0"/>
    <x v="1"/>
    <x v="1"/>
    <x v="0"/>
    <x v="0"/>
    <x v="0"/>
  </r>
  <r>
    <x v="317"/>
    <x v="1"/>
    <x v="1"/>
    <x v="0"/>
    <x v="0"/>
    <x v="9"/>
    <x v="0"/>
    <x v="5"/>
    <x v="1"/>
    <x v="1"/>
    <x v="1"/>
    <x v="3"/>
    <x v="0"/>
    <x v="1"/>
    <x v="16"/>
    <x v="0"/>
    <x v="1"/>
    <x v="0"/>
    <x v="0"/>
    <x v="0"/>
    <x v="0"/>
  </r>
  <r>
    <x v="318"/>
    <x v="0"/>
    <x v="0"/>
    <x v="1"/>
    <x v="1"/>
    <x v="9"/>
    <x v="0"/>
    <x v="3"/>
    <x v="0"/>
    <x v="3"/>
    <x v="1"/>
    <x v="3"/>
    <x v="0"/>
    <x v="2"/>
    <x v="16"/>
    <x v="0"/>
    <x v="1"/>
    <x v="0"/>
    <x v="0"/>
    <x v="0"/>
    <x v="0"/>
  </r>
  <r>
    <x v="319"/>
    <x v="0"/>
    <x v="0"/>
    <x v="1"/>
    <x v="1"/>
    <x v="9"/>
    <x v="0"/>
    <x v="5"/>
    <x v="4"/>
    <x v="3"/>
    <x v="1"/>
    <x v="3"/>
    <x v="0"/>
    <x v="1"/>
    <x v="16"/>
    <x v="0"/>
    <x v="1"/>
    <x v="1"/>
    <x v="0"/>
    <x v="0"/>
    <x v="0"/>
  </r>
  <r>
    <x v="320"/>
    <x v="0"/>
    <x v="0"/>
    <x v="1"/>
    <x v="1"/>
    <x v="9"/>
    <x v="0"/>
    <x v="3"/>
    <x v="0"/>
    <x v="3"/>
    <x v="1"/>
    <x v="3"/>
    <x v="0"/>
    <x v="2"/>
    <x v="16"/>
    <x v="0"/>
    <x v="1"/>
    <x v="0"/>
    <x v="0"/>
    <x v="0"/>
    <x v="0"/>
  </r>
  <r>
    <x v="321"/>
    <x v="0"/>
    <x v="0"/>
    <x v="1"/>
    <x v="1"/>
    <x v="9"/>
    <x v="0"/>
    <x v="5"/>
    <x v="2"/>
    <x v="0"/>
    <x v="0"/>
    <x v="4"/>
    <x v="3"/>
    <x v="1"/>
    <x v="16"/>
    <x v="0"/>
    <x v="1"/>
    <x v="0"/>
    <x v="0"/>
    <x v="0"/>
    <x v="0"/>
  </r>
  <r>
    <x v="322"/>
    <x v="1"/>
    <x v="1"/>
    <x v="1"/>
    <x v="1"/>
    <x v="9"/>
    <x v="0"/>
    <x v="5"/>
    <x v="2"/>
    <x v="0"/>
    <x v="1"/>
    <x v="1"/>
    <x v="0"/>
    <x v="1"/>
    <x v="16"/>
    <x v="0"/>
    <x v="1"/>
    <x v="0"/>
    <x v="0"/>
    <x v="0"/>
    <x v="0"/>
  </r>
  <r>
    <x v="323"/>
    <x v="0"/>
    <x v="0"/>
    <x v="0"/>
    <x v="0"/>
    <x v="9"/>
    <x v="0"/>
    <x v="3"/>
    <x v="2"/>
    <x v="0"/>
    <x v="1"/>
    <x v="3"/>
    <x v="4"/>
    <x v="1"/>
    <x v="31"/>
    <x v="0"/>
    <x v="1"/>
    <x v="1"/>
    <x v="0"/>
    <x v="0"/>
    <x v="0"/>
  </r>
  <r>
    <x v="324"/>
    <x v="0"/>
    <x v="0"/>
    <x v="0"/>
    <x v="0"/>
    <x v="9"/>
    <x v="0"/>
    <x v="3"/>
    <x v="2"/>
    <x v="0"/>
    <x v="1"/>
    <x v="3"/>
    <x v="2"/>
    <x v="1"/>
    <x v="31"/>
    <x v="0"/>
    <x v="1"/>
    <x v="1"/>
    <x v="0"/>
    <x v="0"/>
    <x v="0"/>
  </r>
  <r>
    <x v="325"/>
    <x v="1"/>
    <x v="1"/>
    <x v="0"/>
    <x v="0"/>
    <x v="9"/>
    <x v="0"/>
    <x v="5"/>
    <x v="1"/>
    <x v="1"/>
    <x v="0"/>
    <x v="3"/>
    <x v="3"/>
    <x v="1"/>
    <x v="31"/>
    <x v="0"/>
    <x v="1"/>
    <x v="1"/>
    <x v="0"/>
    <x v="0"/>
    <x v="0"/>
  </r>
  <r>
    <x v="326"/>
    <x v="1"/>
    <x v="1"/>
    <x v="0"/>
    <x v="0"/>
    <x v="9"/>
    <x v="0"/>
    <x v="5"/>
    <x v="1"/>
    <x v="1"/>
    <x v="1"/>
    <x v="3"/>
    <x v="0"/>
    <x v="1"/>
    <x v="31"/>
    <x v="0"/>
    <x v="1"/>
    <x v="0"/>
    <x v="0"/>
    <x v="0"/>
    <x v="0"/>
  </r>
  <r>
    <x v="327"/>
    <x v="0"/>
    <x v="0"/>
    <x v="1"/>
    <x v="1"/>
    <x v="9"/>
    <x v="0"/>
    <x v="0"/>
    <x v="0"/>
    <x v="0"/>
    <x v="1"/>
    <x v="3"/>
    <x v="2"/>
    <x v="1"/>
    <x v="31"/>
    <x v="0"/>
    <x v="1"/>
    <x v="1"/>
    <x v="0"/>
    <x v="0"/>
    <x v="0"/>
  </r>
  <r>
    <x v="328"/>
    <x v="0"/>
    <x v="0"/>
    <x v="1"/>
    <x v="1"/>
    <x v="9"/>
    <x v="0"/>
    <x v="5"/>
    <x v="1"/>
    <x v="1"/>
    <x v="1"/>
    <x v="3"/>
    <x v="0"/>
    <x v="1"/>
    <x v="31"/>
    <x v="0"/>
    <x v="1"/>
    <x v="0"/>
    <x v="0"/>
    <x v="0"/>
    <x v="0"/>
  </r>
  <r>
    <x v="329"/>
    <x v="0"/>
    <x v="0"/>
    <x v="1"/>
    <x v="1"/>
    <x v="9"/>
    <x v="0"/>
    <x v="3"/>
    <x v="4"/>
    <x v="3"/>
    <x v="1"/>
    <x v="3"/>
    <x v="2"/>
    <x v="1"/>
    <x v="31"/>
    <x v="0"/>
    <x v="1"/>
    <x v="1"/>
    <x v="0"/>
    <x v="0"/>
    <x v="0"/>
  </r>
  <r>
    <x v="330"/>
    <x v="1"/>
    <x v="1"/>
    <x v="1"/>
    <x v="1"/>
    <x v="9"/>
    <x v="0"/>
    <x v="5"/>
    <x v="1"/>
    <x v="1"/>
    <x v="0"/>
    <x v="3"/>
    <x v="3"/>
    <x v="1"/>
    <x v="31"/>
    <x v="0"/>
    <x v="1"/>
    <x v="0"/>
    <x v="0"/>
    <x v="0"/>
    <x v="0"/>
  </r>
  <r>
    <x v="331"/>
    <x v="1"/>
    <x v="1"/>
    <x v="0"/>
    <x v="0"/>
    <x v="9"/>
    <x v="0"/>
    <x v="3"/>
    <x v="4"/>
    <x v="3"/>
    <x v="0"/>
    <x v="3"/>
    <x v="4"/>
    <x v="1"/>
    <x v="17"/>
    <x v="0"/>
    <x v="1"/>
    <x v="0"/>
    <x v="0"/>
    <x v="0"/>
    <x v="0"/>
  </r>
  <r>
    <x v="332"/>
    <x v="0"/>
    <x v="0"/>
    <x v="1"/>
    <x v="1"/>
    <x v="9"/>
    <x v="0"/>
    <x v="3"/>
    <x v="4"/>
    <x v="3"/>
    <x v="1"/>
    <x v="3"/>
    <x v="2"/>
    <x v="1"/>
    <x v="17"/>
    <x v="0"/>
    <x v="1"/>
    <x v="1"/>
    <x v="0"/>
    <x v="0"/>
    <x v="0"/>
  </r>
  <r>
    <x v="333"/>
    <x v="0"/>
    <x v="0"/>
    <x v="0"/>
    <x v="0"/>
    <x v="9"/>
    <x v="0"/>
    <x v="0"/>
    <x v="0"/>
    <x v="0"/>
    <x v="1"/>
    <x v="4"/>
    <x v="3"/>
    <x v="1"/>
    <x v="1"/>
    <x v="0"/>
    <x v="1"/>
    <x v="1"/>
    <x v="0"/>
    <x v="0"/>
    <x v="0"/>
  </r>
  <r>
    <x v="334"/>
    <x v="0"/>
    <x v="0"/>
    <x v="0"/>
    <x v="0"/>
    <x v="9"/>
    <x v="0"/>
    <x v="0"/>
    <x v="0"/>
    <x v="0"/>
    <x v="0"/>
    <x v="4"/>
    <x v="3"/>
    <x v="1"/>
    <x v="28"/>
    <x v="0"/>
    <x v="1"/>
    <x v="1"/>
    <x v="0"/>
    <x v="0"/>
    <x v="0"/>
  </r>
  <r>
    <x v="335"/>
    <x v="0"/>
    <x v="0"/>
    <x v="0"/>
    <x v="0"/>
    <x v="9"/>
    <x v="0"/>
    <x v="0"/>
    <x v="0"/>
    <x v="0"/>
    <x v="1"/>
    <x v="4"/>
    <x v="2"/>
    <x v="1"/>
    <x v="28"/>
    <x v="0"/>
    <x v="1"/>
    <x v="1"/>
    <x v="0"/>
    <x v="0"/>
    <x v="0"/>
  </r>
  <r>
    <x v="336"/>
    <x v="1"/>
    <x v="1"/>
    <x v="1"/>
    <x v="1"/>
    <x v="9"/>
    <x v="0"/>
    <x v="0"/>
    <x v="0"/>
    <x v="0"/>
    <x v="1"/>
    <x v="4"/>
    <x v="2"/>
    <x v="1"/>
    <x v="28"/>
    <x v="0"/>
    <x v="1"/>
    <x v="1"/>
    <x v="0"/>
    <x v="0"/>
    <x v="0"/>
  </r>
  <r>
    <x v="337"/>
    <x v="0"/>
    <x v="0"/>
    <x v="1"/>
    <x v="1"/>
    <x v="9"/>
    <x v="0"/>
    <x v="1"/>
    <x v="0"/>
    <x v="0"/>
    <x v="1"/>
    <x v="3"/>
    <x v="3"/>
    <x v="1"/>
    <x v="40"/>
    <x v="0"/>
    <x v="1"/>
    <x v="0"/>
    <x v="0"/>
    <x v="0"/>
    <x v="0"/>
  </r>
  <r>
    <x v="338"/>
    <x v="0"/>
    <x v="0"/>
    <x v="0"/>
    <x v="0"/>
    <x v="9"/>
    <x v="0"/>
    <x v="3"/>
    <x v="0"/>
    <x v="0"/>
    <x v="1"/>
    <x v="4"/>
    <x v="2"/>
    <x v="1"/>
    <x v="18"/>
    <x v="0"/>
    <x v="1"/>
    <x v="1"/>
    <x v="0"/>
    <x v="0"/>
    <x v="0"/>
  </r>
  <r>
    <x v="339"/>
    <x v="1"/>
    <x v="1"/>
    <x v="0"/>
    <x v="0"/>
    <x v="9"/>
    <x v="0"/>
    <x v="3"/>
    <x v="3"/>
    <x v="1"/>
    <x v="0"/>
    <x v="4"/>
    <x v="4"/>
    <x v="1"/>
    <x v="18"/>
    <x v="0"/>
    <x v="1"/>
    <x v="0"/>
    <x v="0"/>
    <x v="0"/>
    <x v="0"/>
  </r>
  <r>
    <x v="340"/>
    <x v="0"/>
    <x v="0"/>
    <x v="1"/>
    <x v="1"/>
    <x v="9"/>
    <x v="0"/>
    <x v="0"/>
    <x v="3"/>
    <x v="1"/>
    <x v="1"/>
    <x v="4"/>
    <x v="3"/>
    <x v="1"/>
    <x v="18"/>
    <x v="0"/>
    <x v="1"/>
    <x v="1"/>
    <x v="0"/>
    <x v="0"/>
    <x v="0"/>
  </r>
  <r>
    <x v="341"/>
    <x v="0"/>
    <x v="0"/>
    <x v="0"/>
    <x v="0"/>
    <x v="9"/>
    <x v="0"/>
    <x v="0"/>
    <x v="3"/>
    <x v="1"/>
    <x v="1"/>
    <x v="4"/>
    <x v="2"/>
    <x v="1"/>
    <x v="19"/>
    <x v="0"/>
    <x v="1"/>
    <x v="1"/>
    <x v="0"/>
    <x v="0"/>
    <x v="0"/>
  </r>
  <r>
    <x v="342"/>
    <x v="0"/>
    <x v="0"/>
    <x v="0"/>
    <x v="0"/>
    <x v="9"/>
    <x v="0"/>
    <x v="0"/>
    <x v="3"/>
    <x v="1"/>
    <x v="0"/>
    <x v="4"/>
    <x v="3"/>
    <x v="1"/>
    <x v="19"/>
    <x v="0"/>
    <x v="1"/>
    <x v="1"/>
    <x v="0"/>
    <x v="0"/>
    <x v="0"/>
  </r>
  <r>
    <x v="343"/>
    <x v="0"/>
    <x v="0"/>
    <x v="0"/>
    <x v="0"/>
    <x v="9"/>
    <x v="0"/>
    <x v="0"/>
    <x v="3"/>
    <x v="1"/>
    <x v="1"/>
    <x v="4"/>
    <x v="3"/>
    <x v="1"/>
    <x v="19"/>
    <x v="0"/>
    <x v="1"/>
    <x v="1"/>
    <x v="0"/>
    <x v="0"/>
    <x v="0"/>
  </r>
  <r>
    <x v="344"/>
    <x v="0"/>
    <x v="0"/>
    <x v="0"/>
    <x v="0"/>
    <x v="9"/>
    <x v="0"/>
    <x v="3"/>
    <x v="0"/>
    <x v="0"/>
    <x v="1"/>
    <x v="4"/>
    <x v="4"/>
    <x v="1"/>
    <x v="19"/>
    <x v="0"/>
    <x v="1"/>
    <x v="1"/>
    <x v="0"/>
    <x v="0"/>
    <x v="0"/>
  </r>
  <r>
    <x v="345"/>
    <x v="1"/>
    <x v="1"/>
    <x v="0"/>
    <x v="0"/>
    <x v="9"/>
    <x v="0"/>
    <x v="3"/>
    <x v="3"/>
    <x v="1"/>
    <x v="1"/>
    <x v="4"/>
    <x v="2"/>
    <x v="1"/>
    <x v="19"/>
    <x v="0"/>
    <x v="1"/>
    <x v="1"/>
    <x v="0"/>
    <x v="0"/>
    <x v="0"/>
  </r>
  <r>
    <x v="346"/>
    <x v="1"/>
    <x v="1"/>
    <x v="0"/>
    <x v="0"/>
    <x v="9"/>
    <x v="0"/>
    <x v="3"/>
    <x v="3"/>
    <x v="1"/>
    <x v="0"/>
    <x v="4"/>
    <x v="4"/>
    <x v="1"/>
    <x v="19"/>
    <x v="0"/>
    <x v="1"/>
    <x v="0"/>
    <x v="0"/>
    <x v="0"/>
    <x v="0"/>
  </r>
  <r>
    <x v="347"/>
    <x v="0"/>
    <x v="0"/>
    <x v="1"/>
    <x v="1"/>
    <x v="9"/>
    <x v="0"/>
    <x v="3"/>
    <x v="0"/>
    <x v="0"/>
    <x v="1"/>
    <x v="4"/>
    <x v="2"/>
    <x v="1"/>
    <x v="19"/>
    <x v="0"/>
    <x v="1"/>
    <x v="1"/>
    <x v="0"/>
    <x v="0"/>
    <x v="0"/>
  </r>
  <r>
    <x v="348"/>
    <x v="1"/>
    <x v="1"/>
    <x v="1"/>
    <x v="1"/>
    <x v="9"/>
    <x v="0"/>
    <x v="3"/>
    <x v="3"/>
    <x v="1"/>
    <x v="0"/>
    <x v="4"/>
    <x v="4"/>
    <x v="1"/>
    <x v="19"/>
    <x v="0"/>
    <x v="1"/>
    <x v="0"/>
    <x v="0"/>
    <x v="0"/>
    <x v="0"/>
  </r>
  <r>
    <x v="349"/>
    <x v="0"/>
    <x v="0"/>
    <x v="1"/>
    <x v="1"/>
    <x v="9"/>
    <x v="0"/>
    <x v="1"/>
    <x v="3"/>
    <x v="1"/>
    <x v="1"/>
    <x v="2"/>
    <x v="2"/>
    <x v="1"/>
    <x v="41"/>
    <x v="0"/>
    <x v="1"/>
    <x v="1"/>
    <x v="0"/>
    <x v="0"/>
    <x v="0"/>
  </r>
  <r>
    <x v="350"/>
    <x v="1"/>
    <x v="1"/>
    <x v="1"/>
    <x v="1"/>
    <x v="9"/>
    <x v="0"/>
    <x v="1"/>
    <x v="3"/>
    <x v="1"/>
    <x v="1"/>
    <x v="0"/>
    <x v="2"/>
    <x v="1"/>
    <x v="41"/>
    <x v="0"/>
    <x v="1"/>
    <x v="0"/>
    <x v="0"/>
    <x v="0"/>
    <x v="0"/>
  </r>
  <r>
    <x v="351"/>
    <x v="1"/>
    <x v="1"/>
    <x v="1"/>
    <x v="1"/>
    <x v="9"/>
    <x v="0"/>
    <x v="1"/>
    <x v="3"/>
    <x v="1"/>
    <x v="1"/>
    <x v="0"/>
    <x v="2"/>
    <x v="1"/>
    <x v="41"/>
    <x v="0"/>
    <x v="1"/>
    <x v="0"/>
    <x v="0"/>
    <x v="0"/>
    <x v="0"/>
  </r>
  <r>
    <x v="352"/>
    <x v="1"/>
    <x v="1"/>
    <x v="0"/>
    <x v="0"/>
    <x v="9"/>
    <x v="0"/>
    <x v="0"/>
    <x v="3"/>
    <x v="1"/>
    <x v="1"/>
    <x v="3"/>
    <x v="2"/>
    <x v="1"/>
    <x v="20"/>
    <x v="0"/>
    <x v="1"/>
    <x v="1"/>
    <x v="0"/>
    <x v="0"/>
    <x v="0"/>
  </r>
  <r>
    <x v="353"/>
    <x v="0"/>
    <x v="0"/>
    <x v="1"/>
    <x v="1"/>
    <x v="9"/>
    <x v="0"/>
    <x v="1"/>
    <x v="3"/>
    <x v="1"/>
    <x v="1"/>
    <x v="3"/>
    <x v="4"/>
    <x v="1"/>
    <x v="20"/>
    <x v="0"/>
    <x v="1"/>
    <x v="1"/>
    <x v="0"/>
    <x v="0"/>
    <x v="0"/>
  </r>
  <r>
    <x v="354"/>
    <x v="1"/>
    <x v="1"/>
    <x v="0"/>
    <x v="0"/>
    <x v="9"/>
    <x v="0"/>
    <x v="0"/>
    <x v="3"/>
    <x v="1"/>
    <x v="1"/>
    <x v="3"/>
    <x v="3"/>
    <x v="1"/>
    <x v="29"/>
    <x v="0"/>
    <x v="1"/>
    <x v="0"/>
    <x v="0"/>
    <x v="0"/>
    <x v="0"/>
  </r>
  <r>
    <x v="355"/>
    <x v="0"/>
    <x v="0"/>
    <x v="1"/>
    <x v="1"/>
    <x v="9"/>
    <x v="0"/>
    <x v="1"/>
    <x v="3"/>
    <x v="1"/>
    <x v="1"/>
    <x v="3"/>
    <x v="2"/>
    <x v="1"/>
    <x v="37"/>
    <x v="0"/>
    <x v="1"/>
    <x v="1"/>
    <x v="0"/>
    <x v="0"/>
    <x v="0"/>
  </r>
  <r>
    <x v="356"/>
    <x v="1"/>
    <x v="1"/>
    <x v="0"/>
    <x v="0"/>
    <x v="9"/>
    <x v="0"/>
    <x v="1"/>
    <x v="1"/>
    <x v="1"/>
    <x v="1"/>
    <x v="3"/>
    <x v="2"/>
    <x v="1"/>
    <x v="21"/>
    <x v="0"/>
    <x v="1"/>
    <x v="0"/>
    <x v="0"/>
    <x v="0"/>
    <x v="0"/>
  </r>
  <r>
    <x v="357"/>
    <x v="0"/>
    <x v="0"/>
    <x v="1"/>
    <x v="1"/>
    <x v="9"/>
    <x v="0"/>
    <x v="0"/>
    <x v="1"/>
    <x v="1"/>
    <x v="1"/>
    <x v="3"/>
    <x v="0"/>
    <x v="1"/>
    <x v="34"/>
    <x v="0"/>
    <x v="1"/>
    <x v="1"/>
    <x v="0"/>
    <x v="0"/>
    <x v="0"/>
  </r>
  <r>
    <x v="358"/>
    <x v="1"/>
    <x v="1"/>
    <x v="1"/>
    <x v="1"/>
    <x v="9"/>
    <x v="0"/>
    <x v="4"/>
    <x v="1"/>
    <x v="1"/>
    <x v="1"/>
    <x v="3"/>
    <x v="0"/>
    <x v="1"/>
    <x v="46"/>
    <x v="0"/>
    <x v="1"/>
    <x v="0"/>
    <x v="0"/>
    <x v="0"/>
    <x v="0"/>
  </r>
  <r>
    <x v="359"/>
    <x v="0"/>
    <x v="0"/>
    <x v="0"/>
    <x v="0"/>
    <x v="10"/>
    <x v="0"/>
    <x v="4"/>
    <x v="0"/>
    <x v="3"/>
    <x v="0"/>
    <x v="4"/>
    <x v="3"/>
    <x v="1"/>
    <x v="45"/>
    <x v="0"/>
    <x v="2"/>
    <x v="1"/>
    <x v="0"/>
    <x v="0"/>
    <x v="0"/>
  </r>
  <r>
    <x v="360"/>
    <x v="0"/>
    <x v="0"/>
    <x v="1"/>
    <x v="1"/>
    <x v="10"/>
    <x v="0"/>
    <x v="4"/>
    <x v="0"/>
    <x v="3"/>
    <x v="1"/>
    <x v="4"/>
    <x v="0"/>
    <x v="1"/>
    <x v="45"/>
    <x v="0"/>
    <x v="2"/>
    <x v="0"/>
    <x v="0"/>
    <x v="0"/>
    <x v="0"/>
  </r>
  <r>
    <x v="361"/>
    <x v="1"/>
    <x v="1"/>
    <x v="1"/>
    <x v="1"/>
    <x v="10"/>
    <x v="0"/>
    <x v="4"/>
    <x v="0"/>
    <x v="3"/>
    <x v="1"/>
    <x v="4"/>
    <x v="0"/>
    <x v="1"/>
    <x v="45"/>
    <x v="0"/>
    <x v="2"/>
    <x v="0"/>
    <x v="0"/>
    <x v="0"/>
    <x v="0"/>
  </r>
  <r>
    <x v="362"/>
    <x v="0"/>
    <x v="0"/>
    <x v="0"/>
    <x v="0"/>
    <x v="10"/>
    <x v="0"/>
    <x v="4"/>
    <x v="0"/>
    <x v="3"/>
    <x v="1"/>
    <x v="3"/>
    <x v="0"/>
    <x v="1"/>
    <x v="38"/>
    <x v="0"/>
    <x v="2"/>
    <x v="1"/>
    <x v="0"/>
    <x v="0"/>
    <x v="0"/>
  </r>
  <r>
    <x v="363"/>
    <x v="0"/>
    <x v="0"/>
    <x v="1"/>
    <x v="1"/>
    <x v="10"/>
    <x v="0"/>
    <x v="4"/>
    <x v="0"/>
    <x v="3"/>
    <x v="0"/>
    <x v="3"/>
    <x v="3"/>
    <x v="1"/>
    <x v="38"/>
    <x v="0"/>
    <x v="2"/>
    <x v="1"/>
    <x v="0"/>
    <x v="0"/>
    <x v="0"/>
  </r>
  <r>
    <x v="364"/>
    <x v="1"/>
    <x v="1"/>
    <x v="1"/>
    <x v="1"/>
    <x v="10"/>
    <x v="0"/>
    <x v="4"/>
    <x v="0"/>
    <x v="3"/>
    <x v="1"/>
    <x v="1"/>
    <x v="0"/>
    <x v="1"/>
    <x v="38"/>
    <x v="0"/>
    <x v="2"/>
    <x v="1"/>
    <x v="0"/>
    <x v="0"/>
    <x v="0"/>
  </r>
  <r>
    <x v="365"/>
    <x v="1"/>
    <x v="1"/>
    <x v="1"/>
    <x v="1"/>
    <x v="10"/>
    <x v="0"/>
    <x v="4"/>
    <x v="0"/>
    <x v="3"/>
    <x v="0"/>
    <x v="3"/>
    <x v="3"/>
    <x v="1"/>
    <x v="38"/>
    <x v="0"/>
    <x v="2"/>
    <x v="1"/>
    <x v="0"/>
    <x v="0"/>
    <x v="0"/>
  </r>
  <r>
    <x v="366"/>
    <x v="0"/>
    <x v="0"/>
    <x v="0"/>
    <x v="0"/>
    <x v="10"/>
    <x v="0"/>
    <x v="4"/>
    <x v="0"/>
    <x v="0"/>
    <x v="1"/>
    <x v="3"/>
    <x v="0"/>
    <x v="1"/>
    <x v="39"/>
    <x v="0"/>
    <x v="0"/>
    <x v="1"/>
    <x v="0"/>
    <x v="0"/>
    <x v="0"/>
  </r>
  <r>
    <x v="367"/>
    <x v="1"/>
    <x v="1"/>
    <x v="1"/>
    <x v="1"/>
    <x v="10"/>
    <x v="0"/>
    <x v="4"/>
    <x v="3"/>
    <x v="3"/>
    <x v="0"/>
    <x v="3"/>
    <x v="1"/>
    <x v="1"/>
    <x v="39"/>
    <x v="0"/>
    <x v="0"/>
    <x v="1"/>
    <x v="0"/>
    <x v="0"/>
    <x v="0"/>
  </r>
  <r>
    <x v="368"/>
    <x v="1"/>
    <x v="1"/>
    <x v="1"/>
    <x v="1"/>
    <x v="10"/>
    <x v="0"/>
    <x v="4"/>
    <x v="0"/>
    <x v="0"/>
    <x v="0"/>
    <x v="3"/>
    <x v="3"/>
    <x v="1"/>
    <x v="39"/>
    <x v="0"/>
    <x v="0"/>
    <x v="1"/>
    <x v="0"/>
    <x v="0"/>
    <x v="0"/>
  </r>
  <r>
    <x v="369"/>
    <x v="0"/>
    <x v="0"/>
    <x v="0"/>
    <x v="0"/>
    <x v="10"/>
    <x v="0"/>
    <x v="4"/>
    <x v="0"/>
    <x v="3"/>
    <x v="1"/>
    <x v="3"/>
    <x v="0"/>
    <x v="1"/>
    <x v="8"/>
    <x v="0"/>
    <x v="0"/>
    <x v="1"/>
    <x v="0"/>
    <x v="0"/>
    <x v="0"/>
  </r>
  <r>
    <x v="370"/>
    <x v="0"/>
    <x v="0"/>
    <x v="1"/>
    <x v="1"/>
    <x v="10"/>
    <x v="0"/>
    <x v="4"/>
    <x v="0"/>
    <x v="3"/>
    <x v="0"/>
    <x v="3"/>
    <x v="3"/>
    <x v="1"/>
    <x v="8"/>
    <x v="0"/>
    <x v="0"/>
    <x v="1"/>
    <x v="0"/>
    <x v="0"/>
    <x v="0"/>
  </r>
  <r>
    <x v="371"/>
    <x v="1"/>
    <x v="1"/>
    <x v="1"/>
    <x v="1"/>
    <x v="10"/>
    <x v="0"/>
    <x v="4"/>
    <x v="3"/>
    <x v="0"/>
    <x v="0"/>
    <x v="2"/>
    <x v="4"/>
    <x v="2"/>
    <x v="8"/>
    <x v="0"/>
    <x v="0"/>
    <x v="1"/>
    <x v="0"/>
    <x v="0"/>
    <x v="0"/>
  </r>
  <r>
    <x v="372"/>
    <x v="1"/>
    <x v="1"/>
    <x v="1"/>
    <x v="1"/>
    <x v="10"/>
    <x v="0"/>
    <x v="4"/>
    <x v="3"/>
    <x v="0"/>
    <x v="0"/>
    <x v="0"/>
    <x v="4"/>
    <x v="2"/>
    <x v="8"/>
    <x v="0"/>
    <x v="0"/>
    <x v="1"/>
    <x v="0"/>
    <x v="0"/>
    <x v="0"/>
  </r>
  <r>
    <x v="373"/>
    <x v="0"/>
    <x v="0"/>
    <x v="0"/>
    <x v="0"/>
    <x v="10"/>
    <x v="0"/>
    <x v="4"/>
    <x v="0"/>
    <x v="0"/>
    <x v="1"/>
    <x v="3"/>
    <x v="0"/>
    <x v="1"/>
    <x v="23"/>
    <x v="0"/>
    <x v="0"/>
    <x v="1"/>
    <x v="0"/>
    <x v="0"/>
    <x v="0"/>
  </r>
  <r>
    <x v="374"/>
    <x v="1"/>
    <x v="1"/>
    <x v="0"/>
    <x v="0"/>
    <x v="10"/>
    <x v="0"/>
    <x v="4"/>
    <x v="0"/>
    <x v="0"/>
    <x v="0"/>
    <x v="3"/>
    <x v="3"/>
    <x v="1"/>
    <x v="23"/>
    <x v="0"/>
    <x v="0"/>
    <x v="0"/>
    <x v="0"/>
    <x v="0"/>
    <x v="0"/>
  </r>
  <r>
    <x v="375"/>
    <x v="0"/>
    <x v="0"/>
    <x v="1"/>
    <x v="1"/>
    <x v="10"/>
    <x v="0"/>
    <x v="4"/>
    <x v="0"/>
    <x v="3"/>
    <x v="1"/>
    <x v="4"/>
    <x v="0"/>
    <x v="1"/>
    <x v="23"/>
    <x v="0"/>
    <x v="0"/>
    <x v="0"/>
    <x v="0"/>
    <x v="0"/>
    <x v="0"/>
  </r>
  <r>
    <x v="376"/>
    <x v="0"/>
    <x v="0"/>
    <x v="1"/>
    <x v="1"/>
    <x v="10"/>
    <x v="0"/>
    <x v="4"/>
    <x v="0"/>
    <x v="0"/>
    <x v="1"/>
    <x v="3"/>
    <x v="0"/>
    <x v="1"/>
    <x v="23"/>
    <x v="0"/>
    <x v="0"/>
    <x v="1"/>
    <x v="0"/>
    <x v="0"/>
    <x v="0"/>
  </r>
  <r>
    <x v="377"/>
    <x v="0"/>
    <x v="0"/>
    <x v="1"/>
    <x v="1"/>
    <x v="10"/>
    <x v="0"/>
    <x v="4"/>
    <x v="2"/>
    <x v="0"/>
    <x v="1"/>
    <x v="3"/>
    <x v="0"/>
    <x v="1"/>
    <x v="23"/>
    <x v="0"/>
    <x v="0"/>
    <x v="0"/>
    <x v="0"/>
    <x v="0"/>
    <x v="0"/>
  </r>
  <r>
    <x v="378"/>
    <x v="1"/>
    <x v="1"/>
    <x v="1"/>
    <x v="1"/>
    <x v="10"/>
    <x v="0"/>
    <x v="4"/>
    <x v="0"/>
    <x v="0"/>
    <x v="0"/>
    <x v="3"/>
    <x v="3"/>
    <x v="1"/>
    <x v="23"/>
    <x v="0"/>
    <x v="0"/>
    <x v="0"/>
    <x v="0"/>
    <x v="0"/>
    <x v="0"/>
  </r>
  <r>
    <x v="379"/>
    <x v="0"/>
    <x v="0"/>
    <x v="0"/>
    <x v="0"/>
    <x v="10"/>
    <x v="0"/>
    <x v="4"/>
    <x v="0"/>
    <x v="3"/>
    <x v="0"/>
    <x v="4"/>
    <x v="3"/>
    <x v="1"/>
    <x v="3"/>
    <x v="0"/>
    <x v="0"/>
    <x v="1"/>
    <x v="0"/>
    <x v="0"/>
    <x v="0"/>
  </r>
  <r>
    <x v="380"/>
    <x v="1"/>
    <x v="1"/>
    <x v="0"/>
    <x v="0"/>
    <x v="10"/>
    <x v="0"/>
    <x v="4"/>
    <x v="0"/>
    <x v="3"/>
    <x v="0"/>
    <x v="4"/>
    <x v="3"/>
    <x v="1"/>
    <x v="3"/>
    <x v="0"/>
    <x v="0"/>
    <x v="0"/>
    <x v="0"/>
    <x v="0"/>
    <x v="0"/>
  </r>
  <r>
    <x v="381"/>
    <x v="0"/>
    <x v="0"/>
    <x v="1"/>
    <x v="1"/>
    <x v="10"/>
    <x v="0"/>
    <x v="2"/>
    <x v="1"/>
    <x v="3"/>
    <x v="1"/>
    <x v="1"/>
    <x v="1"/>
    <x v="1"/>
    <x v="3"/>
    <x v="0"/>
    <x v="0"/>
    <x v="1"/>
    <x v="0"/>
    <x v="0"/>
    <x v="0"/>
  </r>
  <r>
    <x v="382"/>
    <x v="0"/>
    <x v="0"/>
    <x v="1"/>
    <x v="1"/>
    <x v="10"/>
    <x v="0"/>
    <x v="4"/>
    <x v="0"/>
    <x v="3"/>
    <x v="1"/>
    <x v="3"/>
    <x v="0"/>
    <x v="1"/>
    <x v="3"/>
    <x v="0"/>
    <x v="0"/>
    <x v="0"/>
    <x v="0"/>
    <x v="0"/>
    <x v="0"/>
  </r>
  <r>
    <x v="383"/>
    <x v="0"/>
    <x v="0"/>
    <x v="0"/>
    <x v="0"/>
    <x v="10"/>
    <x v="0"/>
    <x v="2"/>
    <x v="1"/>
    <x v="3"/>
    <x v="1"/>
    <x v="1"/>
    <x v="1"/>
    <x v="1"/>
    <x v="24"/>
    <x v="0"/>
    <x v="0"/>
    <x v="1"/>
    <x v="0"/>
    <x v="0"/>
    <x v="0"/>
  </r>
  <r>
    <x v="384"/>
    <x v="0"/>
    <x v="0"/>
    <x v="0"/>
    <x v="0"/>
    <x v="10"/>
    <x v="0"/>
    <x v="2"/>
    <x v="1"/>
    <x v="3"/>
    <x v="1"/>
    <x v="1"/>
    <x v="4"/>
    <x v="1"/>
    <x v="24"/>
    <x v="0"/>
    <x v="0"/>
    <x v="0"/>
    <x v="0"/>
    <x v="0"/>
    <x v="0"/>
  </r>
  <r>
    <x v="385"/>
    <x v="0"/>
    <x v="0"/>
    <x v="1"/>
    <x v="1"/>
    <x v="10"/>
    <x v="0"/>
    <x v="2"/>
    <x v="1"/>
    <x v="0"/>
    <x v="1"/>
    <x v="1"/>
    <x v="4"/>
    <x v="1"/>
    <x v="24"/>
    <x v="0"/>
    <x v="0"/>
    <x v="0"/>
    <x v="0"/>
    <x v="0"/>
    <x v="0"/>
  </r>
  <r>
    <x v="386"/>
    <x v="0"/>
    <x v="0"/>
    <x v="0"/>
    <x v="0"/>
    <x v="10"/>
    <x v="0"/>
    <x v="2"/>
    <x v="1"/>
    <x v="0"/>
    <x v="0"/>
    <x v="1"/>
    <x v="1"/>
    <x v="1"/>
    <x v="32"/>
    <x v="0"/>
    <x v="0"/>
    <x v="0"/>
    <x v="0"/>
    <x v="0"/>
    <x v="0"/>
  </r>
  <r>
    <x v="387"/>
    <x v="1"/>
    <x v="1"/>
    <x v="0"/>
    <x v="0"/>
    <x v="10"/>
    <x v="0"/>
    <x v="2"/>
    <x v="1"/>
    <x v="3"/>
    <x v="1"/>
    <x v="1"/>
    <x v="3"/>
    <x v="1"/>
    <x v="32"/>
    <x v="0"/>
    <x v="0"/>
    <x v="1"/>
    <x v="0"/>
    <x v="0"/>
    <x v="0"/>
  </r>
  <r>
    <x v="388"/>
    <x v="0"/>
    <x v="0"/>
    <x v="1"/>
    <x v="1"/>
    <x v="10"/>
    <x v="0"/>
    <x v="2"/>
    <x v="1"/>
    <x v="0"/>
    <x v="1"/>
    <x v="1"/>
    <x v="1"/>
    <x v="1"/>
    <x v="32"/>
    <x v="0"/>
    <x v="0"/>
    <x v="1"/>
    <x v="0"/>
    <x v="0"/>
    <x v="0"/>
  </r>
  <r>
    <x v="389"/>
    <x v="0"/>
    <x v="0"/>
    <x v="1"/>
    <x v="1"/>
    <x v="10"/>
    <x v="0"/>
    <x v="2"/>
    <x v="1"/>
    <x v="0"/>
    <x v="1"/>
    <x v="1"/>
    <x v="1"/>
    <x v="1"/>
    <x v="32"/>
    <x v="0"/>
    <x v="0"/>
    <x v="0"/>
    <x v="0"/>
    <x v="0"/>
    <x v="0"/>
  </r>
  <r>
    <x v="390"/>
    <x v="1"/>
    <x v="1"/>
    <x v="1"/>
    <x v="1"/>
    <x v="10"/>
    <x v="0"/>
    <x v="2"/>
    <x v="1"/>
    <x v="0"/>
    <x v="1"/>
    <x v="1"/>
    <x v="4"/>
    <x v="1"/>
    <x v="32"/>
    <x v="0"/>
    <x v="0"/>
    <x v="0"/>
    <x v="0"/>
    <x v="0"/>
    <x v="0"/>
  </r>
  <r>
    <x v="391"/>
    <x v="0"/>
    <x v="0"/>
    <x v="0"/>
    <x v="0"/>
    <x v="10"/>
    <x v="0"/>
    <x v="2"/>
    <x v="1"/>
    <x v="0"/>
    <x v="1"/>
    <x v="1"/>
    <x v="4"/>
    <x v="1"/>
    <x v="9"/>
    <x v="0"/>
    <x v="0"/>
    <x v="0"/>
    <x v="0"/>
    <x v="0"/>
    <x v="0"/>
  </r>
  <r>
    <x v="392"/>
    <x v="1"/>
    <x v="1"/>
    <x v="0"/>
    <x v="0"/>
    <x v="10"/>
    <x v="0"/>
    <x v="2"/>
    <x v="1"/>
    <x v="0"/>
    <x v="1"/>
    <x v="1"/>
    <x v="4"/>
    <x v="1"/>
    <x v="9"/>
    <x v="0"/>
    <x v="0"/>
    <x v="0"/>
    <x v="0"/>
    <x v="0"/>
    <x v="0"/>
  </r>
  <r>
    <x v="393"/>
    <x v="1"/>
    <x v="1"/>
    <x v="0"/>
    <x v="0"/>
    <x v="10"/>
    <x v="0"/>
    <x v="2"/>
    <x v="1"/>
    <x v="0"/>
    <x v="1"/>
    <x v="1"/>
    <x v="4"/>
    <x v="1"/>
    <x v="9"/>
    <x v="0"/>
    <x v="0"/>
    <x v="0"/>
    <x v="0"/>
    <x v="0"/>
    <x v="0"/>
  </r>
  <r>
    <x v="394"/>
    <x v="1"/>
    <x v="1"/>
    <x v="0"/>
    <x v="0"/>
    <x v="10"/>
    <x v="0"/>
    <x v="3"/>
    <x v="3"/>
    <x v="3"/>
    <x v="0"/>
    <x v="1"/>
    <x v="1"/>
    <x v="1"/>
    <x v="9"/>
    <x v="0"/>
    <x v="0"/>
    <x v="0"/>
    <x v="0"/>
    <x v="0"/>
    <x v="0"/>
  </r>
  <r>
    <x v="395"/>
    <x v="0"/>
    <x v="0"/>
    <x v="1"/>
    <x v="1"/>
    <x v="10"/>
    <x v="0"/>
    <x v="2"/>
    <x v="1"/>
    <x v="0"/>
    <x v="1"/>
    <x v="1"/>
    <x v="4"/>
    <x v="1"/>
    <x v="9"/>
    <x v="0"/>
    <x v="0"/>
    <x v="1"/>
    <x v="0"/>
    <x v="0"/>
    <x v="0"/>
  </r>
  <r>
    <x v="396"/>
    <x v="1"/>
    <x v="1"/>
    <x v="1"/>
    <x v="1"/>
    <x v="10"/>
    <x v="0"/>
    <x v="3"/>
    <x v="3"/>
    <x v="3"/>
    <x v="1"/>
    <x v="1"/>
    <x v="4"/>
    <x v="1"/>
    <x v="9"/>
    <x v="0"/>
    <x v="0"/>
    <x v="0"/>
    <x v="0"/>
    <x v="0"/>
    <x v="0"/>
  </r>
  <r>
    <x v="397"/>
    <x v="0"/>
    <x v="0"/>
    <x v="0"/>
    <x v="0"/>
    <x v="10"/>
    <x v="0"/>
    <x v="2"/>
    <x v="1"/>
    <x v="0"/>
    <x v="1"/>
    <x v="1"/>
    <x v="4"/>
    <x v="1"/>
    <x v="5"/>
    <x v="0"/>
    <x v="0"/>
    <x v="0"/>
    <x v="0"/>
    <x v="0"/>
    <x v="0"/>
  </r>
  <r>
    <x v="398"/>
    <x v="1"/>
    <x v="1"/>
    <x v="0"/>
    <x v="0"/>
    <x v="10"/>
    <x v="0"/>
    <x v="3"/>
    <x v="3"/>
    <x v="0"/>
    <x v="1"/>
    <x v="4"/>
    <x v="4"/>
    <x v="2"/>
    <x v="5"/>
    <x v="0"/>
    <x v="0"/>
    <x v="0"/>
    <x v="0"/>
    <x v="0"/>
    <x v="0"/>
  </r>
  <r>
    <x v="399"/>
    <x v="0"/>
    <x v="0"/>
    <x v="1"/>
    <x v="1"/>
    <x v="10"/>
    <x v="0"/>
    <x v="3"/>
    <x v="3"/>
    <x v="0"/>
    <x v="1"/>
    <x v="4"/>
    <x v="4"/>
    <x v="2"/>
    <x v="5"/>
    <x v="0"/>
    <x v="0"/>
    <x v="1"/>
    <x v="0"/>
    <x v="0"/>
    <x v="0"/>
  </r>
  <r>
    <x v="400"/>
    <x v="1"/>
    <x v="1"/>
    <x v="1"/>
    <x v="1"/>
    <x v="10"/>
    <x v="0"/>
    <x v="3"/>
    <x v="3"/>
    <x v="0"/>
    <x v="0"/>
    <x v="4"/>
    <x v="1"/>
    <x v="2"/>
    <x v="5"/>
    <x v="0"/>
    <x v="0"/>
    <x v="0"/>
    <x v="0"/>
    <x v="0"/>
    <x v="0"/>
  </r>
  <r>
    <x v="401"/>
    <x v="1"/>
    <x v="1"/>
    <x v="0"/>
    <x v="0"/>
    <x v="10"/>
    <x v="0"/>
    <x v="4"/>
    <x v="1"/>
    <x v="0"/>
    <x v="1"/>
    <x v="4"/>
    <x v="4"/>
    <x v="1"/>
    <x v="10"/>
    <x v="0"/>
    <x v="0"/>
    <x v="0"/>
    <x v="0"/>
    <x v="0"/>
    <x v="0"/>
  </r>
  <r>
    <x v="402"/>
    <x v="1"/>
    <x v="1"/>
    <x v="0"/>
    <x v="0"/>
    <x v="10"/>
    <x v="0"/>
    <x v="3"/>
    <x v="3"/>
    <x v="0"/>
    <x v="0"/>
    <x v="4"/>
    <x v="1"/>
    <x v="2"/>
    <x v="10"/>
    <x v="0"/>
    <x v="0"/>
    <x v="0"/>
    <x v="0"/>
    <x v="0"/>
    <x v="0"/>
  </r>
  <r>
    <x v="403"/>
    <x v="0"/>
    <x v="0"/>
    <x v="1"/>
    <x v="1"/>
    <x v="10"/>
    <x v="0"/>
    <x v="3"/>
    <x v="3"/>
    <x v="3"/>
    <x v="1"/>
    <x v="1"/>
    <x v="1"/>
    <x v="1"/>
    <x v="10"/>
    <x v="0"/>
    <x v="0"/>
    <x v="0"/>
    <x v="0"/>
    <x v="0"/>
    <x v="0"/>
  </r>
  <r>
    <x v="404"/>
    <x v="0"/>
    <x v="0"/>
    <x v="1"/>
    <x v="1"/>
    <x v="10"/>
    <x v="0"/>
    <x v="3"/>
    <x v="3"/>
    <x v="0"/>
    <x v="1"/>
    <x v="4"/>
    <x v="4"/>
    <x v="2"/>
    <x v="10"/>
    <x v="0"/>
    <x v="0"/>
    <x v="0"/>
    <x v="0"/>
    <x v="0"/>
    <x v="0"/>
  </r>
  <r>
    <x v="405"/>
    <x v="1"/>
    <x v="1"/>
    <x v="1"/>
    <x v="1"/>
    <x v="10"/>
    <x v="0"/>
    <x v="3"/>
    <x v="3"/>
    <x v="0"/>
    <x v="1"/>
    <x v="4"/>
    <x v="4"/>
    <x v="2"/>
    <x v="10"/>
    <x v="0"/>
    <x v="0"/>
    <x v="0"/>
    <x v="0"/>
    <x v="0"/>
    <x v="0"/>
  </r>
  <r>
    <x v="406"/>
    <x v="0"/>
    <x v="0"/>
    <x v="0"/>
    <x v="0"/>
    <x v="10"/>
    <x v="0"/>
    <x v="4"/>
    <x v="1"/>
    <x v="0"/>
    <x v="1"/>
    <x v="1"/>
    <x v="1"/>
    <x v="1"/>
    <x v="25"/>
    <x v="0"/>
    <x v="0"/>
    <x v="1"/>
    <x v="0"/>
    <x v="0"/>
    <x v="0"/>
  </r>
  <r>
    <x v="407"/>
    <x v="1"/>
    <x v="1"/>
    <x v="0"/>
    <x v="0"/>
    <x v="10"/>
    <x v="0"/>
    <x v="4"/>
    <x v="1"/>
    <x v="3"/>
    <x v="1"/>
    <x v="1"/>
    <x v="1"/>
    <x v="1"/>
    <x v="25"/>
    <x v="0"/>
    <x v="0"/>
    <x v="1"/>
    <x v="0"/>
    <x v="0"/>
    <x v="0"/>
  </r>
  <r>
    <x v="408"/>
    <x v="1"/>
    <x v="1"/>
    <x v="0"/>
    <x v="0"/>
    <x v="10"/>
    <x v="0"/>
    <x v="3"/>
    <x v="3"/>
    <x v="0"/>
    <x v="0"/>
    <x v="4"/>
    <x v="1"/>
    <x v="2"/>
    <x v="25"/>
    <x v="0"/>
    <x v="0"/>
    <x v="0"/>
    <x v="0"/>
    <x v="0"/>
    <x v="0"/>
  </r>
  <r>
    <x v="409"/>
    <x v="0"/>
    <x v="0"/>
    <x v="1"/>
    <x v="1"/>
    <x v="10"/>
    <x v="0"/>
    <x v="4"/>
    <x v="1"/>
    <x v="3"/>
    <x v="1"/>
    <x v="1"/>
    <x v="3"/>
    <x v="1"/>
    <x v="25"/>
    <x v="0"/>
    <x v="0"/>
    <x v="0"/>
    <x v="0"/>
    <x v="0"/>
    <x v="0"/>
  </r>
  <r>
    <x v="410"/>
    <x v="0"/>
    <x v="0"/>
    <x v="1"/>
    <x v="1"/>
    <x v="10"/>
    <x v="0"/>
    <x v="4"/>
    <x v="1"/>
    <x v="0"/>
    <x v="0"/>
    <x v="1"/>
    <x v="1"/>
    <x v="1"/>
    <x v="25"/>
    <x v="0"/>
    <x v="0"/>
    <x v="1"/>
    <x v="0"/>
    <x v="0"/>
    <x v="0"/>
  </r>
  <r>
    <x v="411"/>
    <x v="0"/>
    <x v="0"/>
    <x v="0"/>
    <x v="0"/>
    <x v="10"/>
    <x v="0"/>
    <x v="4"/>
    <x v="1"/>
    <x v="0"/>
    <x v="1"/>
    <x v="1"/>
    <x v="1"/>
    <x v="1"/>
    <x v="11"/>
    <x v="0"/>
    <x v="0"/>
    <x v="1"/>
    <x v="0"/>
    <x v="0"/>
    <x v="0"/>
  </r>
  <r>
    <x v="412"/>
    <x v="0"/>
    <x v="0"/>
    <x v="0"/>
    <x v="0"/>
    <x v="10"/>
    <x v="0"/>
    <x v="4"/>
    <x v="1"/>
    <x v="0"/>
    <x v="1"/>
    <x v="1"/>
    <x v="1"/>
    <x v="1"/>
    <x v="11"/>
    <x v="0"/>
    <x v="0"/>
    <x v="1"/>
    <x v="0"/>
    <x v="0"/>
    <x v="0"/>
  </r>
  <r>
    <x v="413"/>
    <x v="0"/>
    <x v="0"/>
    <x v="0"/>
    <x v="0"/>
    <x v="10"/>
    <x v="0"/>
    <x v="3"/>
    <x v="1"/>
    <x v="0"/>
    <x v="1"/>
    <x v="1"/>
    <x v="4"/>
    <x v="1"/>
    <x v="11"/>
    <x v="0"/>
    <x v="0"/>
    <x v="0"/>
    <x v="0"/>
    <x v="0"/>
    <x v="0"/>
  </r>
  <r>
    <x v="414"/>
    <x v="1"/>
    <x v="1"/>
    <x v="0"/>
    <x v="0"/>
    <x v="10"/>
    <x v="0"/>
    <x v="5"/>
    <x v="3"/>
    <x v="3"/>
    <x v="1"/>
    <x v="1"/>
    <x v="4"/>
    <x v="1"/>
    <x v="11"/>
    <x v="0"/>
    <x v="0"/>
    <x v="0"/>
    <x v="0"/>
    <x v="0"/>
    <x v="0"/>
  </r>
  <r>
    <x v="415"/>
    <x v="1"/>
    <x v="1"/>
    <x v="0"/>
    <x v="0"/>
    <x v="10"/>
    <x v="0"/>
    <x v="5"/>
    <x v="3"/>
    <x v="3"/>
    <x v="1"/>
    <x v="4"/>
    <x v="4"/>
    <x v="1"/>
    <x v="11"/>
    <x v="0"/>
    <x v="0"/>
    <x v="0"/>
    <x v="0"/>
    <x v="0"/>
    <x v="0"/>
  </r>
  <r>
    <x v="416"/>
    <x v="1"/>
    <x v="1"/>
    <x v="0"/>
    <x v="0"/>
    <x v="10"/>
    <x v="0"/>
    <x v="4"/>
    <x v="1"/>
    <x v="3"/>
    <x v="0"/>
    <x v="1"/>
    <x v="1"/>
    <x v="1"/>
    <x v="11"/>
    <x v="0"/>
    <x v="0"/>
    <x v="1"/>
    <x v="0"/>
    <x v="0"/>
    <x v="0"/>
  </r>
  <r>
    <x v="417"/>
    <x v="0"/>
    <x v="0"/>
    <x v="0"/>
    <x v="0"/>
    <x v="10"/>
    <x v="0"/>
    <x v="1"/>
    <x v="3"/>
    <x v="3"/>
    <x v="1"/>
    <x v="0"/>
    <x v="2"/>
    <x v="1"/>
    <x v="12"/>
    <x v="0"/>
    <x v="0"/>
    <x v="1"/>
    <x v="0"/>
    <x v="0"/>
    <x v="0"/>
  </r>
  <r>
    <x v="418"/>
    <x v="1"/>
    <x v="1"/>
    <x v="0"/>
    <x v="0"/>
    <x v="10"/>
    <x v="0"/>
    <x v="0"/>
    <x v="3"/>
    <x v="3"/>
    <x v="1"/>
    <x v="3"/>
    <x v="4"/>
    <x v="1"/>
    <x v="12"/>
    <x v="0"/>
    <x v="0"/>
    <x v="0"/>
    <x v="0"/>
    <x v="0"/>
    <x v="0"/>
  </r>
  <r>
    <x v="419"/>
    <x v="1"/>
    <x v="1"/>
    <x v="0"/>
    <x v="0"/>
    <x v="10"/>
    <x v="0"/>
    <x v="0"/>
    <x v="3"/>
    <x v="3"/>
    <x v="0"/>
    <x v="3"/>
    <x v="1"/>
    <x v="1"/>
    <x v="12"/>
    <x v="0"/>
    <x v="0"/>
    <x v="0"/>
    <x v="0"/>
    <x v="0"/>
    <x v="0"/>
  </r>
  <r>
    <x v="420"/>
    <x v="1"/>
    <x v="1"/>
    <x v="1"/>
    <x v="1"/>
    <x v="10"/>
    <x v="0"/>
    <x v="0"/>
    <x v="3"/>
    <x v="0"/>
    <x v="1"/>
    <x v="0"/>
    <x v="2"/>
    <x v="2"/>
    <x v="12"/>
    <x v="0"/>
    <x v="0"/>
    <x v="1"/>
    <x v="0"/>
    <x v="0"/>
    <x v="0"/>
  </r>
  <r>
    <x v="421"/>
    <x v="0"/>
    <x v="0"/>
    <x v="0"/>
    <x v="0"/>
    <x v="10"/>
    <x v="0"/>
    <x v="5"/>
    <x v="1"/>
    <x v="0"/>
    <x v="1"/>
    <x v="1"/>
    <x v="4"/>
    <x v="1"/>
    <x v="13"/>
    <x v="0"/>
    <x v="0"/>
    <x v="0"/>
    <x v="0"/>
    <x v="0"/>
    <x v="0"/>
  </r>
  <r>
    <x v="422"/>
    <x v="0"/>
    <x v="0"/>
    <x v="0"/>
    <x v="0"/>
    <x v="10"/>
    <x v="0"/>
    <x v="0"/>
    <x v="3"/>
    <x v="3"/>
    <x v="0"/>
    <x v="3"/>
    <x v="1"/>
    <x v="1"/>
    <x v="13"/>
    <x v="0"/>
    <x v="0"/>
    <x v="1"/>
    <x v="0"/>
    <x v="0"/>
    <x v="0"/>
  </r>
  <r>
    <x v="423"/>
    <x v="1"/>
    <x v="1"/>
    <x v="0"/>
    <x v="0"/>
    <x v="10"/>
    <x v="0"/>
    <x v="0"/>
    <x v="3"/>
    <x v="3"/>
    <x v="1"/>
    <x v="3"/>
    <x v="4"/>
    <x v="1"/>
    <x v="13"/>
    <x v="0"/>
    <x v="0"/>
    <x v="0"/>
    <x v="0"/>
    <x v="0"/>
    <x v="0"/>
  </r>
  <r>
    <x v="424"/>
    <x v="1"/>
    <x v="1"/>
    <x v="0"/>
    <x v="0"/>
    <x v="10"/>
    <x v="0"/>
    <x v="0"/>
    <x v="3"/>
    <x v="3"/>
    <x v="0"/>
    <x v="3"/>
    <x v="1"/>
    <x v="1"/>
    <x v="13"/>
    <x v="0"/>
    <x v="0"/>
    <x v="1"/>
    <x v="0"/>
    <x v="0"/>
    <x v="0"/>
  </r>
  <r>
    <x v="425"/>
    <x v="1"/>
    <x v="1"/>
    <x v="0"/>
    <x v="0"/>
    <x v="10"/>
    <x v="0"/>
    <x v="0"/>
    <x v="3"/>
    <x v="3"/>
    <x v="0"/>
    <x v="3"/>
    <x v="1"/>
    <x v="1"/>
    <x v="13"/>
    <x v="0"/>
    <x v="0"/>
    <x v="1"/>
    <x v="0"/>
    <x v="0"/>
    <x v="0"/>
  </r>
  <r>
    <x v="426"/>
    <x v="0"/>
    <x v="0"/>
    <x v="1"/>
    <x v="1"/>
    <x v="10"/>
    <x v="0"/>
    <x v="0"/>
    <x v="3"/>
    <x v="3"/>
    <x v="1"/>
    <x v="0"/>
    <x v="0"/>
    <x v="1"/>
    <x v="13"/>
    <x v="0"/>
    <x v="0"/>
    <x v="1"/>
    <x v="0"/>
    <x v="0"/>
    <x v="0"/>
  </r>
  <r>
    <x v="427"/>
    <x v="0"/>
    <x v="0"/>
    <x v="1"/>
    <x v="1"/>
    <x v="10"/>
    <x v="0"/>
    <x v="0"/>
    <x v="3"/>
    <x v="3"/>
    <x v="0"/>
    <x v="0"/>
    <x v="2"/>
    <x v="1"/>
    <x v="13"/>
    <x v="0"/>
    <x v="0"/>
    <x v="1"/>
    <x v="0"/>
    <x v="0"/>
    <x v="0"/>
  </r>
  <r>
    <x v="428"/>
    <x v="0"/>
    <x v="0"/>
    <x v="0"/>
    <x v="0"/>
    <x v="10"/>
    <x v="0"/>
    <x v="5"/>
    <x v="1"/>
    <x v="0"/>
    <x v="1"/>
    <x v="1"/>
    <x v="4"/>
    <x v="1"/>
    <x v="26"/>
    <x v="0"/>
    <x v="0"/>
    <x v="0"/>
    <x v="0"/>
    <x v="0"/>
    <x v="0"/>
  </r>
  <r>
    <x v="429"/>
    <x v="1"/>
    <x v="1"/>
    <x v="0"/>
    <x v="0"/>
    <x v="10"/>
    <x v="0"/>
    <x v="5"/>
    <x v="1"/>
    <x v="0"/>
    <x v="1"/>
    <x v="1"/>
    <x v="4"/>
    <x v="1"/>
    <x v="26"/>
    <x v="0"/>
    <x v="0"/>
    <x v="0"/>
    <x v="0"/>
    <x v="0"/>
    <x v="0"/>
  </r>
  <r>
    <x v="430"/>
    <x v="0"/>
    <x v="0"/>
    <x v="1"/>
    <x v="1"/>
    <x v="10"/>
    <x v="0"/>
    <x v="0"/>
    <x v="3"/>
    <x v="0"/>
    <x v="1"/>
    <x v="3"/>
    <x v="4"/>
    <x v="1"/>
    <x v="26"/>
    <x v="0"/>
    <x v="0"/>
    <x v="0"/>
    <x v="0"/>
    <x v="0"/>
    <x v="0"/>
  </r>
  <r>
    <x v="431"/>
    <x v="0"/>
    <x v="0"/>
    <x v="1"/>
    <x v="1"/>
    <x v="10"/>
    <x v="0"/>
    <x v="5"/>
    <x v="3"/>
    <x v="0"/>
    <x v="1"/>
    <x v="3"/>
    <x v="0"/>
    <x v="2"/>
    <x v="26"/>
    <x v="0"/>
    <x v="0"/>
    <x v="1"/>
    <x v="0"/>
    <x v="0"/>
    <x v="0"/>
  </r>
  <r>
    <x v="432"/>
    <x v="0"/>
    <x v="0"/>
    <x v="1"/>
    <x v="1"/>
    <x v="10"/>
    <x v="0"/>
    <x v="2"/>
    <x v="0"/>
    <x v="3"/>
    <x v="1"/>
    <x v="4"/>
    <x v="0"/>
    <x v="2"/>
    <x v="26"/>
    <x v="0"/>
    <x v="0"/>
    <x v="0"/>
    <x v="0"/>
    <x v="0"/>
    <x v="0"/>
  </r>
  <r>
    <x v="433"/>
    <x v="0"/>
    <x v="0"/>
    <x v="1"/>
    <x v="1"/>
    <x v="10"/>
    <x v="0"/>
    <x v="2"/>
    <x v="3"/>
    <x v="0"/>
    <x v="1"/>
    <x v="4"/>
    <x v="0"/>
    <x v="2"/>
    <x v="26"/>
    <x v="0"/>
    <x v="0"/>
    <x v="0"/>
    <x v="0"/>
    <x v="0"/>
    <x v="0"/>
  </r>
  <r>
    <x v="434"/>
    <x v="1"/>
    <x v="1"/>
    <x v="1"/>
    <x v="1"/>
    <x v="10"/>
    <x v="0"/>
    <x v="0"/>
    <x v="3"/>
    <x v="0"/>
    <x v="1"/>
    <x v="3"/>
    <x v="4"/>
    <x v="1"/>
    <x v="26"/>
    <x v="0"/>
    <x v="0"/>
    <x v="0"/>
    <x v="0"/>
    <x v="0"/>
    <x v="0"/>
  </r>
  <r>
    <x v="435"/>
    <x v="1"/>
    <x v="1"/>
    <x v="1"/>
    <x v="1"/>
    <x v="10"/>
    <x v="0"/>
    <x v="5"/>
    <x v="3"/>
    <x v="0"/>
    <x v="0"/>
    <x v="3"/>
    <x v="1"/>
    <x v="2"/>
    <x v="26"/>
    <x v="0"/>
    <x v="0"/>
    <x v="0"/>
    <x v="0"/>
    <x v="0"/>
    <x v="0"/>
  </r>
  <r>
    <x v="436"/>
    <x v="1"/>
    <x v="1"/>
    <x v="0"/>
    <x v="0"/>
    <x v="10"/>
    <x v="0"/>
    <x v="2"/>
    <x v="3"/>
    <x v="0"/>
    <x v="1"/>
    <x v="4"/>
    <x v="0"/>
    <x v="2"/>
    <x v="6"/>
    <x v="0"/>
    <x v="0"/>
    <x v="0"/>
    <x v="0"/>
    <x v="0"/>
    <x v="0"/>
  </r>
  <r>
    <x v="437"/>
    <x v="1"/>
    <x v="1"/>
    <x v="0"/>
    <x v="0"/>
    <x v="10"/>
    <x v="0"/>
    <x v="2"/>
    <x v="3"/>
    <x v="0"/>
    <x v="0"/>
    <x v="4"/>
    <x v="1"/>
    <x v="1"/>
    <x v="6"/>
    <x v="0"/>
    <x v="0"/>
    <x v="0"/>
    <x v="0"/>
    <x v="0"/>
    <x v="0"/>
  </r>
  <r>
    <x v="438"/>
    <x v="0"/>
    <x v="0"/>
    <x v="1"/>
    <x v="1"/>
    <x v="10"/>
    <x v="0"/>
    <x v="2"/>
    <x v="0"/>
    <x v="3"/>
    <x v="1"/>
    <x v="4"/>
    <x v="4"/>
    <x v="1"/>
    <x v="6"/>
    <x v="0"/>
    <x v="0"/>
    <x v="1"/>
    <x v="0"/>
    <x v="0"/>
    <x v="0"/>
  </r>
  <r>
    <x v="439"/>
    <x v="0"/>
    <x v="0"/>
    <x v="0"/>
    <x v="0"/>
    <x v="10"/>
    <x v="0"/>
    <x v="2"/>
    <x v="0"/>
    <x v="3"/>
    <x v="1"/>
    <x v="4"/>
    <x v="0"/>
    <x v="2"/>
    <x v="14"/>
    <x v="0"/>
    <x v="0"/>
    <x v="1"/>
    <x v="0"/>
    <x v="0"/>
    <x v="0"/>
  </r>
  <r>
    <x v="440"/>
    <x v="0"/>
    <x v="0"/>
    <x v="0"/>
    <x v="0"/>
    <x v="10"/>
    <x v="0"/>
    <x v="2"/>
    <x v="0"/>
    <x v="3"/>
    <x v="1"/>
    <x v="4"/>
    <x v="4"/>
    <x v="1"/>
    <x v="14"/>
    <x v="0"/>
    <x v="0"/>
    <x v="0"/>
    <x v="0"/>
    <x v="0"/>
    <x v="0"/>
  </r>
  <r>
    <x v="441"/>
    <x v="0"/>
    <x v="0"/>
    <x v="0"/>
    <x v="0"/>
    <x v="10"/>
    <x v="0"/>
    <x v="2"/>
    <x v="0"/>
    <x v="3"/>
    <x v="1"/>
    <x v="4"/>
    <x v="1"/>
    <x v="1"/>
    <x v="14"/>
    <x v="0"/>
    <x v="0"/>
    <x v="0"/>
    <x v="0"/>
    <x v="0"/>
    <x v="0"/>
  </r>
  <r>
    <x v="442"/>
    <x v="0"/>
    <x v="0"/>
    <x v="0"/>
    <x v="0"/>
    <x v="10"/>
    <x v="0"/>
    <x v="2"/>
    <x v="0"/>
    <x v="3"/>
    <x v="1"/>
    <x v="4"/>
    <x v="1"/>
    <x v="1"/>
    <x v="14"/>
    <x v="0"/>
    <x v="0"/>
    <x v="0"/>
    <x v="0"/>
    <x v="0"/>
    <x v="0"/>
  </r>
  <r>
    <x v="443"/>
    <x v="1"/>
    <x v="1"/>
    <x v="0"/>
    <x v="0"/>
    <x v="10"/>
    <x v="0"/>
    <x v="2"/>
    <x v="0"/>
    <x v="3"/>
    <x v="0"/>
    <x v="4"/>
    <x v="1"/>
    <x v="2"/>
    <x v="14"/>
    <x v="0"/>
    <x v="0"/>
    <x v="0"/>
    <x v="0"/>
    <x v="0"/>
    <x v="0"/>
  </r>
  <r>
    <x v="444"/>
    <x v="0"/>
    <x v="0"/>
    <x v="1"/>
    <x v="1"/>
    <x v="10"/>
    <x v="0"/>
    <x v="2"/>
    <x v="0"/>
    <x v="3"/>
    <x v="1"/>
    <x v="4"/>
    <x v="1"/>
    <x v="2"/>
    <x v="14"/>
    <x v="0"/>
    <x v="0"/>
    <x v="0"/>
    <x v="0"/>
    <x v="0"/>
    <x v="0"/>
  </r>
  <r>
    <x v="445"/>
    <x v="0"/>
    <x v="0"/>
    <x v="1"/>
    <x v="1"/>
    <x v="10"/>
    <x v="0"/>
    <x v="2"/>
    <x v="0"/>
    <x v="3"/>
    <x v="1"/>
    <x v="4"/>
    <x v="4"/>
    <x v="1"/>
    <x v="14"/>
    <x v="0"/>
    <x v="0"/>
    <x v="0"/>
    <x v="0"/>
    <x v="0"/>
    <x v="0"/>
  </r>
  <r>
    <x v="446"/>
    <x v="1"/>
    <x v="1"/>
    <x v="1"/>
    <x v="1"/>
    <x v="10"/>
    <x v="0"/>
    <x v="2"/>
    <x v="0"/>
    <x v="3"/>
    <x v="0"/>
    <x v="4"/>
    <x v="1"/>
    <x v="2"/>
    <x v="14"/>
    <x v="0"/>
    <x v="0"/>
    <x v="0"/>
    <x v="0"/>
    <x v="0"/>
    <x v="0"/>
  </r>
  <r>
    <x v="447"/>
    <x v="1"/>
    <x v="1"/>
    <x v="1"/>
    <x v="1"/>
    <x v="10"/>
    <x v="0"/>
    <x v="2"/>
    <x v="0"/>
    <x v="3"/>
    <x v="1"/>
    <x v="4"/>
    <x v="0"/>
    <x v="2"/>
    <x v="14"/>
    <x v="0"/>
    <x v="0"/>
    <x v="1"/>
    <x v="0"/>
    <x v="0"/>
    <x v="0"/>
  </r>
  <r>
    <x v="448"/>
    <x v="0"/>
    <x v="0"/>
    <x v="0"/>
    <x v="0"/>
    <x v="10"/>
    <x v="0"/>
    <x v="2"/>
    <x v="0"/>
    <x v="3"/>
    <x v="1"/>
    <x v="4"/>
    <x v="4"/>
    <x v="1"/>
    <x v="27"/>
    <x v="0"/>
    <x v="0"/>
    <x v="0"/>
    <x v="0"/>
    <x v="0"/>
    <x v="0"/>
  </r>
  <r>
    <x v="449"/>
    <x v="0"/>
    <x v="0"/>
    <x v="0"/>
    <x v="0"/>
    <x v="10"/>
    <x v="0"/>
    <x v="2"/>
    <x v="0"/>
    <x v="3"/>
    <x v="1"/>
    <x v="4"/>
    <x v="0"/>
    <x v="2"/>
    <x v="27"/>
    <x v="0"/>
    <x v="0"/>
    <x v="0"/>
    <x v="0"/>
    <x v="0"/>
    <x v="0"/>
  </r>
  <r>
    <x v="450"/>
    <x v="1"/>
    <x v="1"/>
    <x v="0"/>
    <x v="0"/>
    <x v="10"/>
    <x v="0"/>
    <x v="2"/>
    <x v="0"/>
    <x v="3"/>
    <x v="0"/>
    <x v="4"/>
    <x v="1"/>
    <x v="2"/>
    <x v="27"/>
    <x v="0"/>
    <x v="0"/>
    <x v="0"/>
    <x v="0"/>
    <x v="0"/>
    <x v="0"/>
  </r>
  <r>
    <x v="451"/>
    <x v="1"/>
    <x v="1"/>
    <x v="0"/>
    <x v="0"/>
    <x v="10"/>
    <x v="0"/>
    <x v="2"/>
    <x v="0"/>
    <x v="3"/>
    <x v="1"/>
    <x v="4"/>
    <x v="0"/>
    <x v="2"/>
    <x v="27"/>
    <x v="0"/>
    <x v="0"/>
    <x v="0"/>
    <x v="0"/>
    <x v="0"/>
    <x v="0"/>
  </r>
  <r>
    <x v="452"/>
    <x v="0"/>
    <x v="0"/>
    <x v="1"/>
    <x v="1"/>
    <x v="10"/>
    <x v="0"/>
    <x v="0"/>
    <x v="3"/>
    <x v="0"/>
    <x v="1"/>
    <x v="1"/>
    <x v="4"/>
    <x v="1"/>
    <x v="27"/>
    <x v="0"/>
    <x v="0"/>
    <x v="1"/>
    <x v="0"/>
    <x v="0"/>
    <x v="0"/>
  </r>
  <r>
    <x v="453"/>
    <x v="0"/>
    <x v="0"/>
    <x v="1"/>
    <x v="1"/>
    <x v="10"/>
    <x v="0"/>
    <x v="2"/>
    <x v="0"/>
    <x v="3"/>
    <x v="1"/>
    <x v="4"/>
    <x v="1"/>
    <x v="1"/>
    <x v="27"/>
    <x v="0"/>
    <x v="0"/>
    <x v="1"/>
    <x v="0"/>
    <x v="0"/>
    <x v="0"/>
  </r>
  <r>
    <x v="454"/>
    <x v="0"/>
    <x v="0"/>
    <x v="1"/>
    <x v="1"/>
    <x v="10"/>
    <x v="0"/>
    <x v="2"/>
    <x v="0"/>
    <x v="3"/>
    <x v="1"/>
    <x v="4"/>
    <x v="0"/>
    <x v="2"/>
    <x v="27"/>
    <x v="0"/>
    <x v="0"/>
    <x v="1"/>
    <x v="0"/>
    <x v="0"/>
    <x v="0"/>
  </r>
  <r>
    <x v="455"/>
    <x v="0"/>
    <x v="0"/>
    <x v="0"/>
    <x v="0"/>
    <x v="10"/>
    <x v="0"/>
    <x v="2"/>
    <x v="3"/>
    <x v="0"/>
    <x v="1"/>
    <x v="4"/>
    <x v="1"/>
    <x v="1"/>
    <x v="4"/>
    <x v="0"/>
    <x v="0"/>
    <x v="0"/>
    <x v="0"/>
    <x v="0"/>
    <x v="0"/>
  </r>
  <r>
    <x v="456"/>
    <x v="1"/>
    <x v="1"/>
    <x v="0"/>
    <x v="0"/>
    <x v="10"/>
    <x v="0"/>
    <x v="0"/>
    <x v="1"/>
    <x v="3"/>
    <x v="0"/>
    <x v="1"/>
    <x v="1"/>
    <x v="1"/>
    <x v="4"/>
    <x v="0"/>
    <x v="0"/>
    <x v="0"/>
    <x v="0"/>
    <x v="0"/>
    <x v="0"/>
  </r>
  <r>
    <x v="457"/>
    <x v="1"/>
    <x v="1"/>
    <x v="0"/>
    <x v="0"/>
    <x v="10"/>
    <x v="0"/>
    <x v="0"/>
    <x v="1"/>
    <x v="3"/>
    <x v="0"/>
    <x v="1"/>
    <x v="3"/>
    <x v="1"/>
    <x v="4"/>
    <x v="0"/>
    <x v="0"/>
    <x v="1"/>
    <x v="0"/>
    <x v="0"/>
    <x v="0"/>
  </r>
  <r>
    <x v="458"/>
    <x v="0"/>
    <x v="0"/>
    <x v="1"/>
    <x v="1"/>
    <x v="10"/>
    <x v="0"/>
    <x v="2"/>
    <x v="0"/>
    <x v="3"/>
    <x v="0"/>
    <x v="4"/>
    <x v="1"/>
    <x v="1"/>
    <x v="4"/>
    <x v="0"/>
    <x v="0"/>
    <x v="1"/>
    <x v="0"/>
    <x v="0"/>
    <x v="0"/>
  </r>
  <r>
    <x v="459"/>
    <x v="0"/>
    <x v="0"/>
    <x v="1"/>
    <x v="1"/>
    <x v="10"/>
    <x v="0"/>
    <x v="0"/>
    <x v="1"/>
    <x v="3"/>
    <x v="1"/>
    <x v="1"/>
    <x v="3"/>
    <x v="1"/>
    <x v="4"/>
    <x v="0"/>
    <x v="0"/>
    <x v="0"/>
    <x v="0"/>
    <x v="0"/>
    <x v="0"/>
  </r>
  <r>
    <x v="460"/>
    <x v="0"/>
    <x v="0"/>
    <x v="1"/>
    <x v="1"/>
    <x v="10"/>
    <x v="0"/>
    <x v="0"/>
    <x v="1"/>
    <x v="3"/>
    <x v="0"/>
    <x v="1"/>
    <x v="1"/>
    <x v="1"/>
    <x v="4"/>
    <x v="0"/>
    <x v="0"/>
    <x v="1"/>
    <x v="0"/>
    <x v="0"/>
    <x v="0"/>
  </r>
  <r>
    <x v="461"/>
    <x v="0"/>
    <x v="0"/>
    <x v="1"/>
    <x v="1"/>
    <x v="10"/>
    <x v="0"/>
    <x v="1"/>
    <x v="3"/>
    <x v="0"/>
    <x v="1"/>
    <x v="4"/>
    <x v="4"/>
    <x v="1"/>
    <x v="4"/>
    <x v="0"/>
    <x v="0"/>
    <x v="1"/>
    <x v="0"/>
    <x v="0"/>
    <x v="0"/>
  </r>
  <r>
    <x v="462"/>
    <x v="0"/>
    <x v="0"/>
    <x v="1"/>
    <x v="1"/>
    <x v="10"/>
    <x v="0"/>
    <x v="1"/>
    <x v="3"/>
    <x v="0"/>
    <x v="1"/>
    <x v="4"/>
    <x v="4"/>
    <x v="1"/>
    <x v="4"/>
    <x v="0"/>
    <x v="0"/>
    <x v="1"/>
    <x v="0"/>
    <x v="0"/>
    <x v="0"/>
  </r>
  <r>
    <x v="463"/>
    <x v="1"/>
    <x v="1"/>
    <x v="1"/>
    <x v="1"/>
    <x v="10"/>
    <x v="0"/>
    <x v="0"/>
    <x v="1"/>
    <x v="3"/>
    <x v="1"/>
    <x v="1"/>
    <x v="3"/>
    <x v="1"/>
    <x v="4"/>
    <x v="0"/>
    <x v="0"/>
    <x v="0"/>
    <x v="0"/>
    <x v="0"/>
    <x v="0"/>
  </r>
  <r>
    <x v="464"/>
    <x v="1"/>
    <x v="1"/>
    <x v="1"/>
    <x v="1"/>
    <x v="10"/>
    <x v="0"/>
    <x v="5"/>
    <x v="3"/>
    <x v="0"/>
    <x v="0"/>
    <x v="1"/>
    <x v="1"/>
    <x v="1"/>
    <x v="4"/>
    <x v="0"/>
    <x v="0"/>
    <x v="0"/>
    <x v="0"/>
    <x v="0"/>
    <x v="0"/>
  </r>
  <r>
    <x v="465"/>
    <x v="1"/>
    <x v="1"/>
    <x v="1"/>
    <x v="1"/>
    <x v="10"/>
    <x v="0"/>
    <x v="5"/>
    <x v="3"/>
    <x v="0"/>
    <x v="0"/>
    <x v="4"/>
    <x v="1"/>
    <x v="1"/>
    <x v="4"/>
    <x v="0"/>
    <x v="0"/>
    <x v="0"/>
    <x v="0"/>
    <x v="0"/>
    <x v="0"/>
  </r>
  <r>
    <x v="466"/>
    <x v="0"/>
    <x v="0"/>
    <x v="0"/>
    <x v="0"/>
    <x v="10"/>
    <x v="0"/>
    <x v="5"/>
    <x v="3"/>
    <x v="0"/>
    <x v="1"/>
    <x v="4"/>
    <x v="1"/>
    <x v="1"/>
    <x v="0"/>
    <x v="0"/>
    <x v="0"/>
    <x v="0"/>
    <x v="0"/>
    <x v="0"/>
    <x v="0"/>
  </r>
  <r>
    <x v="467"/>
    <x v="0"/>
    <x v="0"/>
    <x v="0"/>
    <x v="0"/>
    <x v="10"/>
    <x v="0"/>
    <x v="2"/>
    <x v="3"/>
    <x v="0"/>
    <x v="1"/>
    <x v="4"/>
    <x v="4"/>
    <x v="1"/>
    <x v="0"/>
    <x v="0"/>
    <x v="0"/>
    <x v="0"/>
    <x v="0"/>
    <x v="0"/>
    <x v="0"/>
  </r>
  <r>
    <x v="468"/>
    <x v="0"/>
    <x v="0"/>
    <x v="1"/>
    <x v="1"/>
    <x v="10"/>
    <x v="0"/>
    <x v="2"/>
    <x v="3"/>
    <x v="0"/>
    <x v="1"/>
    <x v="4"/>
    <x v="1"/>
    <x v="1"/>
    <x v="0"/>
    <x v="0"/>
    <x v="0"/>
    <x v="0"/>
    <x v="0"/>
    <x v="0"/>
    <x v="0"/>
  </r>
  <r>
    <x v="469"/>
    <x v="0"/>
    <x v="0"/>
    <x v="1"/>
    <x v="1"/>
    <x v="10"/>
    <x v="0"/>
    <x v="3"/>
    <x v="2"/>
    <x v="0"/>
    <x v="0"/>
    <x v="3"/>
    <x v="3"/>
    <x v="1"/>
    <x v="0"/>
    <x v="0"/>
    <x v="0"/>
    <x v="0"/>
    <x v="0"/>
    <x v="0"/>
    <x v="0"/>
  </r>
  <r>
    <x v="470"/>
    <x v="0"/>
    <x v="0"/>
    <x v="1"/>
    <x v="1"/>
    <x v="10"/>
    <x v="0"/>
    <x v="3"/>
    <x v="2"/>
    <x v="0"/>
    <x v="1"/>
    <x v="3"/>
    <x v="0"/>
    <x v="1"/>
    <x v="0"/>
    <x v="0"/>
    <x v="0"/>
    <x v="1"/>
    <x v="0"/>
    <x v="0"/>
    <x v="0"/>
  </r>
  <r>
    <x v="471"/>
    <x v="0"/>
    <x v="0"/>
    <x v="1"/>
    <x v="1"/>
    <x v="10"/>
    <x v="0"/>
    <x v="3"/>
    <x v="2"/>
    <x v="0"/>
    <x v="0"/>
    <x v="3"/>
    <x v="3"/>
    <x v="1"/>
    <x v="0"/>
    <x v="0"/>
    <x v="0"/>
    <x v="0"/>
    <x v="0"/>
    <x v="0"/>
    <x v="0"/>
  </r>
  <r>
    <x v="472"/>
    <x v="0"/>
    <x v="0"/>
    <x v="0"/>
    <x v="0"/>
    <x v="10"/>
    <x v="0"/>
    <x v="3"/>
    <x v="2"/>
    <x v="0"/>
    <x v="1"/>
    <x v="3"/>
    <x v="0"/>
    <x v="1"/>
    <x v="36"/>
    <x v="0"/>
    <x v="0"/>
    <x v="1"/>
    <x v="0"/>
    <x v="0"/>
    <x v="0"/>
  </r>
  <r>
    <x v="473"/>
    <x v="0"/>
    <x v="0"/>
    <x v="1"/>
    <x v="1"/>
    <x v="10"/>
    <x v="0"/>
    <x v="3"/>
    <x v="2"/>
    <x v="0"/>
    <x v="0"/>
    <x v="3"/>
    <x v="3"/>
    <x v="1"/>
    <x v="36"/>
    <x v="0"/>
    <x v="0"/>
    <x v="0"/>
    <x v="0"/>
    <x v="0"/>
    <x v="0"/>
  </r>
  <r>
    <x v="474"/>
    <x v="0"/>
    <x v="0"/>
    <x v="0"/>
    <x v="0"/>
    <x v="10"/>
    <x v="0"/>
    <x v="3"/>
    <x v="2"/>
    <x v="0"/>
    <x v="1"/>
    <x v="3"/>
    <x v="0"/>
    <x v="1"/>
    <x v="15"/>
    <x v="0"/>
    <x v="0"/>
    <x v="1"/>
    <x v="0"/>
    <x v="0"/>
    <x v="0"/>
  </r>
  <r>
    <x v="475"/>
    <x v="0"/>
    <x v="0"/>
    <x v="1"/>
    <x v="1"/>
    <x v="10"/>
    <x v="0"/>
    <x v="3"/>
    <x v="2"/>
    <x v="0"/>
    <x v="0"/>
    <x v="3"/>
    <x v="0"/>
    <x v="1"/>
    <x v="15"/>
    <x v="0"/>
    <x v="0"/>
    <x v="1"/>
    <x v="0"/>
    <x v="0"/>
    <x v="0"/>
  </r>
  <r>
    <x v="476"/>
    <x v="0"/>
    <x v="0"/>
    <x v="1"/>
    <x v="1"/>
    <x v="10"/>
    <x v="0"/>
    <x v="3"/>
    <x v="2"/>
    <x v="0"/>
    <x v="1"/>
    <x v="3"/>
    <x v="0"/>
    <x v="1"/>
    <x v="15"/>
    <x v="0"/>
    <x v="0"/>
    <x v="1"/>
    <x v="0"/>
    <x v="0"/>
    <x v="0"/>
  </r>
  <r>
    <x v="477"/>
    <x v="1"/>
    <x v="1"/>
    <x v="0"/>
    <x v="0"/>
    <x v="10"/>
    <x v="0"/>
    <x v="3"/>
    <x v="4"/>
    <x v="3"/>
    <x v="0"/>
    <x v="3"/>
    <x v="3"/>
    <x v="1"/>
    <x v="7"/>
    <x v="0"/>
    <x v="1"/>
    <x v="1"/>
    <x v="0"/>
    <x v="0"/>
    <x v="0"/>
  </r>
  <r>
    <x v="478"/>
    <x v="0"/>
    <x v="0"/>
    <x v="1"/>
    <x v="1"/>
    <x v="10"/>
    <x v="0"/>
    <x v="3"/>
    <x v="2"/>
    <x v="0"/>
    <x v="0"/>
    <x v="3"/>
    <x v="3"/>
    <x v="1"/>
    <x v="7"/>
    <x v="0"/>
    <x v="1"/>
    <x v="1"/>
    <x v="0"/>
    <x v="0"/>
    <x v="0"/>
  </r>
  <r>
    <x v="479"/>
    <x v="0"/>
    <x v="0"/>
    <x v="1"/>
    <x v="1"/>
    <x v="10"/>
    <x v="0"/>
    <x v="3"/>
    <x v="2"/>
    <x v="0"/>
    <x v="0"/>
    <x v="3"/>
    <x v="0"/>
    <x v="1"/>
    <x v="7"/>
    <x v="0"/>
    <x v="1"/>
    <x v="1"/>
    <x v="0"/>
    <x v="0"/>
    <x v="0"/>
  </r>
  <r>
    <x v="480"/>
    <x v="1"/>
    <x v="1"/>
    <x v="1"/>
    <x v="1"/>
    <x v="10"/>
    <x v="0"/>
    <x v="3"/>
    <x v="2"/>
    <x v="0"/>
    <x v="1"/>
    <x v="3"/>
    <x v="0"/>
    <x v="1"/>
    <x v="7"/>
    <x v="0"/>
    <x v="1"/>
    <x v="1"/>
    <x v="0"/>
    <x v="0"/>
    <x v="0"/>
  </r>
  <r>
    <x v="481"/>
    <x v="0"/>
    <x v="0"/>
    <x v="1"/>
    <x v="1"/>
    <x v="10"/>
    <x v="0"/>
    <x v="5"/>
    <x v="4"/>
    <x v="3"/>
    <x v="1"/>
    <x v="3"/>
    <x v="0"/>
    <x v="1"/>
    <x v="16"/>
    <x v="0"/>
    <x v="1"/>
    <x v="0"/>
    <x v="0"/>
    <x v="0"/>
    <x v="0"/>
  </r>
  <r>
    <x v="482"/>
    <x v="1"/>
    <x v="1"/>
    <x v="1"/>
    <x v="1"/>
    <x v="10"/>
    <x v="0"/>
    <x v="3"/>
    <x v="4"/>
    <x v="3"/>
    <x v="1"/>
    <x v="3"/>
    <x v="0"/>
    <x v="1"/>
    <x v="16"/>
    <x v="0"/>
    <x v="1"/>
    <x v="0"/>
    <x v="0"/>
    <x v="0"/>
    <x v="0"/>
  </r>
  <r>
    <x v="483"/>
    <x v="1"/>
    <x v="1"/>
    <x v="0"/>
    <x v="0"/>
    <x v="10"/>
    <x v="0"/>
    <x v="5"/>
    <x v="1"/>
    <x v="1"/>
    <x v="1"/>
    <x v="3"/>
    <x v="0"/>
    <x v="1"/>
    <x v="31"/>
    <x v="0"/>
    <x v="1"/>
    <x v="0"/>
    <x v="0"/>
    <x v="0"/>
    <x v="0"/>
  </r>
  <r>
    <x v="484"/>
    <x v="0"/>
    <x v="0"/>
    <x v="1"/>
    <x v="1"/>
    <x v="10"/>
    <x v="0"/>
    <x v="5"/>
    <x v="2"/>
    <x v="0"/>
    <x v="0"/>
    <x v="3"/>
    <x v="4"/>
    <x v="1"/>
    <x v="31"/>
    <x v="0"/>
    <x v="1"/>
    <x v="1"/>
    <x v="0"/>
    <x v="0"/>
    <x v="0"/>
  </r>
  <r>
    <x v="485"/>
    <x v="1"/>
    <x v="1"/>
    <x v="1"/>
    <x v="1"/>
    <x v="10"/>
    <x v="0"/>
    <x v="5"/>
    <x v="2"/>
    <x v="0"/>
    <x v="1"/>
    <x v="3"/>
    <x v="2"/>
    <x v="1"/>
    <x v="31"/>
    <x v="0"/>
    <x v="1"/>
    <x v="0"/>
    <x v="0"/>
    <x v="0"/>
    <x v="0"/>
  </r>
  <r>
    <x v="486"/>
    <x v="0"/>
    <x v="0"/>
    <x v="1"/>
    <x v="1"/>
    <x v="10"/>
    <x v="0"/>
    <x v="3"/>
    <x v="2"/>
    <x v="0"/>
    <x v="1"/>
    <x v="3"/>
    <x v="4"/>
    <x v="1"/>
    <x v="17"/>
    <x v="0"/>
    <x v="1"/>
    <x v="0"/>
    <x v="0"/>
    <x v="0"/>
    <x v="0"/>
  </r>
  <r>
    <x v="487"/>
    <x v="1"/>
    <x v="1"/>
    <x v="1"/>
    <x v="1"/>
    <x v="10"/>
    <x v="0"/>
    <x v="5"/>
    <x v="2"/>
    <x v="0"/>
    <x v="1"/>
    <x v="3"/>
    <x v="2"/>
    <x v="1"/>
    <x v="17"/>
    <x v="0"/>
    <x v="1"/>
    <x v="0"/>
    <x v="0"/>
    <x v="0"/>
    <x v="0"/>
  </r>
  <r>
    <x v="488"/>
    <x v="0"/>
    <x v="0"/>
    <x v="0"/>
    <x v="0"/>
    <x v="10"/>
    <x v="0"/>
    <x v="3"/>
    <x v="0"/>
    <x v="0"/>
    <x v="1"/>
    <x v="4"/>
    <x v="2"/>
    <x v="1"/>
    <x v="1"/>
    <x v="0"/>
    <x v="1"/>
    <x v="1"/>
    <x v="0"/>
    <x v="0"/>
    <x v="0"/>
  </r>
  <r>
    <x v="489"/>
    <x v="0"/>
    <x v="0"/>
    <x v="0"/>
    <x v="0"/>
    <x v="10"/>
    <x v="0"/>
    <x v="3"/>
    <x v="0"/>
    <x v="0"/>
    <x v="1"/>
    <x v="4"/>
    <x v="2"/>
    <x v="1"/>
    <x v="1"/>
    <x v="0"/>
    <x v="1"/>
    <x v="1"/>
    <x v="0"/>
    <x v="0"/>
    <x v="0"/>
  </r>
  <r>
    <x v="490"/>
    <x v="0"/>
    <x v="0"/>
    <x v="1"/>
    <x v="1"/>
    <x v="10"/>
    <x v="0"/>
    <x v="3"/>
    <x v="2"/>
    <x v="0"/>
    <x v="1"/>
    <x v="3"/>
    <x v="2"/>
    <x v="1"/>
    <x v="1"/>
    <x v="0"/>
    <x v="1"/>
    <x v="1"/>
    <x v="0"/>
    <x v="0"/>
    <x v="0"/>
  </r>
  <r>
    <x v="491"/>
    <x v="0"/>
    <x v="0"/>
    <x v="1"/>
    <x v="1"/>
    <x v="10"/>
    <x v="0"/>
    <x v="3"/>
    <x v="0"/>
    <x v="0"/>
    <x v="1"/>
    <x v="3"/>
    <x v="2"/>
    <x v="1"/>
    <x v="1"/>
    <x v="0"/>
    <x v="1"/>
    <x v="1"/>
    <x v="0"/>
    <x v="0"/>
    <x v="0"/>
  </r>
  <r>
    <x v="492"/>
    <x v="0"/>
    <x v="0"/>
    <x v="1"/>
    <x v="1"/>
    <x v="10"/>
    <x v="0"/>
    <x v="2"/>
    <x v="1"/>
    <x v="3"/>
    <x v="0"/>
    <x v="1"/>
    <x v="1"/>
    <x v="1"/>
    <x v="1"/>
    <x v="0"/>
    <x v="1"/>
    <x v="1"/>
    <x v="0"/>
    <x v="0"/>
    <x v="0"/>
  </r>
  <r>
    <x v="493"/>
    <x v="0"/>
    <x v="0"/>
    <x v="1"/>
    <x v="1"/>
    <x v="10"/>
    <x v="0"/>
    <x v="3"/>
    <x v="2"/>
    <x v="0"/>
    <x v="1"/>
    <x v="3"/>
    <x v="4"/>
    <x v="1"/>
    <x v="1"/>
    <x v="0"/>
    <x v="1"/>
    <x v="0"/>
    <x v="0"/>
    <x v="0"/>
    <x v="0"/>
  </r>
  <r>
    <x v="494"/>
    <x v="0"/>
    <x v="0"/>
    <x v="1"/>
    <x v="1"/>
    <x v="10"/>
    <x v="0"/>
    <x v="3"/>
    <x v="2"/>
    <x v="0"/>
    <x v="1"/>
    <x v="3"/>
    <x v="2"/>
    <x v="1"/>
    <x v="1"/>
    <x v="0"/>
    <x v="1"/>
    <x v="1"/>
    <x v="0"/>
    <x v="0"/>
    <x v="0"/>
  </r>
  <r>
    <x v="495"/>
    <x v="0"/>
    <x v="0"/>
    <x v="0"/>
    <x v="0"/>
    <x v="10"/>
    <x v="0"/>
    <x v="3"/>
    <x v="0"/>
    <x v="0"/>
    <x v="1"/>
    <x v="3"/>
    <x v="4"/>
    <x v="1"/>
    <x v="28"/>
    <x v="0"/>
    <x v="1"/>
    <x v="0"/>
    <x v="0"/>
    <x v="0"/>
    <x v="0"/>
  </r>
  <r>
    <x v="496"/>
    <x v="0"/>
    <x v="0"/>
    <x v="0"/>
    <x v="0"/>
    <x v="10"/>
    <x v="0"/>
    <x v="3"/>
    <x v="3"/>
    <x v="1"/>
    <x v="1"/>
    <x v="1"/>
    <x v="2"/>
    <x v="1"/>
    <x v="28"/>
    <x v="0"/>
    <x v="1"/>
    <x v="1"/>
    <x v="0"/>
    <x v="0"/>
    <x v="0"/>
  </r>
  <r>
    <x v="497"/>
    <x v="0"/>
    <x v="0"/>
    <x v="1"/>
    <x v="1"/>
    <x v="10"/>
    <x v="0"/>
    <x v="3"/>
    <x v="0"/>
    <x v="0"/>
    <x v="1"/>
    <x v="3"/>
    <x v="2"/>
    <x v="1"/>
    <x v="28"/>
    <x v="0"/>
    <x v="1"/>
    <x v="1"/>
    <x v="0"/>
    <x v="0"/>
    <x v="0"/>
  </r>
  <r>
    <x v="498"/>
    <x v="1"/>
    <x v="1"/>
    <x v="1"/>
    <x v="1"/>
    <x v="10"/>
    <x v="0"/>
    <x v="3"/>
    <x v="0"/>
    <x v="0"/>
    <x v="1"/>
    <x v="4"/>
    <x v="2"/>
    <x v="1"/>
    <x v="28"/>
    <x v="0"/>
    <x v="1"/>
    <x v="1"/>
    <x v="0"/>
    <x v="0"/>
    <x v="0"/>
  </r>
  <r>
    <x v="499"/>
    <x v="0"/>
    <x v="0"/>
    <x v="0"/>
    <x v="0"/>
    <x v="10"/>
    <x v="0"/>
    <x v="3"/>
    <x v="0"/>
    <x v="0"/>
    <x v="1"/>
    <x v="4"/>
    <x v="4"/>
    <x v="1"/>
    <x v="40"/>
    <x v="0"/>
    <x v="1"/>
    <x v="0"/>
    <x v="0"/>
    <x v="0"/>
    <x v="0"/>
  </r>
  <r>
    <x v="500"/>
    <x v="0"/>
    <x v="0"/>
    <x v="0"/>
    <x v="0"/>
    <x v="10"/>
    <x v="0"/>
    <x v="3"/>
    <x v="0"/>
    <x v="0"/>
    <x v="1"/>
    <x v="3"/>
    <x v="4"/>
    <x v="1"/>
    <x v="40"/>
    <x v="0"/>
    <x v="1"/>
    <x v="0"/>
    <x v="0"/>
    <x v="0"/>
    <x v="0"/>
  </r>
  <r>
    <x v="501"/>
    <x v="0"/>
    <x v="0"/>
    <x v="1"/>
    <x v="1"/>
    <x v="10"/>
    <x v="0"/>
    <x v="3"/>
    <x v="0"/>
    <x v="0"/>
    <x v="1"/>
    <x v="4"/>
    <x v="2"/>
    <x v="1"/>
    <x v="40"/>
    <x v="0"/>
    <x v="1"/>
    <x v="0"/>
    <x v="0"/>
    <x v="0"/>
    <x v="0"/>
  </r>
  <r>
    <x v="502"/>
    <x v="1"/>
    <x v="1"/>
    <x v="1"/>
    <x v="1"/>
    <x v="10"/>
    <x v="0"/>
    <x v="3"/>
    <x v="3"/>
    <x v="1"/>
    <x v="1"/>
    <x v="1"/>
    <x v="2"/>
    <x v="1"/>
    <x v="40"/>
    <x v="0"/>
    <x v="1"/>
    <x v="1"/>
    <x v="0"/>
    <x v="0"/>
    <x v="0"/>
  </r>
  <r>
    <x v="503"/>
    <x v="1"/>
    <x v="1"/>
    <x v="0"/>
    <x v="0"/>
    <x v="10"/>
    <x v="0"/>
    <x v="3"/>
    <x v="3"/>
    <x v="1"/>
    <x v="1"/>
    <x v="1"/>
    <x v="2"/>
    <x v="1"/>
    <x v="18"/>
    <x v="0"/>
    <x v="1"/>
    <x v="1"/>
    <x v="0"/>
    <x v="0"/>
    <x v="0"/>
  </r>
  <r>
    <x v="504"/>
    <x v="0"/>
    <x v="0"/>
    <x v="0"/>
    <x v="0"/>
    <x v="10"/>
    <x v="0"/>
    <x v="1"/>
    <x v="3"/>
    <x v="1"/>
    <x v="1"/>
    <x v="0"/>
    <x v="2"/>
    <x v="1"/>
    <x v="19"/>
    <x v="0"/>
    <x v="1"/>
    <x v="1"/>
    <x v="0"/>
    <x v="0"/>
    <x v="0"/>
  </r>
  <r>
    <x v="505"/>
    <x v="0"/>
    <x v="0"/>
    <x v="1"/>
    <x v="1"/>
    <x v="10"/>
    <x v="0"/>
    <x v="3"/>
    <x v="3"/>
    <x v="1"/>
    <x v="1"/>
    <x v="1"/>
    <x v="4"/>
    <x v="1"/>
    <x v="19"/>
    <x v="0"/>
    <x v="1"/>
    <x v="1"/>
    <x v="0"/>
    <x v="0"/>
    <x v="0"/>
  </r>
  <r>
    <x v="506"/>
    <x v="0"/>
    <x v="0"/>
    <x v="1"/>
    <x v="1"/>
    <x v="10"/>
    <x v="0"/>
    <x v="0"/>
    <x v="3"/>
    <x v="1"/>
    <x v="1"/>
    <x v="3"/>
    <x v="4"/>
    <x v="1"/>
    <x v="19"/>
    <x v="0"/>
    <x v="1"/>
    <x v="1"/>
    <x v="0"/>
    <x v="0"/>
    <x v="0"/>
  </r>
  <r>
    <x v="507"/>
    <x v="1"/>
    <x v="1"/>
    <x v="1"/>
    <x v="1"/>
    <x v="10"/>
    <x v="0"/>
    <x v="1"/>
    <x v="3"/>
    <x v="1"/>
    <x v="1"/>
    <x v="0"/>
    <x v="2"/>
    <x v="1"/>
    <x v="19"/>
    <x v="0"/>
    <x v="1"/>
    <x v="0"/>
    <x v="0"/>
    <x v="0"/>
    <x v="0"/>
  </r>
  <r>
    <x v="508"/>
    <x v="0"/>
    <x v="0"/>
    <x v="0"/>
    <x v="0"/>
    <x v="10"/>
    <x v="0"/>
    <x v="0"/>
    <x v="3"/>
    <x v="1"/>
    <x v="1"/>
    <x v="3"/>
    <x v="4"/>
    <x v="1"/>
    <x v="41"/>
    <x v="0"/>
    <x v="1"/>
    <x v="1"/>
    <x v="0"/>
    <x v="0"/>
    <x v="0"/>
  </r>
  <r>
    <x v="509"/>
    <x v="0"/>
    <x v="0"/>
    <x v="1"/>
    <x v="1"/>
    <x v="10"/>
    <x v="0"/>
    <x v="0"/>
    <x v="3"/>
    <x v="1"/>
    <x v="1"/>
    <x v="3"/>
    <x v="2"/>
    <x v="1"/>
    <x v="41"/>
    <x v="0"/>
    <x v="1"/>
    <x v="1"/>
    <x v="0"/>
    <x v="0"/>
    <x v="0"/>
  </r>
  <r>
    <x v="510"/>
    <x v="1"/>
    <x v="1"/>
    <x v="0"/>
    <x v="0"/>
    <x v="10"/>
    <x v="0"/>
    <x v="0"/>
    <x v="1"/>
    <x v="1"/>
    <x v="1"/>
    <x v="3"/>
    <x v="2"/>
    <x v="1"/>
    <x v="20"/>
    <x v="0"/>
    <x v="1"/>
    <x v="0"/>
    <x v="0"/>
    <x v="0"/>
    <x v="0"/>
  </r>
  <r>
    <x v="511"/>
    <x v="1"/>
    <x v="1"/>
    <x v="0"/>
    <x v="0"/>
    <x v="10"/>
    <x v="0"/>
    <x v="0"/>
    <x v="3"/>
    <x v="1"/>
    <x v="1"/>
    <x v="3"/>
    <x v="2"/>
    <x v="1"/>
    <x v="37"/>
    <x v="0"/>
    <x v="1"/>
    <x v="1"/>
    <x v="0"/>
    <x v="0"/>
    <x v="0"/>
  </r>
  <r>
    <x v="512"/>
    <x v="0"/>
    <x v="0"/>
    <x v="1"/>
    <x v="1"/>
    <x v="10"/>
    <x v="0"/>
    <x v="5"/>
    <x v="1"/>
    <x v="1"/>
    <x v="1"/>
    <x v="3"/>
    <x v="3"/>
    <x v="1"/>
    <x v="37"/>
    <x v="0"/>
    <x v="1"/>
    <x v="1"/>
    <x v="0"/>
    <x v="0"/>
    <x v="0"/>
  </r>
  <r>
    <x v="513"/>
    <x v="0"/>
    <x v="0"/>
    <x v="1"/>
    <x v="1"/>
    <x v="10"/>
    <x v="0"/>
    <x v="5"/>
    <x v="1"/>
    <x v="1"/>
    <x v="1"/>
    <x v="3"/>
    <x v="2"/>
    <x v="1"/>
    <x v="30"/>
    <x v="0"/>
    <x v="1"/>
    <x v="1"/>
    <x v="0"/>
    <x v="0"/>
    <x v="0"/>
  </r>
  <r>
    <x v="514"/>
    <x v="0"/>
    <x v="0"/>
    <x v="0"/>
    <x v="0"/>
    <x v="10"/>
    <x v="0"/>
    <x v="5"/>
    <x v="3"/>
    <x v="1"/>
    <x v="1"/>
    <x v="3"/>
    <x v="2"/>
    <x v="1"/>
    <x v="2"/>
    <x v="0"/>
    <x v="1"/>
    <x v="1"/>
    <x v="0"/>
    <x v="0"/>
    <x v="0"/>
  </r>
  <r>
    <x v="515"/>
    <x v="1"/>
    <x v="1"/>
    <x v="0"/>
    <x v="0"/>
    <x v="10"/>
    <x v="0"/>
    <x v="5"/>
    <x v="1"/>
    <x v="1"/>
    <x v="1"/>
    <x v="3"/>
    <x v="2"/>
    <x v="1"/>
    <x v="2"/>
    <x v="0"/>
    <x v="1"/>
    <x v="1"/>
    <x v="0"/>
    <x v="0"/>
    <x v="0"/>
  </r>
  <r>
    <x v="516"/>
    <x v="0"/>
    <x v="0"/>
    <x v="1"/>
    <x v="1"/>
    <x v="10"/>
    <x v="0"/>
    <x v="5"/>
    <x v="3"/>
    <x v="1"/>
    <x v="1"/>
    <x v="3"/>
    <x v="2"/>
    <x v="1"/>
    <x v="2"/>
    <x v="0"/>
    <x v="1"/>
    <x v="1"/>
    <x v="0"/>
    <x v="0"/>
    <x v="0"/>
  </r>
  <r>
    <x v="517"/>
    <x v="0"/>
    <x v="0"/>
    <x v="1"/>
    <x v="1"/>
    <x v="10"/>
    <x v="0"/>
    <x v="5"/>
    <x v="3"/>
    <x v="1"/>
    <x v="1"/>
    <x v="3"/>
    <x v="2"/>
    <x v="1"/>
    <x v="2"/>
    <x v="0"/>
    <x v="1"/>
    <x v="1"/>
    <x v="0"/>
    <x v="0"/>
    <x v="0"/>
  </r>
  <r>
    <x v="518"/>
    <x v="0"/>
    <x v="0"/>
    <x v="1"/>
    <x v="1"/>
    <x v="10"/>
    <x v="0"/>
    <x v="5"/>
    <x v="3"/>
    <x v="1"/>
    <x v="0"/>
    <x v="3"/>
    <x v="3"/>
    <x v="1"/>
    <x v="2"/>
    <x v="0"/>
    <x v="1"/>
    <x v="1"/>
    <x v="0"/>
    <x v="0"/>
    <x v="0"/>
  </r>
  <r>
    <x v="519"/>
    <x v="0"/>
    <x v="0"/>
    <x v="0"/>
    <x v="0"/>
    <x v="10"/>
    <x v="0"/>
    <x v="5"/>
    <x v="1"/>
    <x v="1"/>
    <x v="1"/>
    <x v="3"/>
    <x v="3"/>
    <x v="1"/>
    <x v="21"/>
    <x v="0"/>
    <x v="1"/>
    <x v="1"/>
    <x v="0"/>
    <x v="0"/>
    <x v="0"/>
  </r>
  <r>
    <x v="520"/>
    <x v="0"/>
    <x v="0"/>
    <x v="1"/>
    <x v="1"/>
    <x v="10"/>
    <x v="0"/>
    <x v="3"/>
    <x v="1"/>
    <x v="1"/>
    <x v="1"/>
    <x v="4"/>
    <x v="1"/>
    <x v="2"/>
    <x v="21"/>
    <x v="0"/>
    <x v="1"/>
    <x v="0"/>
    <x v="0"/>
    <x v="0"/>
    <x v="0"/>
  </r>
  <r>
    <x v="521"/>
    <x v="0"/>
    <x v="0"/>
    <x v="1"/>
    <x v="1"/>
    <x v="10"/>
    <x v="0"/>
    <x v="5"/>
    <x v="1"/>
    <x v="1"/>
    <x v="1"/>
    <x v="3"/>
    <x v="3"/>
    <x v="1"/>
    <x v="21"/>
    <x v="0"/>
    <x v="1"/>
    <x v="1"/>
    <x v="0"/>
    <x v="0"/>
    <x v="0"/>
  </r>
  <r>
    <x v="522"/>
    <x v="0"/>
    <x v="0"/>
    <x v="0"/>
    <x v="0"/>
    <x v="10"/>
    <x v="0"/>
    <x v="5"/>
    <x v="1"/>
    <x v="1"/>
    <x v="1"/>
    <x v="3"/>
    <x v="2"/>
    <x v="1"/>
    <x v="22"/>
    <x v="0"/>
    <x v="1"/>
    <x v="1"/>
    <x v="0"/>
    <x v="0"/>
    <x v="0"/>
  </r>
  <r>
    <x v="523"/>
    <x v="0"/>
    <x v="0"/>
    <x v="0"/>
    <x v="0"/>
    <x v="10"/>
    <x v="0"/>
    <x v="3"/>
    <x v="1"/>
    <x v="1"/>
    <x v="1"/>
    <x v="3"/>
    <x v="0"/>
    <x v="1"/>
    <x v="43"/>
    <x v="0"/>
    <x v="1"/>
    <x v="1"/>
    <x v="0"/>
    <x v="0"/>
    <x v="0"/>
  </r>
  <r>
    <x v="524"/>
    <x v="0"/>
    <x v="0"/>
    <x v="1"/>
    <x v="1"/>
    <x v="11"/>
    <x v="0"/>
    <x v="4"/>
    <x v="1"/>
    <x v="3"/>
    <x v="1"/>
    <x v="1"/>
    <x v="1"/>
    <x v="1"/>
    <x v="23"/>
    <x v="0"/>
    <x v="0"/>
    <x v="1"/>
    <x v="0"/>
    <x v="0"/>
    <x v="0"/>
  </r>
  <r>
    <x v="525"/>
    <x v="0"/>
    <x v="0"/>
    <x v="1"/>
    <x v="1"/>
    <x v="11"/>
    <x v="0"/>
    <x v="4"/>
    <x v="1"/>
    <x v="3"/>
    <x v="1"/>
    <x v="1"/>
    <x v="3"/>
    <x v="1"/>
    <x v="23"/>
    <x v="0"/>
    <x v="0"/>
    <x v="0"/>
    <x v="0"/>
    <x v="0"/>
    <x v="0"/>
  </r>
  <r>
    <x v="526"/>
    <x v="0"/>
    <x v="0"/>
    <x v="0"/>
    <x v="0"/>
    <x v="11"/>
    <x v="0"/>
    <x v="4"/>
    <x v="1"/>
    <x v="3"/>
    <x v="1"/>
    <x v="1"/>
    <x v="3"/>
    <x v="1"/>
    <x v="3"/>
    <x v="0"/>
    <x v="0"/>
    <x v="0"/>
    <x v="0"/>
    <x v="0"/>
    <x v="0"/>
  </r>
  <r>
    <x v="527"/>
    <x v="1"/>
    <x v="1"/>
    <x v="0"/>
    <x v="0"/>
    <x v="11"/>
    <x v="0"/>
    <x v="4"/>
    <x v="1"/>
    <x v="3"/>
    <x v="1"/>
    <x v="1"/>
    <x v="3"/>
    <x v="1"/>
    <x v="3"/>
    <x v="0"/>
    <x v="0"/>
    <x v="1"/>
    <x v="0"/>
    <x v="0"/>
    <x v="0"/>
  </r>
  <r>
    <x v="528"/>
    <x v="1"/>
    <x v="1"/>
    <x v="0"/>
    <x v="0"/>
    <x v="11"/>
    <x v="0"/>
    <x v="2"/>
    <x v="1"/>
    <x v="3"/>
    <x v="1"/>
    <x v="1"/>
    <x v="3"/>
    <x v="1"/>
    <x v="3"/>
    <x v="0"/>
    <x v="0"/>
    <x v="0"/>
    <x v="0"/>
    <x v="0"/>
    <x v="0"/>
  </r>
  <r>
    <x v="529"/>
    <x v="1"/>
    <x v="1"/>
    <x v="0"/>
    <x v="0"/>
    <x v="11"/>
    <x v="0"/>
    <x v="4"/>
    <x v="1"/>
    <x v="3"/>
    <x v="1"/>
    <x v="1"/>
    <x v="3"/>
    <x v="1"/>
    <x v="3"/>
    <x v="0"/>
    <x v="0"/>
    <x v="0"/>
    <x v="0"/>
    <x v="0"/>
    <x v="0"/>
  </r>
  <r>
    <x v="530"/>
    <x v="0"/>
    <x v="0"/>
    <x v="1"/>
    <x v="1"/>
    <x v="11"/>
    <x v="0"/>
    <x v="2"/>
    <x v="1"/>
    <x v="3"/>
    <x v="1"/>
    <x v="1"/>
    <x v="1"/>
    <x v="1"/>
    <x v="3"/>
    <x v="0"/>
    <x v="0"/>
    <x v="0"/>
    <x v="0"/>
    <x v="0"/>
    <x v="0"/>
  </r>
  <r>
    <x v="531"/>
    <x v="0"/>
    <x v="0"/>
    <x v="0"/>
    <x v="0"/>
    <x v="11"/>
    <x v="0"/>
    <x v="4"/>
    <x v="1"/>
    <x v="3"/>
    <x v="1"/>
    <x v="1"/>
    <x v="1"/>
    <x v="1"/>
    <x v="24"/>
    <x v="0"/>
    <x v="0"/>
    <x v="1"/>
    <x v="0"/>
    <x v="0"/>
    <x v="0"/>
  </r>
  <r>
    <x v="532"/>
    <x v="0"/>
    <x v="0"/>
    <x v="0"/>
    <x v="0"/>
    <x v="11"/>
    <x v="0"/>
    <x v="2"/>
    <x v="3"/>
    <x v="3"/>
    <x v="1"/>
    <x v="1"/>
    <x v="1"/>
    <x v="1"/>
    <x v="24"/>
    <x v="0"/>
    <x v="0"/>
    <x v="0"/>
    <x v="0"/>
    <x v="0"/>
    <x v="0"/>
  </r>
  <r>
    <x v="533"/>
    <x v="0"/>
    <x v="0"/>
    <x v="0"/>
    <x v="0"/>
    <x v="11"/>
    <x v="0"/>
    <x v="2"/>
    <x v="3"/>
    <x v="3"/>
    <x v="1"/>
    <x v="1"/>
    <x v="4"/>
    <x v="1"/>
    <x v="24"/>
    <x v="0"/>
    <x v="0"/>
    <x v="0"/>
    <x v="0"/>
    <x v="0"/>
    <x v="0"/>
  </r>
  <r>
    <x v="534"/>
    <x v="0"/>
    <x v="0"/>
    <x v="1"/>
    <x v="1"/>
    <x v="11"/>
    <x v="0"/>
    <x v="2"/>
    <x v="3"/>
    <x v="3"/>
    <x v="1"/>
    <x v="1"/>
    <x v="1"/>
    <x v="1"/>
    <x v="24"/>
    <x v="0"/>
    <x v="0"/>
    <x v="0"/>
    <x v="0"/>
    <x v="0"/>
    <x v="0"/>
  </r>
  <r>
    <x v="535"/>
    <x v="0"/>
    <x v="0"/>
    <x v="1"/>
    <x v="1"/>
    <x v="11"/>
    <x v="0"/>
    <x v="2"/>
    <x v="1"/>
    <x v="3"/>
    <x v="1"/>
    <x v="1"/>
    <x v="3"/>
    <x v="1"/>
    <x v="24"/>
    <x v="0"/>
    <x v="0"/>
    <x v="1"/>
    <x v="0"/>
    <x v="0"/>
    <x v="0"/>
  </r>
  <r>
    <x v="536"/>
    <x v="0"/>
    <x v="0"/>
    <x v="0"/>
    <x v="0"/>
    <x v="11"/>
    <x v="0"/>
    <x v="2"/>
    <x v="3"/>
    <x v="3"/>
    <x v="1"/>
    <x v="4"/>
    <x v="1"/>
    <x v="1"/>
    <x v="32"/>
    <x v="0"/>
    <x v="0"/>
    <x v="1"/>
    <x v="0"/>
    <x v="0"/>
    <x v="0"/>
  </r>
  <r>
    <x v="537"/>
    <x v="0"/>
    <x v="0"/>
    <x v="0"/>
    <x v="0"/>
    <x v="11"/>
    <x v="0"/>
    <x v="2"/>
    <x v="1"/>
    <x v="3"/>
    <x v="1"/>
    <x v="1"/>
    <x v="1"/>
    <x v="1"/>
    <x v="32"/>
    <x v="0"/>
    <x v="0"/>
    <x v="1"/>
    <x v="0"/>
    <x v="0"/>
    <x v="0"/>
  </r>
  <r>
    <x v="538"/>
    <x v="0"/>
    <x v="0"/>
    <x v="0"/>
    <x v="0"/>
    <x v="11"/>
    <x v="0"/>
    <x v="4"/>
    <x v="1"/>
    <x v="3"/>
    <x v="1"/>
    <x v="1"/>
    <x v="1"/>
    <x v="0"/>
    <x v="9"/>
    <x v="0"/>
    <x v="0"/>
    <x v="0"/>
    <x v="0"/>
    <x v="0"/>
    <x v="0"/>
  </r>
  <r>
    <x v="539"/>
    <x v="1"/>
    <x v="1"/>
    <x v="0"/>
    <x v="0"/>
    <x v="11"/>
    <x v="0"/>
    <x v="4"/>
    <x v="1"/>
    <x v="3"/>
    <x v="1"/>
    <x v="1"/>
    <x v="1"/>
    <x v="0"/>
    <x v="9"/>
    <x v="0"/>
    <x v="0"/>
    <x v="0"/>
    <x v="0"/>
    <x v="0"/>
    <x v="0"/>
  </r>
  <r>
    <x v="540"/>
    <x v="1"/>
    <x v="1"/>
    <x v="0"/>
    <x v="0"/>
    <x v="11"/>
    <x v="0"/>
    <x v="4"/>
    <x v="1"/>
    <x v="3"/>
    <x v="1"/>
    <x v="1"/>
    <x v="3"/>
    <x v="0"/>
    <x v="9"/>
    <x v="0"/>
    <x v="0"/>
    <x v="1"/>
    <x v="0"/>
    <x v="0"/>
    <x v="0"/>
  </r>
  <r>
    <x v="541"/>
    <x v="0"/>
    <x v="0"/>
    <x v="1"/>
    <x v="1"/>
    <x v="11"/>
    <x v="0"/>
    <x v="2"/>
    <x v="3"/>
    <x v="3"/>
    <x v="1"/>
    <x v="1"/>
    <x v="1"/>
    <x v="1"/>
    <x v="9"/>
    <x v="0"/>
    <x v="0"/>
    <x v="1"/>
    <x v="0"/>
    <x v="0"/>
    <x v="0"/>
  </r>
  <r>
    <x v="542"/>
    <x v="1"/>
    <x v="1"/>
    <x v="0"/>
    <x v="0"/>
    <x v="11"/>
    <x v="0"/>
    <x v="4"/>
    <x v="1"/>
    <x v="3"/>
    <x v="0"/>
    <x v="1"/>
    <x v="1"/>
    <x v="0"/>
    <x v="5"/>
    <x v="0"/>
    <x v="0"/>
    <x v="0"/>
    <x v="0"/>
    <x v="0"/>
    <x v="0"/>
  </r>
  <r>
    <x v="543"/>
    <x v="1"/>
    <x v="1"/>
    <x v="1"/>
    <x v="1"/>
    <x v="11"/>
    <x v="0"/>
    <x v="4"/>
    <x v="1"/>
    <x v="3"/>
    <x v="1"/>
    <x v="1"/>
    <x v="1"/>
    <x v="0"/>
    <x v="5"/>
    <x v="0"/>
    <x v="0"/>
    <x v="0"/>
    <x v="0"/>
    <x v="0"/>
    <x v="0"/>
  </r>
  <r>
    <x v="544"/>
    <x v="1"/>
    <x v="1"/>
    <x v="1"/>
    <x v="1"/>
    <x v="11"/>
    <x v="0"/>
    <x v="3"/>
    <x v="3"/>
    <x v="3"/>
    <x v="1"/>
    <x v="1"/>
    <x v="4"/>
    <x v="1"/>
    <x v="5"/>
    <x v="0"/>
    <x v="0"/>
    <x v="0"/>
    <x v="0"/>
    <x v="0"/>
    <x v="0"/>
  </r>
  <r>
    <x v="545"/>
    <x v="1"/>
    <x v="1"/>
    <x v="1"/>
    <x v="1"/>
    <x v="11"/>
    <x v="0"/>
    <x v="3"/>
    <x v="3"/>
    <x v="3"/>
    <x v="1"/>
    <x v="4"/>
    <x v="4"/>
    <x v="1"/>
    <x v="10"/>
    <x v="0"/>
    <x v="0"/>
    <x v="0"/>
    <x v="0"/>
    <x v="0"/>
    <x v="0"/>
  </r>
  <r>
    <x v="546"/>
    <x v="1"/>
    <x v="1"/>
    <x v="1"/>
    <x v="1"/>
    <x v="11"/>
    <x v="0"/>
    <x v="3"/>
    <x v="3"/>
    <x v="3"/>
    <x v="0"/>
    <x v="4"/>
    <x v="1"/>
    <x v="1"/>
    <x v="10"/>
    <x v="0"/>
    <x v="0"/>
    <x v="0"/>
    <x v="0"/>
    <x v="0"/>
    <x v="0"/>
  </r>
  <r>
    <x v="547"/>
    <x v="1"/>
    <x v="1"/>
    <x v="1"/>
    <x v="1"/>
    <x v="11"/>
    <x v="0"/>
    <x v="4"/>
    <x v="0"/>
    <x v="3"/>
    <x v="0"/>
    <x v="4"/>
    <x v="4"/>
    <x v="1"/>
    <x v="25"/>
    <x v="0"/>
    <x v="0"/>
    <x v="0"/>
    <x v="0"/>
    <x v="0"/>
    <x v="0"/>
  </r>
  <r>
    <x v="548"/>
    <x v="1"/>
    <x v="1"/>
    <x v="1"/>
    <x v="1"/>
    <x v="11"/>
    <x v="0"/>
    <x v="3"/>
    <x v="3"/>
    <x v="3"/>
    <x v="0"/>
    <x v="4"/>
    <x v="1"/>
    <x v="1"/>
    <x v="25"/>
    <x v="0"/>
    <x v="0"/>
    <x v="0"/>
    <x v="0"/>
    <x v="0"/>
    <x v="0"/>
  </r>
  <r>
    <x v="549"/>
    <x v="1"/>
    <x v="1"/>
    <x v="0"/>
    <x v="0"/>
    <x v="11"/>
    <x v="0"/>
    <x v="5"/>
    <x v="3"/>
    <x v="3"/>
    <x v="0"/>
    <x v="4"/>
    <x v="1"/>
    <x v="1"/>
    <x v="11"/>
    <x v="0"/>
    <x v="0"/>
    <x v="1"/>
    <x v="0"/>
    <x v="0"/>
    <x v="0"/>
  </r>
  <r>
    <x v="550"/>
    <x v="0"/>
    <x v="0"/>
    <x v="1"/>
    <x v="1"/>
    <x v="11"/>
    <x v="0"/>
    <x v="5"/>
    <x v="3"/>
    <x v="3"/>
    <x v="1"/>
    <x v="3"/>
    <x v="4"/>
    <x v="1"/>
    <x v="11"/>
    <x v="0"/>
    <x v="0"/>
    <x v="1"/>
    <x v="0"/>
    <x v="0"/>
    <x v="0"/>
  </r>
  <r>
    <x v="551"/>
    <x v="0"/>
    <x v="0"/>
    <x v="0"/>
    <x v="0"/>
    <x v="11"/>
    <x v="0"/>
    <x v="5"/>
    <x v="3"/>
    <x v="3"/>
    <x v="1"/>
    <x v="3"/>
    <x v="1"/>
    <x v="1"/>
    <x v="12"/>
    <x v="0"/>
    <x v="0"/>
    <x v="1"/>
    <x v="0"/>
    <x v="0"/>
    <x v="0"/>
  </r>
  <r>
    <x v="552"/>
    <x v="0"/>
    <x v="0"/>
    <x v="1"/>
    <x v="1"/>
    <x v="11"/>
    <x v="0"/>
    <x v="5"/>
    <x v="3"/>
    <x v="3"/>
    <x v="1"/>
    <x v="0"/>
    <x v="2"/>
    <x v="1"/>
    <x v="12"/>
    <x v="0"/>
    <x v="0"/>
    <x v="1"/>
    <x v="0"/>
    <x v="0"/>
    <x v="0"/>
  </r>
  <r>
    <x v="553"/>
    <x v="1"/>
    <x v="1"/>
    <x v="1"/>
    <x v="1"/>
    <x v="11"/>
    <x v="0"/>
    <x v="5"/>
    <x v="3"/>
    <x v="3"/>
    <x v="1"/>
    <x v="3"/>
    <x v="4"/>
    <x v="1"/>
    <x v="12"/>
    <x v="0"/>
    <x v="0"/>
    <x v="0"/>
    <x v="0"/>
    <x v="0"/>
    <x v="0"/>
  </r>
  <r>
    <x v="554"/>
    <x v="1"/>
    <x v="1"/>
    <x v="0"/>
    <x v="0"/>
    <x v="11"/>
    <x v="0"/>
    <x v="0"/>
    <x v="3"/>
    <x v="3"/>
    <x v="1"/>
    <x v="3"/>
    <x v="1"/>
    <x v="1"/>
    <x v="13"/>
    <x v="0"/>
    <x v="0"/>
    <x v="1"/>
    <x v="0"/>
    <x v="0"/>
    <x v="0"/>
  </r>
  <r>
    <x v="555"/>
    <x v="0"/>
    <x v="0"/>
    <x v="1"/>
    <x v="1"/>
    <x v="11"/>
    <x v="0"/>
    <x v="0"/>
    <x v="3"/>
    <x v="3"/>
    <x v="1"/>
    <x v="0"/>
    <x v="2"/>
    <x v="1"/>
    <x v="13"/>
    <x v="0"/>
    <x v="0"/>
    <x v="1"/>
    <x v="0"/>
    <x v="0"/>
    <x v="0"/>
  </r>
  <r>
    <x v="556"/>
    <x v="0"/>
    <x v="0"/>
    <x v="0"/>
    <x v="0"/>
    <x v="11"/>
    <x v="0"/>
    <x v="0"/>
    <x v="3"/>
    <x v="1"/>
    <x v="1"/>
    <x v="3"/>
    <x v="2"/>
    <x v="1"/>
    <x v="37"/>
    <x v="0"/>
    <x v="1"/>
    <x v="1"/>
    <x v="0"/>
    <x v="0"/>
    <x v="0"/>
  </r>
  <r>
    <x v="557"/>
    <x v="0"/>
    <x v="0"/>
    <x v="1"/>
    <x v="1"/>
    <x v="11"/>
    <x v="0"/>
    <x v="0"/>
    <x v="3"/>
    <x v="1"/>
    <x v="1"/>
    <x v="3"/>
    <x v="2"/>
    <x v="1"/>
    <x v="37"/>
    <x v="0"/>
    <x v="1"/>
    <x v="1"/>
    <x v="0"/>
    <x v="0"/>
    <x v="0"/>
  </r>
  <r>
    <x v="558"/>
    <x v="0"/>
    <x v="0"/>
    <x v="0"/>
    <x v="0"/>
    <x v="11"/>
    <x v="0"/>
    <x v="0"/>
    <x v="3"/>
    <x v="1"/>
    <x v="1"/>
    <x v="3"/>
    <x v="3"/>
    <x v="1"/>
    <x v="30"/>
    <x v="0"/>
    <x v="1"/>
    <x v="0"/>
    <x v="0"/>
    <x v="0"/>
    <x v="0"/>
  </r>
  <r>
    <x v="559"/>
    <x v="0"/>
    <x v="0"/>
    <x v="1"/>
    <x v="1"/>
    <x v="11"/>
    <x v="0"/>
    <x v="3"/>
    <x v="1"/>
    <x v="1"/>
    <x v="1"/>
    <x v="4"/>
    <x v="0"/>
    <x v="2"/>
    <x v="30"/>
    <x v="0"/>
    <x v="1"/>
    <x v="0"/>
    <x v="0"/>
    <x v="0"/>
    <x v="0"/>
  </r>
  <r>
    <x v="560"/>
    <x v="0"/>
    <x v="0"/>
    <x v="1"/>
    <x v="1"/>
    <x v="11"/>
    <x v="0"/>
    <x v="0"/>
    <x v="3"/>
    <x v="1"/>
    <x v="1"/>
    <x v="3"/>
    <x v="2"/>
    <x v="1"/>
    <x v="30"/>
    <x v="0"/>
    <x v="1"/>
    <x v="1"/>
    <x v="0"/>
    <x v="0"/>
    <x v="0"/>
  </r>
  <r>
    <x v="561"/>
    <x v="0"/>
    <x v="0"/>
    <x v="1"/>
    <x v="1"/>
    <x v="11"/>
    <x v="0"/>
    <x v="3"/>
    <x v="1"/>
    <x v="1"/>
    <x v="1"/>
    <x v="3"/>
    <x v="0"/>
    <x v="1"/>
    <x v="22"/>
    <x v="0"/>
    <x v="1"/>
    <x v="1"/>
    <x v="0"/>
    <x v="0"/>
    <x v="0"/>
  </r>
  <r>
    <x v="562"/>
    <x v="1"/>
    <x v="1"/>
    <x v="1"/>
    <x v="1"/>
    <x v="11"/>
    <x v="0"/>
    <x v="5"/>
    <x v="1"/>
    <x v="1"/>
    <x v="1"/>
    <x v="3"/>
    <x v="2"/>
    <x v="1"/>
    <x v="22"/>
    <x v="0"/>
    <x v="1"/>
    <x v="1"/>
    <x v="0"/>
    <x v="0"/>
    <x v="0"/>
  </r>
  <r>
    <x v="563"/>
    <x v="0"/>
    <x v="0"/>
    <x v="1"/>
    <x v="1"/>
    <x v="11"/>
    <x v="0"/>
    <x v="3"/>
    <x v="1"/>
    <x v="1"/>
    <x v="1"/>
    <x v="3"/>
    <x v="0"/>
    <x v="1"/>
    <x v="47"/>
    <x v="0"/>
    <x v="1"/>
    <x v="1"/>
    <x v="0"/>
    <x v="0"/>
    <x v="0"/>
  </r>
  <r>
    <x v="564"/>
    <x v="0"/>
    <x v="0"/>
    <x v="1"/>
    <x v="1"/>
    <x v="12"/>
    <x v="0"/>
    <x v="4"/>
    <x v="1"/>
    <x v="4"/>
    <x v="1"/>
    <x v="1"/>
    <x v="1"/>
    <x v="0"/>
    <x v="48"/>
    <x v="0"/>
    <x v="2"/>
    <x v="0"/>
    <x v="0"/>
    <x v="0"/>
    <x v="0"/>
  </r>
  <r>
    <x v="565"/>
    <x v="1"/>
    <x v="1"/>
    <x v="0"/>
    <x v="0"/>
    <x v="12"/>
    <x v="0"/>
    <x v="4"/>
    <x v="4"/>
    <x v="4"/>
    <x v="1"/>
    <x v="3"/>
    <x v="0"/>
    <x v="1"/>
    <x v="49"/>
    <x v="0"/>
    <x v="2"/>
    <x v="1"/>
    <x v="0"/>
    <x v="0"/>
    <x v="0"/>
  </r>
  <r>
    <x v="566"/>
    <x v="0"/>
    <x v="0"/>
    <x v="0"/>
    <x v="0"/>
    <x v="12"/>
    <x v="0"/>
    <x v="4"/>
    <x v="2"/>
    <x v="3"/>
    <x v="1"/>
    <x v="3"/>
    <x v="0"/>
    <x v="1"/>
    <x v="45"/>
    <x v="0"/>
    <x v="2"/>
    <x v="1"/>
    <x v="0"/>
    <x v="0"/>
    <x v="0"/>
  </r>
  <r>
    <x v="567"/>
    <x v="1"/>
    <x v="1"/>
    <x v="0"/>
    <x v="0"/>
    <x v="12"/>
    <x v="0"/>
    <x v="4"/>
    <x v="2"/>
    <x v="3"/>
    <x v="0"/>
    <x v="3"/>
    <x v="1"/>
    <x v="1"/>
    <x v="45"/>
    <x v="0"/>
    <x v="2"/>
    <x v="0"/>
    <x v="0"/>
    <x v="0"/>
    <x v="0"/>
  </r>
  <r>
    <x v="568"/>
    <x v="1"/>
    <x v="1"/>
    <x v="0"/>
    <x v="0"/>
    <x v="12"/>
    <x v="0"/>
    <x v="4"/>
    <x v="0"/>
    <x v="3"/>
    <x v="0"/>
    <x v="4"/>
    <x v="3"/>
    <x v="1"/>
    <x v="45"/>
    <x v="0"/>
    <x v="2"/>
    <x v="1"/>
    <x v="0"/>
    <x v="0"/>
    <x v="0"/>
  </r>
  <r>
    <x v="569"/>
    <x v="0"/>
    <x v="0"/>
    <x v="1"/>
    <x v="1"/>
    <x v="12"/>
    <x v="0"/>
    <x v="4"/>
    <x v="2"/>
    <x v="3"/>
    <x v="0"/>
    <x v="3"/>
    <x v="1"/>
    <x v="1"/>
    <x v="45"/>
    <x v="0"/>
    <x v="2"/>
    <x v="0"/>
    <x v="0"/>
    <x v="0"/>
    <x v="0"/>
  </r>
  <r>
    <x v="570"/>
    <x v="0"/>
    <x v="0"/>
    <x v="1"/>
    <x v="1"/>
    <x v="12"/>
    <x v="0"/>
    <x v="4"/>
    <x v="2"/>
    <x v="3"/>
    <x v="1"/>
    <x v="3"/>
    <x v="0"/>
    <x v="1"/>
    <x v="45"/>
    <x v="0"/>
    <x v="2"/>
    <x v="1"/>
    <x v="0"/>
    <x v="0"/>
    <x v="0"/>
  </r>
  <r>
    <x v="571"/>
    <x v="0"/>
    <x v="0"/>
    <x v="1"/>
    <x v="1"/>
    <x v="12"/>
    <x v="0"/>
    <x v="4"/>
    <x v="2"/>
    <x v="3"/>
    <x v="1"/>
    <x v="3"/>
    <x v="0"/>
    <x v="1"/>
    <x v="45"/>
    <x v="0"/>
    <x v="2"/>
    <x v="1"/>
    <x v="0"/>
    <x v="0"/>
    <x v="0"/>
  </r>
  <r>
    <x v="572"/>
    <x v="0"/>
    <x v="0"/>
    <x v="1"/>
    <x v="1"/>
    <x v="12"/>
    <x v="0"/>
    <x v="4"/>
    <x v="0"/>
    <x v="3"/>
    <x v="1"/>
    <x v="4"/>
    <x v="0"/>
    <x v="1"/>
    <x v="45"/>
    <x v="0"/>
    <x v="2"/>
    <x v="1"/>
    <x v="0"/>
    <x v="0"/>
    <x v="0"/>
  </r>
  <r>
    <x v="573"/>
    <x v="1"/>
    <x v="1"/>
    <x v="1"/>
    <x v="1"/>
    <x v="12"/>
    <x v="0"/>
    <x v="4"/>
    <x v="2"/>
    <x v="3"/>
    <x v="1"/>
    <x v="3"/>
    <x v="0"/>
    <x v="1"/>
    <x v="45"/>
    <x v="0"/>
    <x v="2"/>
    <x v="1"/>
    <x v="0"/>
    <x v="0"/>
    <x v="0"/>
  </r>
  <r>
    <x v="574"/>
    <x v="1"/>
    <x v="1"/>
    <x v="1"/>
    <x v="1"/>
    <x v="12"/>
    <x v="0"/>
    <x v="4"/>
    <x v="0"/>
    <x v="3"/>
    <x v="1"/>
    <x v="4"/>
    <x v="0"/>
    <x v="1"/>
    <x v="45"/>
    <x v="0"/>
    <x v="2"/>
    <x v="1"/>
    <x v="0"/>
    <x v="0"/>
    <x v="0"/>
  </r>
  <r>
    <x v="575"/>
    <x v="0"/>
    <x v="0"/>
    <x v="0"/>
    <x v="0"/>
    <x v="12"/>
    <x v="0"/>
    <x v="4"/>
    <x v="0"/>
    <x v="3"/>
    <x v="1"/>
    <x v="3"/>
    <x v="0"/>
    <x v="1"/>
    <x v="50"/>
    <x v="0"/>
    <x v="2"/>
    <x v="1"/>
    <x v="0"/>
    <x v="0"/>
    <x v="0"/>
  </r>
  <r>
    <x v="576"/>
    <x v="1"/>
    <x v="1"/>
    <x v="0"/>
    <x v="0"/>
    <x v="12"/>
    <x v="0"/>
    <x v="4"/>
    <x v="3"/>
    <x v="4"/>
    <x v="0"/>
    <x v="1"/>
    <x v="1"/>
    <x v="2"/>
    <x v="50"/>
    <x v="0"/>
    <x v="2"/>
    <x v="0"/>
    <x v="0"/>
    <x v="0"/>
    <x v="0"/>
  </r>
  <r>
    <x v="577"/>
    <x v="1"/>
    <x v="1"/>
    <x v="0"/>
    <x v="0"/>
    <x v="12"/>
    <x v="0"/>
    <x v="4"/>
    <x v="2"/>
    <x v="3"/>
    <x v="0"/>
    <x v="3"/>
    <x v="1"/>
    <x v="1"/>
    <x v="50"/>
    <x v="0"/>
    <x v="2"/>
    <x v="0"/>
    <x v="0"/>
    <x v="0"/>
    <x v="0"/>
  </r>
  <r>
    <x v="578"/>
    <x v="0"/>
    <x v="0"/>
    <x v="1"/>
    <x v="1"/>
    <x v="12"/>
    <x v="0"/>
    <x v="4"/>
    <x v="2"/>
    <x v="3"/>
    <x v="1"/>
    <x v="3"/>
    <x v="0"/>
    <x v="1"/>
    <x v="50"/>
    <x v="0"/>
    <x v="2"/>
    <x v="0"/>
    <x v="0"/>
    <x v="0"/>
    <x v="0"/>
  </r>
  <r>
    <x v="579"/>
    <x v="0"/>
    <x v="0"/>
    <x v="1"/>
    <x v="1"/>
    <x v="12"/>
    <x v="0"/>
    <x v="4"/>
    <x v="2"/>
    <x v="3"/>
    <x v="1"/>
    <x v="3"/>
    <x v="0"/>
    <x v="1"/>
    <x v="50"/>
    <x v="0"/>
    <x v="2"/>
    <x v="0"/>
    <x v="0"/>
    <x v="0"/>
    <x v="0"/>
  </r>
  <r>
    <x v="580"/>
    <x v="0"/>
    <x v="0"/>
    <x v="1"/>
    <x v="1"/>
    <x v="12"/>
    <x v="0"/>
    <x v="4"/>
    <x v="2"/>
    <x v="3"/>
    <x v="1"/>
    <x v="3"/>
    <x v="0"/>
    <x v="1"/>
    <x v="50"/>
    <x v="0"/>
    <x v="2"/>
    <x v="0"/>
    <x v="0"/>
    <x v="0"/>
    <x v="0"/>
  </r>
  <r>
    <x v="581"/>
    <x v="0"/>
    <x v="0"/>
    <x v="1"/>
    <x v="1"/>
    <x v="12"/>
    <x v="0"/>
    <x v="4"/>
    <x v="0"/>
    <x v="3"/>
    <x v="1"/>
    <x v="4"/>
    <x v="0"/>
    <x v="1"/>
    <x v="50"/>
    <x v="0"/>
    <x v="2"/>
    <x v="1"/>
    <x v="0"/>
    <x v="0"/>
    <x v="0"/>
  </r>
  <r>
    <x v="582"/>
    <x v="1"/>
    <x v="1"/>
    <x v="1"/>
    <x v="1"/>
    <x v="12"/>
    <x v="0"/>
    <x v="4"/>
    <x v="2"/>
    <x v="3"/>
    <x v="0"/>
    <x v="3"/>
    <x v="1"/>
    <x v="1"/>
    <x v="50"/>
    <x v="0"/>
    <x v="2"/>
    <x v="0"/>
    <x v="0"/>
    <x v="0"/>
    <x v="0"/>
  </r>
  <r>
    <x v="583"/>
    <x v="1"/>
    <x v="1"/>
    <x v="0"/>
    <x v="0"/>
    <x v="12"/>
    <x v="0"/>
    <x v="4"/>
    <x v="4"/>
    <x v="4"/>
    <x v="1"/>
    <x v="3"/>
    <x v="0"/>
    <x v="1"/>
    <x v="38"/>
    <x v="0"/>
    <x v="2"/>
    <x v="1"/>
    <x v="0"/>
    <x v="0"/>
    <x v="0"/>
  </r>
  <r>
    <x v="584"/>
    <x v="0"/>
    <x v="0"/>
    <x v="1"/>
    <x v="1"/>
    <x v="12"/>
    <x v="0"/>
    <x v="4"/>
    <x v="2"/>
    <x v="3"/>
    <x v="1"/>
    <x v="3"/>
    <x v="0"/>
    <x v="1"/>
    <x v="38"/>
    <x v="0"/>
    <x v="2"/>
    <x v="1"/>
    <x v="0"/>
    <x v="0"/>
    <x v="0"/>
  </r>
  <r>
    <x v="585"/>
    <x v="0"/>
    <x v="0"/>
    <x v="1"/>
    <x v="1"/>
    <x v="12"/>
    <x v="0"/>
    <x v="4"/>
    <x v="0"/>
    <x v="3"/>
    <x v="1"/>
    <x v="4"/>
    <x v="0"/>
    <x v="1"/>
    <x v="38"/>
    <x v="0"/>
    <x v="2"/>
    <x v="1"/>
    <x v="0"/>
    <x v="0"/>
    <x v="0"/>
  </r>
  <r>
    <x v="586"/>
    <x v="1"/>
    <x v="1"/>
    <x v="0"/>
    <x v="0"/>
    <x v="12"/>
    <x v="0"/>
    <x v="4"/>
    <x v="2"/>
    <x v="3"/>
    <x v="1"/>
    <x v="4"/>
    <x v="0"/>
    <x v="1"/>
    <x v="39"/>
    <x v="0"/>
    <x v="0"/>
    <x v="1"/>
    <x v="0"/>
    <x v="0"/>
    <x v="0"/>
  </r>
  <r>
    <x v="587"/>
    <x v="1"/>
    <x v="1"/>
    <x v="0"/>
    <x v="0"/>
    <x v="12"/>
    <x v="0"/>
    <x v="5"/>
    <x v="0"/>
    <x v="4"/>
    <x v="1"/>
    <x v="4"/>
    <x v="3"/>
    <x v="1"/>
    <x v="39"/>
    <x v="0"/>
    <x v="0"/>
    <x v="0"/>
    <x v="0"/>
    <x v="0"/>
    <x v="0"/>
  </r>
  <r>
    <x v="588"/>
    <x v="1"/>
    <x v="1"/>
    <x v="0"/>
    <x v="0"/>
    <x v="12"/>
    <x v="0"/>
    <x v="4"/>
    <x v="2"/>
    <x v="3"/>
    <x v="1"/>
    <x v="3"/>
    <x v="0"/>
    <x v="1"/>
    <x v="39"/>
    <x v="0"/>
    <x v="0"/>
    <x v="1"/>
    <x v="0"/>
    <x v="0"/>
    <x v="0"/>
  </r>
  <r>
    <x v="589"/>
    <x v="1"/>
    <x v="1"/>
    <x v="0"/>
    <x v="0"/>
    <x v="12"/>
    <x v="0"/>
    <x v="4"/>
    <x v="2"/>
    <x v="3"/>
    <x v="1"/>
    <x v="3"/>
    <x v="0"/>
    <x v="1"/>
    <x v="39"/>
    <x v="0"/>
    <x v="0"/>
    <x v="1"/>
    <x v="0"/>
    <x v="0"/>
    <x v="0"/>
  </r>
  <r>
    <x v="590"/>
    <x v="0"/>
    <x v="0"/>
    <x v="1"/>
    <x v="1"/>
    <x v="12"/>
    <x v="0"/>
    <x v="0"/>
    <x v="0"/>
    <x v="4"/>
    <x v="0"/>
    <x v="1"/>
    <x v="1"/>
    <x v="1"/>
    <x v="39"/>
    <x v="0"/>
    <x v="0"/>
    <x v="1"/>
    <x v="0"/>
    <x v="0"/>
    <x v="0"/>
  </r>
  <r>
    <x v="591"/>
    <x v="0"/>
    <x v="0"/>
    <x v="1"/>
    <x v="1"/>
    <x v="12"/>
    <x v="0"/>
    <x v="4"/>
    <x v="0"/>
    <x v="3"/>
    <x v="0"/>
    <x v="3"/>
    <x v="3"/>
    <x v="1"/>
    <x v="39"/>
    <x v="0"/>
    <x v="0"/>
    <x v="1"/>
    <x v="0"/>
    <x v="0"/>
    <x v="0"/>
  </r>
  <r>
    <x v="592"/>
    <x v="0"/>
    <x v="0"/>
    <x v="1"/>
    <x v="1"/>
    <x v="12"/>
    <x v="0"/>
    <x v="4"/>
    <x v="0"/>
    <x v="3"/>
    <x v="1"/>
    <x v="4"/>
    <x v="0"/>
    <x v="1"/>
    <x v="39"/>
    <x v="0"/>
    <x v="0"/>
    <x v="1"/>
    <x v="0"/>
    <x v="0"/>
    <x v="0"/>
  </r>
  <r>
    <x v="593"/>
    <x v="0"/>
    <x v="0"/>
    <x v="1"/>
    <x v="1"/>
    <x v="12"/>
    <x v="0"/>
    <x v="4"/>
    <x v="2"/>
    <x v="3"/>
    <x v="0"/>
    <x v="3"/>
    <x v="3"/>
    <x v="1"/>
    <x v="39"/>
    <x v="0"/>
    <x v="0"/>
    <x v="1"/>
    <x v="0"/>
    <x v="0"/>
    <x v="0"/>
  </r>
  <r>
    <x v="594"/>
    <x v="1"/>
    <x v="1"/>
    <x v="1"/>
    <x v="1"/>
    <x v="12"/>
    <x v="0"/>
    <x v="4"/>
    <x v="2"/>
    <x v="3"/>
    <x v="0"/>
    <x v="3"/>
    <x v="3"/>
    <x v="1"/>
    <x v="39"/>
    <x v="0"/>
    <x v="0"/>
    <x v="1"/>
    <x v="0"/>
    <x v="0"/>
    <x v="0"/>
  </r>
  <r>
    <x v="595"/>
    <x v="0"/>
    <x v="0"/>
    <x v="0"/>
    <x v="0"/>
    <x v="12"/>
    <x v="0"/>
    <x v="5"/>
    <x v="0"/>
    <x v="4"/>
    <x v="1"/>
    <x v="1"/>
    <x v="3"/>
    <x v="1"/>
    <x v="8"/>
    <x v="0"/>
    <x v="0"/>
    <x v="1"/>
    <x v="0"/>
    <x v="0"/>
    <x v="0"/>
  </r>
  <r>
    <x v="596"/>
    <x v="0"/>
    <x v="0"/>
    <x v="0"/>
    <x v="0"/>
    <x v="12"/>
    <x v="0"/>
    <x v="5"/>
    <x v="0"/>
    <x v="4"/>
    <x v="1"/>
    <x v="4"/>
    <x v="1"/>
    <x v="1"/>
    <x v="8"/>
    <x v="0"/>
    <x v="0"/>
    <x v="1"/>
    <x v="0"/>
    <x v="0"/>
    <x v="0"/>
  </r>
  <r>
    <x v="597"/>
    <x v="1"/>
    <x v="1"/>
    <x v="0"/>
    <x v="0"/>
    <x v="12"/>
    <x v="0"/>
    <x v="4"/>
    <x v="2"/>
    <x v="3"/>
    <x v="1"/>
    <x v="4"/>
    <x v="0"/>
    <x v="1"/>
    <x v="8"/>
    <x v="0"/>
    <x v="0"/>
    <x v="1"/>
    <x v="0"/>
    <x v="0"/>
    <x v="0"/>
  </r>
  <r>
    <x v="598"/>
    <x v="1"/>
    <x v="1"/>
    <x v="0"/>
    <x v="0"/>
    <x v="12"/>
    <x v="0"/>
    <x v="5"/>
    <x v="0"/>
    <x v="4"/>
    <x v="1"/>
    <x v="4"/>
    <x v="3"/>
    <x v="1"/>
    <x v="8"/>
    <x v="0"/>
    <x v="0"/>
    <x v="0"/>
    <x v="0"/>
    <x v="0"/>
    <x v="0"/>
  </r>
  <r>
    <x v="599"/>
    <x v="1"/>
    <x v="1"/>
    <x v="0"/>
    <x v="0"/>
    <x v="12"/>
    <x v="0"/>
    <x v="4"/>
    <x v="2"/>
    <x v="3"/>
    <x v="0"/>
    <x v="3"/>
    <x v="3"/>
    <x v="1"/>
    <x v="8"/>
    <x v="0"/>
    <x v="0"/>
    <x v="0"/>
    <x v="0"/>
    <x v="0"/>
    <x v="0"/>
  </r>
  <r>
    <x v="600"/>
    <x v="1"/>
    <x v="1"/>
    <x v="0"/>
    <x v="0"/>
    <x v="12"/>
    <x v="0"/>
    <x v="4"/>
    <x v="2"/>
    <x v="3"/>
    <x v="1"/>
    <x v="3"/>
    <x v="0"/>
    <x v="1"/>
    <x v="8"/>
    <x v="0"/>
    <x v="0"/>
    <x v="1"/>
    <x v="0"/>
    <x v="0"/>
    <x v="0"/>
  </r>
  <r>
    <x v="601"/>
    <x v="0"/>
    <x v="0"/>
    <x v="1"/>
    <x v="1"/>
    <x v="12"/>
    <x v="0"/>
    <x v="4"/>
    <x v="2"/>
    <x v="3"/>
    <x v="1"/>
    <x v="4"/>
    <x v="0"/>
    <x v="1"/>
    <x v="8"/>
    <x v="0"/>
    <x v="0"/>
    <x v="1"/>
    <x v="0"/>
    <x v="0"/>
    <x v="0"/>
  </r>
  <r>
    <x v="602"/>
    <x v="1"/>
    <x v="1"/>
    <x v="1"/>
    <x v="1"/>
    <x v="12"/>
    <x v="0"/>
    <x v="4"/>
    <x v="2"/>
    <x v="3"/>
    <x v="1"/>
    <x v="4"/>
    <x v="0"/>
    <x v="1"/>
    <x v="8"/>
    <x v="0"/>
    <x v="0"/>
    <x v="1"/>
    <x v="0"/>
    <x v="0"/>
    <x v="0"/>
  </r>
  <r>
    <x v="603"/>
    <x v="1"/>
    <x v="1"/>
    <x v="1"/>
    <x v="1"/>
    <x v="12"/>
    <x v="0"/>
    <x v="4"/>
    <x v="2"/>
    <x v="3"/>
    <x v="1"/>
    <x v="3"/>
    <x v="0"/>
    <x v="1"/>
    <x v="8"/>
    <x v="0"/>
    <x v="0"/>
    <x v="1"/>
    <x v="0"/>
    <x v="0"/>
    <x v="0"/>
  </r>
  <r>
    <x v="604"/>
    <x v="1"/>
    <x v="1"/>
    <x v="1"/>
    <x v="1"/>
    <x v="12"/>
    <x v="0"/>
    <x v="4"/>
    <x v="2"/>
    <x v="3"/>
    <x v="1"/>
    <x v="3"/>
    <x v="0"/>
    <x v="1"/>
    <x v="8"/>
    <x v="0"/>
    <x v="0"/>
    <x v="1"/>
    <x v="0"/>
    <x v="0"/>
    <x v="0"/>
  </r>
  <r>
    <x v="605"/>
    <x v="1"/>
    <x v="1"/>
    <x v="1"/>
    <x v="1"/>
    <x v="12"/>
    <x v="0"/>
    <x v="4"/>
    <x v="2"/>
    <x v="3"/>
    <x v="0"/>
    <x v="3"/>
    <x v="3"/>
    <x v="1"/>
    <x v="8"/>
    <x v="0"/>
    <x v="0"/>
    <x v="0"/>
    <x v="0"/>
    <x v="0"/>
    <x v="0"/>
  </r>
  <r>
    <x v="606"/>
    <x v="0"/>
    <x v="0"/>
    <x v="0"/>
    <x v="0"/>
    <x v="12"/>
    <x v="0"/>
    <x v="2"/>
    <x v="3"/>
    <x v="3"/>
    <x v="1"/>
    <x v="1"/>
    <x v="3"/>
    <x v="0"/>
    <x v="23"/>
    <x v="0"/>
    <x v="0"/>
    <x v="0"/>
    <x v="0"/>
    <x v="0"/>
    <x v="0"/>
  </r>
  <r>
    <x v="607"/>
    <x v="0"/>
    <x v="0"/>
    <x v="0"/>
    <x v="0"/>
    <x v="12"/>
    <x v="0"/>
    <x v="2"/>
    <x v="3"/>
    <x v="3"/>
    <x v="1"/>
    <x v="4"/>
    <x v="3"/>
    <x v="0"/>
    <x v="23"/>
    <x v="0"/>
    <x v="0"/>
    <x v="0"/>
    <x v="0"/>
    <x v="0"/>
    <x v="0"/>
  </r>
  <r>
    <x v="608"/>
    <x v="0"/>
    <x v="0"/>
    <x v="0"/>
    <x v="0"/>
    <x v="12"/>
    <x v="0"/>
    <x v="5"/>
    <x v="0"/>
    <x v="4"/>
    <x v="1"/>
    <x v="4"/>
    <x v="3"/>
    <x v="1"/>
    <x v="23"/>
    <x v="0"/>
    <x v="0"/>
    <x v="1"/>
    <x v="0"/>
    <x v="0"/>
    <x v="0"/>
  </r>
  <r>
    <x v="609"/>
    <x v="1"/>
    <x v="1"/>
    <x v="0"/>
    <x v="0"/>
    <x v="12"/>
    <x v="0"/>
    <x v="5"/>
    <x v="0"/>
    <x v="4"/>
    <x v="0"/>
    <x v="3"/>
    <x v="1"/>
    <x v="1"/>
    <x v="23"/>
    <x v="0"/>
    <x v="0"/>
    <x v="1"/>
    <x v="0"/>
    <x v="0"/>
    <x v="0"/>
  </r>
  <r>
    <x v="610"/>
    <x v="0"/>
    <x v="0"/>
    <x v="1"/>
    <x v="1"/>
    <x v="12"/>
    <x v="0"/>
    <x v="2"/>
    <x v="3"/>
    <x v="3"/>
    <x v="1"/>
    <x v="4"/>
    <x v="1"/>
    <x v="0"/>
    <x v="23"/>
    <x v="0"/>
    <x v="0"/>
    <x v="0"/>
    <x v="0"/>
    <x v="0"/>
    <x v="0"/>
  </r>
  <r>
    <x v="611"/>
    <x v="0"/>
    <x v="0"/>
    <x v="0"/>
    <x v="0"/>
    <x v="12"/>
    <x v="0"/>
    <x v="2"/>
    <x v="3"/>
    <x v="3"/>
    <x v="1"/>
    <x v="4"/>
    <x v="3"/>
    <x v="0"/>
    <x v="3"/>
    <x v="0"/>
    <x v="0"/>
    <x v="0"/>
    <x v="0"/>
    <x v="0"/>
    <x v="0"/>
  </r>
  <r>
    <x v="612"/>
    <x v="1"/>
    <x v="1"/>
    <x v="0"/>
    <x v="0"/>
    <x v="12"/>
    <x v="0"/>
    <x v="3"/>
    <x v="0"/>
    <x v="4"/>
    <x v="1"/>
    <x v="1"/>
    <x v="1"/>
    <x v="0"/>
    <x v="3"/>
    <x v="0"/>
    <x v="0"/>
    <x v="1"/>
    <x v="0"/>
    <x v="0"/>
    <x v="0"/>
  </r>
  <r>
    <x v="613"/>
    <x v="1"/>
    <x v="1"/>
    <x v="0"/>
    <x v="0"/>
    <x v="12"/>
    <x v="0"/>
    <x v="3"/>
    <x v="0"/>
    <x v="4"/>
    <x v="1"/>
    <x v="1"/>
    <x v="3"/>
    <x v="0"/>
    <x v="3"/>
    <x v="0"/>
    <x v="0"/>
    <x v="0"/>
    <x v="0"/>
    <x v="0"/>
    <x v="0"/>
  </r>
  <r>
    <x v="614"/>
    <x v="0"/>
    <x v="0"/>
    <x v="1"/>
    <x v="1"/>
    <x v="12"/>
    <x v="0"/>
    <x v="2"/>
    <x v="3"/>
    <x v="3"/>
    <x v="1"/>
    <x v="4"/>
    <x v="1"/>
    <x v="0"/>
    <x v="3"/>
    <x v="0"/>
    <x v="0"/>
    <x v="0"/>
    <x v="0"/>
    <x v="0"/>
    <x v="0"/>
  </r>
  <r>
    <x v="615"/>
    <x v="1"/>
    <x v="1"/>
    <x v="1"/>
    <x v="1"/>
    <x v="12"/>
    <x v="0"/>
    <x v="3"/>
    <x v="0"/>
    <x v="4"/>
    <x v="1"/>
    <x v="1"/>
    <x v="3"/>
    <x v="0"/>
    <x v="3"/>
    <x v="0"/>
    <x v="0"/>
    <x v="0"/>
    <x v="0"/>
    <x v="0"/>
    <x v="0"/>
  </r>
  <r>
    <x v="616"/>
    <x v="0"/>
    <x v="0"/>
    <x v="0"/>
    <x v="0"/>
    <x v="12"/>
    <x v="0"/>
    <x v="3"/>
    <x v="0"/>
    <x v="4"/>
    <x v="0"/>
    <x v="4"/>
    <x v="1"/>
    <x v="0"/>
    <x v="24"/>
    <x v="0"/>
    <x v="0"/>
    <x v="1"/>
    <x v="0"/>
    <x v="0"/>
    <x v="0"/>
  </r>
  <r>
    <x v="617"/>
    <x v="1"/>
    <x v="1"/>
    <x v="1"/>
    <x v="1"/>
    <x v="12"/>
    <x v="0"/>
    <x v="3"/>
    <x v="0"/>
    <x v="4"/>
    <x v="0"/>
    <x v="4"/>
    <x v="1"/>
    <x v="0"/>
    <x v="24"/>
    <x v="0"/>
    <x v="0"/>
    <x v="1"/>
    <x v="0"/>
    <x v="0"/>
    <x v="0"/>
  </r>
  <r>
    <x v="618"/>
    <x v="1"/>
    <x v="1"/>
    <x v="1"/>
    <x v="1"/>
    <x v="12"/>
    <x v="0"/>
    <x v="3"/>
    <x v="0"/>
    <x v="4"/>
    <x v="1"/>
    <x v="1"/>
    <x v="1"/>
    <x v="0"/>
    <x v="24"/>
    <x v="0"/>
    <x v="0"/>
    <x v="1"/>
    <x v="0"/>
    <x v="0"/>
    <x v="0"/>
  </r>
  <r>
    <x v="619"/>
    <x v="0"/>
    <x v="0"/>
    <x v="0"/>
    <x v="0"/>
    <x v="12"/>
    <x v="0"/>
    <x v="4"/>
    <x v="1"/>
    <x v="4"/>
    <x v="1"/>
    <x v="1"/>
    <x v="1"/>
    <x v="0"/>
    <x v="32"/>
    <x v="0"/>
    <x v="0"/>
    <x v="0"/>
    <x v="0"/>
    <x v="0"/>
    <x v="0"/>
  </r>
  <r>
    <x v="620"/>
    <x v="1"/>
    <x v="1"/>
    <x v="0"/>
    <x v="0"/>
    <x v="12"/>
    <x v="0"/>
    <x v="3"/>
    <x v="0"/>
    <x v="4"/>
    <x v="1"/>
    <x v="3"/>
    <x v="3"/>
    <x v="0"/>
    <x v="32"/>
    <x v="0"/>
    <x v="0"/>
    <x v="1"/>
    <x v="0"/>
    <x v="0"/>
    <x v="0"/>
  </r>
  <r>
    <x v="621"/>
    <x v="0"/>
    <x v="0"/>
    <x v="1"/>
    <x v="1"/>
    <x v="12"/>
    <x v="0"/>
    <x v="3"/>
    <x v="0"/>
    <x v="4"/>
    <x v="1"/>
    <x v="4"/>
    <x v="3"/>
    <x v="0"/>
    <x v="32"/>
    <x v="0"/>
    <x v="0"/>
    <x v="0"/>
    <x v="0"/>
    <x v="0"/>
    <x v="0"/>
  </r>
  <r>
    <x v="622"/>
    <x v="0"/>
    <x v="0"/>
    <x v="1"/>
    <x v="1"/>
    <x v="12"/>
    <x v="0"/>
    <x v="3"/>
    <x v="0"/>
    <x v="4"/>
    <x v="1"/>
    <x v="4"/>
    <x v="3"/>
    <x v="0"/>
    <x v="32"/>
    <x v="0"/>
    <x v="0"/>
    <x v="0"/>
    <x v="0"/>
    <x v="0"/>
    <x v="0"/>
  </r>
  <r>
    <x v="623"/>
    <x v="1"/>
    <x v="1"/>
    <x v="1"/>
    <x v="1"/>
    <x v="12"/>
    <x v="0"/>
    <x v="3"/>
    <x v="0"/>
    <x v="4"/>
    <x v="1"/>
    <x v="1"/>
    <x v="3"/>
    <x v="0"/>
    <x v="32"/>
    <x v="0"/>
    <x v="0"/>
    <x v="0"/>
    <x v="0"/>
    <x v="0"/>
    <x v="0"/>
  </r>
  <r>
    <x v="624"/>
    <x v="1"/>
    <x v="1"/>
    <x v="1"/>
    <x v="1"/>
    <x v="12"/>
    <x v="0"/>
    <x v="3"/>
    <x v="0"/>
    <x v="4"/>
    <x v="1"/>
    <x v="4"/>
    <x v="3"/>
    <x v="0"/>
    <x v="32"/>
    <x v="0"/>
    <x v="0"/>
    <x v="0"/>
    <x v="0"/>
    <x v="0"/>
    <x v="0"/>
  </r>
  <r>
    <x v="625"/>
    <x v="0"/>
    <x v="0"/>
    <x v="0"/>
    <x v="0"/>
    <x v="12"/>
    <x v="0"/>
    <x v="4"/>
    <x v="1"/>
    <x v="4"/>
    <x v="1"/>
    <x v="1"/>
    <x v="1"/>
    <x v="0"/>
    <x v="9"/>
    <x v="0"/>
    <x v="0"/>
    <x v="0"/>
    <x v="0"/>
    <x v="0"/>
    <x v="0"/>
  </r>
  <r>
    <x v="626"/>
    <x v="0"/>
    <x v="0"/>
    <x v="1"/>
    <x v="1"/>
    <x v="12"/>
    <x v="0"/>
    <x v="2"/>
    <x v="3"/>
    <x v="3"/>
    <x v="0"/>
    <x v="4"/>
    <x v="1"/>
    <x v="1"/>
    <x v="9"/>
    <x v="0"/>
    <x v="0"/>
    <x v="0"/>
    <x v="0"/>
    <x v="0"/>
    <x v="0"/>
  </r>
  <r>
    <x v="627"/>
    <x v="1"/>
    <x v="1"/>
    <x v="1"/>
    <x v="1"/>
    <x v="12"/>
    <x v="0"/>
    <x v="3"/>
    <x v="3"/>
    <x v="3"/>
    <x v="1"/>
    <x v="1"/>
    <x v="4"/>
    <x v="1"/>
    <x v="9"/>
    <x v="0"/>
    <x v="0"/>
    <x v="1"/>
    <x v="0"/>
    <x v="0"/>
    <x v="0"/>
  </r>
  <r>
    <x v="628"/>
    <x v="1"/>
    <x v="1"/>
    <x v="1"/>
    <x v="1"/>
    <x v="12"/>
    <x v="0"/>
    <x v="3"/>
    <x v="0"/>
    <x v="4"/>
    <x v="1"/>
    <x v="3"/>
    <x v="3"/>
    <x v="0"/>
    <x v="9"/>
    <x v="0"/>
    <x v="0"/>
    <x v="1"/>
    <x v="0"/>
    <x v="0"/>
    <x v="0"/>
  </r>
  <r>
    <x v="629"/>
    <x v="1"/>
    <x v="1"/>
    <x v="1"/>
    <x v="1"/>
    <x v="12"/>
    <x v="0"/>
    <x v="3"/>
    <x v="0"/>
    <x v="4"/>
    <x v="0"/>
    <x v="3"/>
    <x v="1"/>
    <x v="0"/>
    <x v="9"/>
    <x v="0"/>
    <x v="0"/>
    <x v="0"/>
    <x v="0"/>
    <x v="0"/>
    <x v="0"/>
  </r>
  <r>
    <x v="630"/>
    <x v="1"/>
    <x v="1"/>
    <x v="1"/>
    <x v="1"/>
    <x v="12"/>
    <x v="0"/>
    <x v="4"/>
    <x v="1"/>
    <x v="4"/>
    <x v="0"/>
    <x v="1"/>
    <x v="1"/>
    <x v="0"/>
    <x v="9"/>
    <x v="0"/>
    <x v="0"/>
    <x v="0"/>
    <x v="0"/>
    <x v="0"/>
    <x v="0"/>
  </r>
  <r>
    <x v="631"/>
    <x v="0"/>
    <x v="0"/>
    <x v="0"/>
    <x v="0"/>
    <x v="12"/>
    <x v="0"/>
    <x v="4"/>
    <x v="1"/>
    <x v="4"/>
    <x v="1"/>
    <x v="1"/>
    <x v="1"/>
    <x v="0"/>
    <x v="5"/>
    <x v="0"/>
    <x v="0"/>
    <x v="0"/>
    <x v="0"/>
    <x v="0"/>
    <x v="0"/>
  </r>
  <r>
    <x v="632"/>
    <x v="1"/>
    <x v="1"/>
    <x v="0"/>
    <x v="0"/>
    <x v="12"/>
    <x v="0"/>
    <x v="4"/>
    <x v="1"/>
    <x v="4"/>
    <x v="1"/>
    <x v="1"/>
    <x v="1"/>
    <x v="0"/>
    <x v="5"/>
    <x v="0"/>
    <x v="0"/>
    <x v="0"/>
    <x v="0"/>
    <x v="0"/>
    <x v="0"/>
  </r>
  <r>
    <x v="633"/>
    <x v="1"/>
    <x v="1"/>
    <x v="0"/>
    <x v="0"/>
    <x v="12"/>
    <x v="0"/>
    <x v="4"/>
    <x v="1"/>
    <x v="4"/>
    <x v="0"/>
    <x v="1"/>
    <x v="1"/>
    <x v="0"/>
    <x v="5"/>
    <x v="0"/>
    <x v="0"/>
    <x v="0"/>
    <x v="0"/>
    <x v="0"/>
    <x v="0"/>
  </r>
  <r>
    <x v="634"/>
    <x v="0"/>
    <x v="0"/>
    <x v="1"/>
    <x v="1"/>
    <x v="12"/>
    <x v="0"/>
    <x v="4"/>
    <x v="1"/>
    <x v="4"/>
    <x v="1"/>
    <x v="1"/>
    <x v="1"/>
    <x v="0"/>
    <x v="5"/>
    <x v="0"/>
    <x v="0"/>
    <x v="0"/>
    <x v="0"/>
    <x v="0"/>
    <x v="0"/>
  </r>
  <r>
    <x v="635"/>
    <x v="0"/>
    <x v="0"/>
    <x v="1"/>
    <x v="1"/>
    <x v="12"/>
    <x v="0"/>
    <x v="4"/>
    <x v="1"/>
    <x v="4"/>
    <x v="1"/>
    <x v="1"/>
    <x v="1"/>
    <x v="0"/>
    <x v="5"/>
    <x v="0"/>
    <x v="0"/>
    <x v="0"/>
    <x v="0"/>
    <x v="0"/>
    <x v="0"/>
  </r>
  <r>
    <x v="636"/>
    <x v="0"/>
    <x v="0"/>
    <x v="1"/>
    <x v="1"/>
    <x v="12"/>
    <x v="0"/>
    <x v="4"/>
    <x v="1"/>
    <x v="4"/>
    <x v="1"/>
    <x v="1"/>
    <x v="1"/>
    <x v="0"/>
    <x v="5"/>
    <x v="0"/>
    <x v="0"/>
    <x v="0"/>
    <x v="0"/>
    <x v="0"/>
    <x v="0"/>
  </r>
  <r>
    <x v="637"/>
    <x v="0"/>
    <x v="0"/>
    <x v="0"/>
    <x v="0"/>
    <x v="12"/>
    <x v="0"/>
    <x v="4"/>
    <x v="3"/>
    <x v="4"/>
    <x v="1"/>
    <x v="1"/>
    <x v="1"/>
    <x v="0"/>
    <x v="10"/>
    <x v="0"/>
    <x v="0"/>
    <x v="0"/>
    <x v="0"/>
    <x v="0"/>
    <x v="0"/>
  </r>
  <r>
    <x v="638"/>
    <x v="0"/>
    <x v="0"/>
    <x v="0"/>
    <x v="0"/>
    <x v="12"/>
    <x v="0"/>
    <x v="4"/>
    <x v="3"/>
    <x v="4"/>
    <x v="1"/>
    <x v="1"/>
    <x v="1"/>
    <x v="0"/>
    <x v="10"/>
    <x v="0"/>
    <x v="0"/>
    <x v="0"/>
    <x v="0"/>
    <x v="0"/>
    <x v="0"/>
  </r>
  <r>
    <x v="639"/>
    <x v="0"/>
    <x v="0"/>
    <x v="0"/>
    <x v="0"/>
    <x v="12"/>
    <x v="0"/>
    <x v="4"/>
    <x v="3"/>
    <x v="4"/>
    <x v="1"/>
    <x v="1"/>
    <x v="1"/>
    <x v="0"/>
    <x v="10"/>
    <x v="0"/>
    <x v="0"/>
    <x v="0"/>
    <x v="0"/>
    <x v="0"/>
    <x v="0"/>
  </r>
  <r>
    <x v="640"/>
    <x v="1"/>
    <x v="1"/>
    <x v="0"/>
    <x v="0"/>
    <x v="12"/>
    <x v="0"/>
    <x v="4"/>
    <x v="1"/>
    <x v="4"/>
    <x v="1"/>
    <x v="1"/>
    <x v="1"/>
    <x v="0"/>
    <x v="10"/>
    <x v="0"/>
    <x v="0"/>
    <x v="0"/>
    <x v="0"/>
    <x v="0"/>
    <x v="0"/>
  </r>
  <r>
    <x v="641"/>
    <x v="1"/>
    <x v="1"/>
    <x v="0"/>
    <x v="0"/>
    <x v="12"/>
    <x v="0"/>
    <x v="4"/>
    <x v="3"/>
    <x v="4"/>
    <x v="0"/>
    <x v="1"/>
    <x v="1"/>
    <x v="0"/>
    <x v="10"/>
    <x v="0"/>
    <x v="0"/>
    <x v="0"/>
    <x v="0"/>
    <x v="0"/>
    <x v="0"/>
  </r>
  <r>
    <x v="642"/>
    <x v="1"/>
    <x v="1"/>
    <x v="0"/>
    <x v="0"/>
    <x v="12"/>
    <x v="0"/>
    <x v="4"/>
    <x v="3"/>
    <x v="4"/>
    <x v="0"/>
    <x v="1"/>
    <x v="1"/>
    <x v="0"/>
    <x v="10"/>
    <x v="0"/>
    <x v="0"/>
    <x v="0"/>
    <x v="0"/>
    <x v="0"/>
    <x v="0"/>
  </r>
  <r>
    <x v="643"/>
    <x v="0"/>
    <x v="0"/>
    <x v="1"/>
    <x v="1"/>
    <x v="12"/>
    <x v="0"/>
    <x v="4"/>
    <x v="3"/>
    <x v="4"/>
    <x v="1"/>
    <x v="1"/>
    <x v="1"/>
    <x v="0"/>
    <x v="10"/>
    <x v="0"/>
    <x v="0"/>
    <x v="0"/>
    <x v="0"/>
    <x v="0"/>
    <x v="0"/>
  </r>
  <r>
    <x v="644"/>
    <x v="0"/>
    <x v="0"/>
    <x v="1"/>
    <x v="1"/>
    <x v="12"/>
    <x v="0"/>
    <x v="4"/>
    <x v="3"/>
    <x v="4"/>
    <x v="0"/>
    <x v="1"/>
    <x v="1"/>
    <x v="0"/>
    <x v="10"/>
    <x v="0"/>
    <x v="0"/>
    <x v="0"/>
    <x v="0"/>
    <x v="0"/>
    <x v="0"/>
  </r>
  <r>
    <x v="645"/>
    <x v="1"/>
    <x v="1"/>
    <x v="1"/>
    <x v="1"/>
    <x v="12"/>
    <x v="0"/>
    <x v="4"/>
    <x v="1"/>
    <x v="4"/>
    <x v="0"/>
    <x v="1"/>
    <x v="1"/>
    <x v="0"/>
    <x v="10"/>
    <x v="0"/>
    <x v="0"/>
    <x v="0"/>
    <x v="0"/>
    <x v="0"/>
    <x v="0"/>
  </r>
  <r>
    <x v="646"/>
    <x v="0"/>
    <x v="0"/>
    <x v="0"/>
    <x v="0"/>
    <x v="12"/>
    <x v="0"/>
    <x v="4"/>
    <x v="3"/>
    <x v="4"/>
    <x v="1"/>
    <x v="1"/>
    <x v="1"/>
    <x v="0"/>
    <x v="25"/>
    <x v="0"/>
    <x v="0"/>
    <x v="0"/>
    <x v="0"/>
    <x v="0"/>
    <x v="0"/>
  </r>
  <r>
    <x v="647"/>
    <x v="0"/>
    <x v="0"/>
    <x v="1"/>
    <x v="1"/>
    <x v="12"/>
    <x v="0"/>
    <x v="4"/>
    <x v="3"/>
    <x v="4"/>
    <x v="1"/>
    <x v="1"/>
    <x v="1"/>
    <x v="0"/>
    <x v="25"/>
    <x v="0"/>
    <x v="0"/>
    <x v="1"/>
    <x v="0"/>
    <x v="0"/>
    <x v="0"/>
  </r>
  <r>
    <x v="648"/>
    <x v="1"/>
    <x v="1"/>
    <x v="1"/>
    <x v="1"/>
    <x v="12"/>
    <x v="0"/>
    <x v="4"/>
    <x v="3"/>
    <x v="4"/>
    <x v="1"/>
    <x v="1"/>
    <x v="1"/>
    <x v="0"/>
    <x v="25"/>
    <x v="0"/>
    <x v="0"/>
    <x v="0"/>
    <x v="0"/>
    <x v="0"/>
    <x v="0"/>
  </r>
  <r>
    <x v="649"/>
    <x v="1"/>
    <x v="1"/>
    <x v="1"/>
    <x v="1"/>
    <x v="12"/>
    <x v="0"/>
    <x v="4"/>
    <x v="3"/>
    <x v="0"/>
    <x v="0"/>
    <x v="1"/>
    <x v="1"/>
    <x v="0"/>
    <x v="25"/>
    <x v="0"/>
    <x v="0"/>
    <x v="0"/>
    <x v="0"/>
    <x v="0"/>
    <x v="0"/>
  </r>
  <r>
    <x v="650"/>
    <x v="0"/>
    <x v="0"/>
    <x v="0"/>
    <x v="0"/>
    <x v="12"/>
    <x v="0"/>
    <x v="4"/>
    <x v="3"/>
    <x v="0"/>
    <x v="0"/>
    <x v="1"/>
    <x v="1"/>
    <x v="0"/>
    <x v="11"/>
    <x v="0"/>
    <x v="0"/>
    <x v="0"/>
    <x v="0"/>
    <x v="0"/>
    <x v="0"/>
  </r>
  <r>
    <x v="651"/>
    <x v="0"/>
    <x v="0"/>
    <x v="1"/>
    <x v="1"/>
    <x v="12"/>
    <x v="0"/>
    <x v="4"/>
    <x v="3"/>
    <x v="0"/>
    <x v="1"/>
    <x v="1"/>
    <x v="1"/>
    <x v="0"/>
    <x v="11"/>
    <x v="0"/>
    <x v="0"/>
    <x v="0"/>
    <x v="0"/>
    <x v="0"/>
    <x v="0"/>
  </r>
  <r>
    <x v="652"/>
    <x v="1"/>
    <x v="1"/>
    <x v="1"/>
    <x v="1"/>
    <x v="12"/>
    <x v="0"/>
    <x v="4"/>
    <x v="3"/>
    <x v="0"/>
    <x v="0"/>
    <x v="1"/>
    <x v="1"/>
    <x v="0"/>
    <x v="11"/>
    <x v="0"/>
    <x v="0"/>
    <x v="0"/>
    <x v="0"/>
    <x v="0"/>
    <x v="0"/>
  </r>
  <r>
    <x v="653"/>
    <x v="0"/>
    <x v="0"/>
    <x v="0"/>
    <x v="0"/>
    <x v="12"/>
    <x v="0"/>
    <x v="2"/>
    <x v="3"/>
    <x v="3"/>
    <x v="1"/>
    <x v="1"/>
    <x v="1"/>
    <x v="0"/>
    <x v="12"/>
    <x v="0"/>
    <x v="0"/>
    <x v="1"/>
    <x v="0"/>
    <x v="0"/>
    <x v="0"/>
  </r>
  <r>
    <x v="654"/>
    <x v="0"/>
    <x v="0"/>
    <x v="0"/>
    <x v="0"/>
    <x v="12"/>
    <x v="0"/>
    <x v="2"/>
    <x v="3"/>
    <x v="3"/>
    <x v="1"/>
    <x v="1"/>
    <x v="1"/>
    <x v="0"/>
    <x v="12"/>
    <x v="0"/>
    <x v="0"/>
    <x v="1"/>
    <x v="0"/>
    <x v="0"/>
    <x v="0"/>
  </r>
  <r>
    <x v="655"/>
    <x v="0"/>
    <x v="0"/>
    <x v="0"/>
    <x v="0"/>
    <x v="12"/>
    <x v="0"/>
    <x v="2"/>
    <x v="3"/>
    <x v="3"/>
    <x v="1"/>
    <x v="1"/>
    <x v="1"/>
    <x v="0"/>
    <x v="13"/>
    <x v="0"/>
    <x v="0"/>
    <x v="1"/>
    <x v="0"/>
    <x v="0"/>
    <x v="0"/>
  </r>
  <r>
    <x v="656"/>
    <x v="0"/>
    <x v="0"/>
    <x v="0"/>
    <x v="0"/>
    <x v="12"/>
    <x v="0"/>
    <x v="2"/>
    <x v="3"/>
    <x v="3"/>
    <x v="1"/>
    <x v="1"/>
    <x v="1"/>
    <x v="0"/>
    <x v="13"/>
    <x v="0"/>
    <x v="0"/>
    <x v="1"/>
    <x v="0"/>
    <x v="0"/>
    <x v="0"/>
  </r>
  <r>
    <x v="657"/>
    <x v="0"/>
    <x v="0"/>
    <x v="0"/>
    <x v="0"/>
    <x v="12"/>
    <x v="0"/>
    <x v="2"/>
    <x v="3"/>
    <x v="3"/>
    <x v="1"/>
    <x v="1"/>
    <x v="1"/>
    <x v="0"/>
    <x v="13"/>
    <x v="0"/>
    <x v="0"/>
    <x v="0"/>
    <x v="0"/>
    <x v="0"/>
    <x v="0"/>
  </r>
  <r>
    <x v="658"/>
    <x v="1"/>
    <x v="1"/>
    <x v="0"/>
    <x v="0"/>
    <x v="12"/>
    <x v="0"/>
    <x v="4"/>
    <x v="3"/>
    <x v="0"/>
    <x v="1"/>
    <x v="4"/>
    <x v="4"/>
    <x v="1"/>
    <x v="13"/>
    <x v="0"/>
    <x v="0"/>
    <x v="0"/>
    <x v="0"/>
    <x v="0"/>
    <x v="0"/>
  </r>
  <r>
    <x v="659"/>
    <x v="0"/>
    <x v="0"/>
    <x v="1"/>
    <x v="1"/>
    <x v="12"/>
    <x v="0"/>
    <x v="2"/>
    <x v="3"/>
    <x v="3"/>
    <x v="1"/>
    <x v="1"/>
    <x v="1"/>
    <x v="0"/>
    <x v="13"/>
    <x v="0"/>
    <x v="0"/>
    <x v="0"/>
    <x v="0"/>
    <x v="0"/>
    <x v="0"/>
  </r>
  <r>
    <x v="660"/>
    <x v="0"/>
    <x v="0"/>
    <x v="1"/>
    <x v="1"/>
    <x v="12"/>
    <x v="0"/>
    <x v="4"/>
    <x v="3"/>
    <x v="0"/>
    <x v="0"/>
    <x v="4"/>
    <x v="1"/>
    <x v="1"/>
    <x v="13"/>
    <x v="0"/>
    <x v="0"/>
    <x v="1"/>
    <x v="0"/>
    <x v="0"/>
    <x v="0"/>
  </r>
  <r>
    <x v="661"/>
    <x v="0"/>
    <x v="0"/>
    <x v="0"/>
    <x v="0"/>
    <x v="12"/>
    <x v="0"/>
    <x v="0"/>
    <x v="2"/>
    <x v="3"/>
    <x v="1"/>
    <x v="3"/>
    <x v="4"/>
    <x v="1"/>
    <x v="26"/>
    <x v="0"/>
    <x v="0"/>
    <x v="1"/>
    <x v="0"/>
    <x v="0"/>
    <x v="0"/>
  </r>
  <r>
    <x v="662"/>
    <x v="0"/>
    <x v="0"/>
    <x v="0"/>
    <x v="0"/>
    <x v="12"/>
    <x v="0"/>
    <x v="2"/>
    <x v="3"/>
    <x v="3"/>
    <x v="1"/>
    <x v="4"/>
    <x v="1"/>
    <x v="0"/>
    <x v="26"/>
    <x v="0"/>
    <x v="0"/>
    <x v="0"/>
    <x v="0"/>
    <x v="0"/>
    <x v="0"/>
  </r>
  <r>
    <x v="663"/>
    <x v="0"/>
    <x v="0"/>
    <x v="0"/>
    <x v="0"/>
    <x v="12"/>
    <x v="0"/>
    <x v="2"/>
    <x v="3"/>
    <x v="3"/>
    <x v="1"/>
    <x v="1"/>
    <x v="1"/>
    <x v="0"/>
    <x v="26"/>
    <x v="0"/>
    <x v="0"/>
    <x v="0"/>
    <x v="0"/>
    <x v="0"/>
    <x v="0"/>
  </r>
  <r>
    <x v="664"/>
    <x v="0"/>
    <x v="0"/>
    <x v="1"/>
    <x v="1"/>
    <x v="12"/>
    <x v="0"/>
    <x v="2"/>
    <x v="3"/>
    <x v="3"/>
    <x v="1"/>
    <x v="4"/>
    <x v="1"/>
    <x v="0"/>
    <x v="26"/>
    <x v="0"/>
    <x v="0"/>
    <x v="0"/>
    <x v="0"/>
    <x v="0"/>
    <x v="0"/>
  </r>
  <r>
    <x v="665"/>
    <x v="0"/>
    <x v="0"/>
    <x v="1"/>
    <x v="1"/>
    <x v="12"/>
    <x v="0"/>
    <x v="2"/>
    <x v="3"/>
    <x v="3"/>
    <x v="1"/>
    <x v="1"/>
    <x v="1"/>
    <x v="0"/>
    <x v="26"/>
    <x v="0"/>
    <x v="0"/>
    <x v="0"/>
    <x v="0"/>
    <x v="0"/>
    <x v="0"/>
  </r>
  <r>
    <x v="666"/>
    <x v="0"/>
    <x v="0"/>
    <x v="1"/>
    <x v="1"/>
    <x v="12"/>
    <x v="0"/>
    <x v="2"/>
    <x v="3"/>
    <x v="3"/>
    <x v="0"/>
    <x v="1"/>
    <x v="1"/>
    <x v="0"/>
    <x v="26"/>
    <x v="0"/>
    <x v="0"/>
    <x v="0"/>
    <x v="0"/>
    <x v="0"/>
    <x v="0"/>
  </r>
  <r>
    <x v="667"/>
    <x v="0"/>
    <x v="0"/>
    <x v="1"/>
    <x v="1"/>
    <x v="12"/>
    <x v="0"/>
    <x v="0"/>
    <x v="2"/>
    <x v="3"/>
    <x v="1"/>
    <x v="3"/>
    <x v="1"/>
    <x v="1"/>
    <x v="6"/>
    <x v="0"/>
    <x v="0"/>
    <x v="0"/>
    <x v="0"/>
    <x v="0"/>
    <x v="0"/>
  </r>
  <r>
    <x v="668"/>
    <x v="0"/>
    <x v="0"/>
    <x v="1"/>
    <x v="1"/>
    <x v="12"/>
    <x v="0"/>
    <x v="0"/>
    <x v="2"/>
    <x v="3"/>
    <x v="1"/>
    <x v="3"/>
    <x v="4"/>
    <x v="1"/>
    <x v="6"/>
    <x v="0"/>
    <x v="0"/>
    <x v="0"/>
    <x v="0"/>
    <x v="0"/>
    <x v="0"/>
  </r>
  <r>
    <x v="669"/>
    <x v="0"/>
    <x v="0"/>
    <x v="1"/>
    <x v="1"/>
    <x v="12"/>
    <x v="0"/>
    <x v="2"/>
    <x v="3"/>
    <x v="3"/>
    <x v="1"/>
    <x v="4"/>
    <x v="1"/>
    <x v="0"/>
    <x v="6"/>
    <x v="0"/>
    <x v="0"/>
    <x v="0"/>
    <x v="0"/>
    <x v="0"/>
    <x v="0"/>
  </r>
  <r>
    <x v="670"/>
    <x v="1"/>
    <x v="1"/>
    <x v="1"/>
    <x v="1"/>
    <x v="12"/>
    <x v="0"/>
    <x v="4"/>
    <x v="3"/>
    <x v="0"/>
    <x v="0"/>
    <x v="4"/>
    <x v="4"/>
    <x v="1"/>
    <x v="14"/>
    <x v="0"/>
    <x v="0"/>
    <x v="1"/>
    <x v="0"/>
    <x v="0"/>
    <x v="0"/>
  </r>
  <r>
    <x v="671"/>
    <x v="0"/>
    <x v="0"/>
    <x v="1"/>
    <x v="1"/>
    <x v="12"/>
    <x v="0"/>
    <x v="0"/>
    <x v="2"/>
    <x v="3"/>
    <x v="1"/>
    <x v="3"/>
    <x v="4"/>
    <x v="1"/>
    <x v="27"/>
    <x v="0"/>
    <x v="0"/>
    <x v="1"/>
    <x v="0"/>
    <x v="0"/>
    <x v="0"/>
  </r>
  <r>
    <x v="672"/>
    <x v="1"/>
    <x v="1"/>
    <x v="0"/>
    <x v="0"/>
    <x v="12"/>
    <x v="0"/>
    <x v="3"/>
    <x v="0"/>
    <x v="4"/>
    <x v="0"/>
    <x v="4"/>
    <x v="3"/>
    <x v="1"/>
    <x v="4"/>
    <x v="0"/>
    <x v="0"/>
    <x v="0"/>
    <x v="0"/>
    <x v="0"/>
    <x v="0"/>
  </r>
  <r>
    <x v="673"/>
    <x v="0"/>
    <x v="0"/>
    <x v="1"/>
    <x v="1"/>
    <x v="12"/>
    <x v="0"/>
    <x v="3"/>
    <x v="0"/>
    <x v="4"/>
    <x v="1"/>
    <x v="4"/>
    <x v="1"/>
    <x v="1"/>
    <x v="4"/>
    <x v="0"/>
    <x v="0"/>
    <x v="1"/>
    <x v="0"/>
    <x v="0"/>
    <x v="0"/>
  </r>
  <r>
    <x v="674"/>
    <x v="1"/>
    <x v="1"/>
    <x v="1"/>
    <x v="1"/>
    <x v="12"/>
    <x v="0"/>
    <x v="3"/>
    <x v="0"/>
    <x v="4"/>
    <x v="0"/>
    <x v="4"/>
    <x v="3"/>
    <x v="1"/>
    <x v="4"/>
    <x v="0"/>
    <x v="0"/>
    <x v="0"/>
    <x v="0"/>
    <x v="0"/>
    <x v="0"/>
  </r>
  <r>
    <x v="675"/>
    <x v="0"/>
    <x v="0"/>
    <x v="0"/>
    <x v="0"/>
    <x v="12"/>
    <x v="0"/>
    <x v="2"/>
    <x v="0"/>
    <x v="4"/>
    <x v="1"/>
    <x v="4"/>
    <x v="3"/>
    <x v="1"/>
    <x v="0"/>
    <x v="0"/>
    <x v="0"/>
    <x v="0"/>
    <x v="0"/>
    <x v="0"/>
    <x v="0"/>
  </r>
  <r>
    <x v="676"/>
    <x v="0"/>
    <x v="0"/>
    <x v="0"/>
    <x v="0"/>
    <x v="12"/>
    <x v="0"/>
    <x v="3"/>
    <x v="0"/>
    <x v="4"/>
    <x v="1"/>
    <x v="4"/>
    <x v="1"/>
    <x v="1"/>
    <x v="0"/>
    <x v="0"/>
    <x v="0"/>
    <x v="1"/>
    <x v="0"/>
    <x v="0"/>
    <x v="0"/>
  </r>
  <r>
    <x v="677"/>
    <x v="0"/>
    <x v="0"/>
    <x v="1"/>
    <x v="1"/>
    <x v="12"/>
    <x v="0"/>
    <x v="2"/>
    <x v="0"/>
    <x v="4"/>
    <x v="1"/>
    <x v="4"/>
    <x v="3"/>
    <x v="1"/>
    <x v="0"/>
    <x v="0"/>
    <x v="0"/>
    <x v="0"/>
    <x v="0"/>
    <x v="0"/>
    <x v="0"/>
  </r>
  <r>
    <x v="678"/>
    <x v="0"/>
    <x v="0"/>
    <x v="0"/>
    <x v="0"/>
    <x v="12"/>
    <x v="0"/>
    <x v="2"/>
    <x v="0"/>
    <x v="4"/>
    <x v="1"/>
    <x v="4"/>
    <x v="3"/>
    <x v="1"/>
    <x v="36"/>
    <x v="0"/>
    <x v="0"/>
    <x v="0"/>
    <x v="0"/>
    <x v="0"/>
    <x v="0"/>
  </r>
  <r>
    <x v="679"/>
    <x v="0"/>
    <x v="0"/>
    <x v="0"/>
    <x v="0"/>
    <x v="12"/>
    <x v="0"/>
    <x v="2"/>
    <x v="0"/>
    <x v="4"/>
    <x v="1"/>
    <x v="4"/>
    <x v="3"/>
    <x v="1"/>
    <x v="36"/>
    <x v="0"/>
    <x v="0"/>
    <x v="0"/>
    <x v="0"/>
    <x v="0"/>
    <x v="0"/>
  </r>
  <r>
    <x v="680"/>
    <x v="0"/>
    <x v="0"/>
    <x v="0"/>
    <x v="0"/>
    <x v="12"/>
    <x v="0"/>
    <x v="2"/>
    <x v="0"/>
    <x v="4"/>
    <x v="1"/>
    <x v="4"/>
    <x v="3"/>
    <x v="1"/>
    <x v="7"/>
    <x v="0"/>
    <x v="1"/>
    <x v="0"/>
    <x v="0"/>
    <x v="0"/>
    <x v="0"/>
  </r>
  <r>
    <x v="681"/>
    <x v="0"/>
    <x v="0"/>
    <x v="0"/>
    <x v="0"/>
    <x v="12"/>
    <x v="0"/>
    <x v="2"/>
    <x v="0"/>
    <x v="4"/>
    <x v="1"/>
    <x v="4"/>
    <x v="3"/>
    <x v="1"/>
    <x v="7"/>
    <x v="0"/>
    <x v="1"/>
    <x v="0"/>
    <x v="0"/>
    <x v="0"/>
    <x v="0"/>
  </r>
  <r>
    <x v="682"/>
    <x v="1"/>
    <x v="1"/>
    <x v="0"/>
    <x v="0"/>
    <x v="12"/>
    <x v="0"/>
    <x v="3"/>
    <x v="0"/>
    <x v="3"/>
    <x v="1"/>
    <x v="3"/>
    <x v="0"/>
    <x v="2"/>
    <x v="16"/>
    <x v="0"/>
    <x v="1"/>
    <x v="0"/>
    <x v="0"/>
    <x v="0"/>
    <x v="0"/>
  </r>
  <r>
    <x v="683"/>
    <x v="0"/>
    <x v="0"/>
    <x v="1"/>
    <x v="1"/>
    <x v="12"/>
    <x v="0"/>
    <x v="3"/>
    <x v="3"/>
    <x v="1"/>
    <x v="1"/>
    <x v="4"/>
    <x v="1"/>
    <x v="2"/>
    <x v="16"/>
    <x v="0"/>
    <x v="1"/>
    <x v="0"/>
    <x v="0"/>
    <x v="0"/>
    <x v="0"/>
  </r>
  <r>
    <x v="684"/>
    <x v="1"/>
    <x v="1"/>
    <x v="1"/>
    <x v="1"/>
    <x v="12"/>
    <x v="0"/>
    <x v="5"/>
    <x v="4"/>
    <x v="4"/>
    <x v="0"/>
    <x v="3"/>
    <x v="0"/>
    <x v="2"/>
    <x v="16"/>
    <x v="0"/>
    <x v="1"/>
    <x v="0"/>
    <x v="0"/>
    <x v="0"/>
    <x v="0"/>
  </r>
  <r>
    <x v="685"/>
    <x v="1"/>
    <x v="1"/>
    <x v="1"/>
    <x v="1"/>
    <x v="12"/>
    <x v="0"/>
    <x v="3"/>
    <x v="0"/>
    <x v="3"/>
    <x v="0"/>
    <x v="3"/>
    <x v="3"/>
    <x v="2"/>
    <x v="16"/>
    <x v="0"/>
    <x v="1"/>
    <x v="1"/>
    <x v="0"/>
    <x v="0"/>
    <x v="0"/>
  </r>
  <r>
    <x v="686"/>
    <x v="1"/>
    <x v="1"/>
    <x v="1"/>
    <x v="1"/>
    <x v="12"/>
    <x v="0"/>
    <x v="3"/>
    <x v="3"/>
    <x v="1"/>
    <x v="0"/>
    <x v="4"/>
    <x v="0"/>
    <x v="2"/>
    <x v="16"/>
    <x v="0"/>
    <x v="1"/>
    <x v="0"/>
    <x v="0"/>
    <x v="0"/>
    <x v="0"/>
  </r>
  <r>
    <x v="687"/>
    <x v="1"/>
    <x v="1"/>
    <x v="0"/>
    <x v="0"/>
    <x v="12"/>
    <x v="0"/>
    <x v="3"/>
    <x v="3"/>
    <x v="1"/>
    <x v="0"/>
    <x v="4"/>
    <x v="0"/>
    <x v="2"/>
    <x v="31"/>
    <x v="0"/>
    <x v="1"/>
    <x v="0"/>
    <x v="0"/>
    <x v="0"/>
    <x v="0"/>
  </r>
  <r>
    <x v="688"/>
    <x v="1"/>
    <x v="1"/>
    <x v="0"/>
    <x v="0"/>
    <x v="12"/>
    <x v="0"/>
    <x v="3"/>
    <x v="0"/>
    <x v="3"/>
    <x v="0"/>
    <x v="3"/>
    <x v="3"/>
    <x v="2"/>
    <x v="31"/>
    <x v="0"/>
    <x v="1"/>
    <x v="0"/>
    <x v="0"/>
    <x v="0"/>
    <x v="0"/>
  </r>
  <r>
    <x v="689"/>
    <x v="0"/>
    <x v="0"/>
    <x v="0"/>
    <x v="0"/>
    <x v="12"/>
    <x v="0"/>
    <x v="5"/>
    <x v="0"/>
    <x v="0"/>
    <x v="0"/>
    <x v="3"/>
    <x v="3"/>
    <x v="1"/>
    <x v="17"/>
    <x v="0"/>
    <x v="1"/>
    <x v="0"/>
    <x v="0"/>
    <x v="0"/>
    <x v="0"/>
  </r>
  <r>
    <x v="690"/>
    <x v="0"/>
    <x v="0"/>
    <x v="0"/>
    <x v="0"/>
    <x v="12"/>
    <x v="0"/>
    <x v="5"/>
    <x v="0"/>
    <x v="0"/>
    <x v="1"/>
    <x v="3"/>
    <x v="0"/>
    <x v="1"/>
    <x v="17"/>
    <x v="0"/>
    <x v="1"/>
    <x v="1"/>
    <x v="0"/>
    <x v="0"/>
    <x v="0"/>
  </r>
  <r>
    <x v="691"/>
    <x v="0"/>
    <x v="0"/>
    <x v="1"/>
    <x v="1"/>
    <x v="12"/>
    <x v="0"/>
    <x v="5"/>
    <x v="0"/>
    <x v="0"/>
    <x v="0"/>
    <x v="3"/>
    <x v="0"/>
    <x v="1"/>
    <x v="17"/>
    <x v="0"/>
    <x v="1"/>
    <x v="0"/>
    <x v="0"/>
    <x v="0"/>
    <x v="0"/>
  </r>
  <r>
    <x v="692"/>
    <x v="0"/>
    <x v="0"/>
    <x v="1"/>
    <x v="1"/>
    <x v="12"/>
    <x v="0"/>
    <x v="3"/>
    <x v="4"/>
    <x v="3"/>
    <x v="1"/>
    <x v="3"/>
    <x v="4"/>
    <x v="1"/>
    <x v="1"/>
    <x v="0"/>
    <x v="1"/>
    <x v="1"/>
    <x v="0"/>
    <x v="0"/>
    <x v="0"/>
  </r>
  <r>
    <x v="693"/>
    <x v="1"/>
    <x v="1"/>
    <x v="0"/>
    <x v="0"/>
    <x v="12"/>
    <x v="0"/>
    <x v="3"/>
    <x v="2"/>
    <x v="0"/>
    <x v="1"/>
    <x v="3"/>
    <x v="2"/>
    <x v="1"/>
    <x v="40"/>
    <x v="0"/>
    <x v="1"/>
    <x v="1"/>
    <x v="0"/>
    <x v="0"/>
    <x v="0"/>
  </r>
  <r>
    <x v="694"/>
    <x v="1"/>
    <x v="1"/>
    <x v="1"/>
    <x v="1"/>
    <x v="12"/>
    <x v="0"/>
    <x v="3"/>
    <x v="2"/>
    <x v="0"/>
    <x v="0"/>
    <x v="4"/>
    <x v="4"/>
    <x v="1"/>
    <x v="18"/>
    <x v="0"/>
    <x v="1"/>
    <x v="0"/>
    <x v="0"/>
    <x v="0"/>
    <x v="0"/>
  </r>
  <r>
    <x v="695"/>
    <x v="0"/>
    <x v="0"/>
    <x v="0"/>
    <x v="0"/>
    <x v="12"/>
    <x v="0"/>
    <x v="0"/>
    <x v="2"/>
    <x v="0"/>
    <x v="1"/>
    <x v="3"/>
    <x v="0"/>
    <x v="1"/>
    <x v="19"/>
    <x v="0"/>
    <x v="1"/>
    <x v="0"/>
    <x v="0"/>
    <x v="0"/>
    <x v="0"/>
  </r>
  <r>
    <x v="696"/>
    <x v="0"/>
    <x v="0"/>
    <x v="0"/>
    <x v="0"/>
    <x v="12"/>
    <x v="0"/>
    <x v="3"/>
    <x v="2"/>
    <x v="0"/>
    <x v="0"/>
    <x v="3"/>
    <x v="4"/>
    <x v="1"/>
    <x v="19"/>
    <x v="0"/>
    <x v="1"/>
    <x v="1"/>
    <x v="0"/>
    <x v="0"/>
    <x v="0"/>
  </r>
  <r>
    <x v="697"/>
    <x v="0"/>
    <x v="0"/>
    <x v="0"/>
    <x v="0"/>
    <x v="12"/>
    <x v="0"/>
    <x v="1"/>
    <x v="2"/>
    <x v="0"/>
    <x v="0"/>
    <x v="3"/>
    <x v="4"/>
    <x v="1"/>
    <x v="41"/>
    <x v="0"/>
    <x v="1"/>
    <x v="1"/>
    <x v="0"/>
    <x v="0"/>
    <x v="0"/>
  </r>
  <r>
    <x v="698"/>
    <x v="0"/>
    <x v="0"/>
    <x v="0"/>
    <x v="0"/>
    <x v="12"/>
    <x v="0"/>
    <x v="1"/>
    <x v="2"/>
    <x v="0"/>
    <x v="1"/>
    <x v="3"/>
    <x v="2"/>
    <x v="1"/>
    <x v="41"/>
    <x v="0"/>
    <x v="1"/>
    <x v="1"/>
    <x v="0"/>
    <x v="0"/>
    <x v="0"/>
  </r>
  <r>
    <x v="699"/>
    <x v="1"/>
    <x v="1"/>
    <x v="0"/>
    <x v="0"/>
    <x v="12"/>
    <x v="0"/>
    <x v="1"/>
    <x v="2"/>
    <x v="0"/>
    <x v="0"/>
    <x v="0"/>
    <x v="4"/>
    <x v="1"/>
    <x v="41"/>
    <x v="0"/>
    <x v="1"/>
    <x v="0"/>
    <x v="0"/>
    <x v="0"/>
    <x v="0"/>
  </r>
  <r>
    <x v="700"/>
    <x v="1"/>
    <x v="1"/>
    <x v="1"/>
    <x v="1"/>
    <x v="12"/>
    <x v="0"/>
    <x v="1"/>
    <x v="2"/>
    <x v="0"/>
    <x v="1"/>
    <x v="2"/>
    <x v="2"/>
    <x v="1"/>
    <x v="41"/>
    <x v="0"/>
    <x v="1"/>
    <x v="0"/>
    <x v="0"/>
    <x v="0"/>
    <x v="0"/>
  </r>
  <r>
    <x v="701"/>
    <x v="0"/>
    <x v="0"/>
    <x v="0"/>
    <x v="0"/>
    <x v="12"/>
    <x v="0"/>
    <x v="1"/>
    <x v="2"/>
    <x v="0"/>
    <x v="0"/>
    <x v="3"/>
    <x v="2"/>
    <x v="1"/>
    <x v="20"/>
    <x v="0"/>
    <x v="1"/>
    <x v="1"/>
    <x v="0"/>
    <x v="0"/>
    <x v="0"/>
  </r>
  <r>
    <x v="702"/>
    <x v="0"/>
    <x v="0"/>
    <x v="0"/>
    <x v="0"/>
    <x v="12"/>
    <x v="0"/>
    <x v="0"/>
    <x v="2"/>
    <x v="0"/>
    <x v="1"/>
    <x v="3"/>
    <x v="2"/>
    <x v="1"/>
    <x v="20"/>
    <x v="0"/>
    <x v="1"/>
    <x v="1"/>
    <x v="0"/>
    <x v="0"/>
    <x v="0"/>
  </r>
  <r>
    <x v="703"/>
    <x v="0"/>
    <x v="0"/>
    <x v="1"/>
    <x v="1"/>
    <x v="12"/>
    <x v="0"/>
    <x v="0"/>
    <x v="2"/>
    <x v="0"/>
    <x v="0"/>
    <x v="3"/>
    <x v="2"/>
    <x v="1"/>
    <x v="20"/>
    <x v="0"/>
    <x v="1"/>
    <x v="0"/>
    <x v="0"/>
    <x v="0"/>
    <x v="0"/>
  </r>
  <r>
    <x v="704"/>
    <x v="1"/>
    <x v="1"/>
    <x v="1"/>
    <x v="1"/>
    <x v="12"/>
    <x v="0"/>
    <x v="0"/>
    <x v="2"/>
    <x v="0"/>
    <x v="1"/>
    <x v="3"/>
    <x v="2"/>
    <x v="1"/>
    <x v="29"/>
    <x v="0"/>
    <x v="1"/>
    <x v="0"/>
    <x v="0"/>
    <x v="0"/>
    <x v="0"/>
  </r>
  <r>
    <x v="705"/>
    <x v="1"/>
    <x v="1"/>
    <x v="1"/>
    <x v="1"/>
    <x v="12"/>
    <x v="0"/>
    <x v="3"/>
    <x v="3"/>
    <x v="1"/>
    <x v="1"/>
    <x v="3"/>
    <x v="0"/>
    <x v="2"/>
    <x v="37"/>
    <x v="0"/>
    <x v="1"/>
    <x v="0"/>
    <x v="0"/>
    <x v="0"/>
    <x v="0"/>
  </r>
  <r>
    <x v="706"/>
    <x v="0"/>
    <x v="0"/>
    <x v="1"/>
    <x v="1"/>
    <x v="12"/>
    <x v="0"/>
    <x v="0"/>
    <x v="2"/>
    <x v="0"/>
    <x v="1"/>
    <x v="3"/>
    <x v="2"/>
    <x v="1"/>
    <x v="30"/>
    <x v="0"/>
    <x v="1"/>
    <x v="1"/>
    <x v="0"/>
    <x v="0"/>
    <x v="0"/>
  </r>
  <r>
    <x v="707"/>
    <x v="1"/>
    <x v="1"/>
    <x v="0"/>
    <x v="0"/>
    <x v="12"/>
    <x v="0"/>
    <x v="3"/>
    <x v="3"/>
    <x v="1"/>
    <x v="1"/>
    <x v="3"/>
    <x v="0"/>
    <x v="2"/>
    <x v="33"/>
    <x v="0"/>
    <x v="1"/>
    <x v="0"/>
    <x v="0"/>
    <x v="0"/>
    <x v="0"/>
  </r>
  <r>
    <x v="708"/>
    <x v="0"/>
    <x v="0"/>
    <x v="1"/>
    <x v="1"/>
    <x v="12"/>
    <x v="0"/>
    <x v="3"/>
    <x v="3"/>
    <x v="1"/>
    <x v="1"/>
    <x v="3"/>
    <x v="1"/>
    <x v="2"/>
    <x v="33"/>
    <x v="0"/>
    <x v="1"/>
    <x v="1"/>
    <x v="0"/>
    <x v="0"/>
    <x v="0"/>
  </r>
  <r>
    <x v="709"/>
    <x v="1"/>
    <x v="1"/>
    <x v="1"/>
    <x v="1"/>
    <x v="12"/>
    <x v="0"/>
    <x v="3"/>
    <x v="3"/>
    <x v="1"/>
    <x v="1"/>
    <x v="3"/>
    <x v="0"/>
    <x v="2"/>
    <x v="33"/>
    <x v="0"/>
    <x v="1"/>
    <x v="0"/>
    <x v="0"/>
    <x v="0"/>
    <x v="0"/>
  </r>
  <r>
    <x v="710"/>
    <x v="0"/>
    <x v="0"/>
    <x v="0"/>
    <x v="0"/>
    <x v="12"/>
    <x v="0"/>
    <x v="3"/>
    <x v="3"/>
    <x v="1"/>
    <x v="1"/>
    <x v="3"/>
    <x v="0"/>
    <x v="2"/>
    <x v="2"/>
    <x v="0"/>
    <x v="1"/>
    <x v="0"/>
    <x v="0"/>
    <x v="0"/>
    <x v="0"/>
  </r>
  <r>
    <x v="711"/>
    <x v="0"/>
    <x v="0"/>
    <x v="0"/>
    <x v="0"/>
    <x v="12"/>
    <x v="0"/>
    <x v="3"/>
    <x v="3"/>
    <x v="1"/>
    <x v="1"/>
    <x v="3"/>
    <x v="1"/>
    <x v="2"/>
    <x v="2"/>
    <x v="0"/>
    <x v="1"/>
    <x v="0"/>
    <x v="0"/>
    <x v="0"/>
    <x v="0"/>
  </r>
  <r>
    <x v="712"/>
    <x v="1"/>
    <x v="1"/>
    <x v="1"/>
    <x v="1"/>
    <x v="12"/>
    <x v="0"/>
    <x v="3"/>
    <x v="3"/>
    <x v="1"/>
    <x v="1"/>
    <x v="3"/>
    <x v="0"/>
    <x v="2"/>
    <x v="2"/>
    <x v="0"/>
    <x v="1"/>
    <x v="0"/>
    <x v="0"/>
    <x v="0"/>
    <x v="0"/>
  </r>
  <r>
    <x v="713"/>
    <x v="0"/>
    <x v="0"/>
    <x v="1"/>
    <x v="1"/>
    <x v="12"/>
    <x v="0"/>
    <x v="3"/>
    <x v="3"/>
    <x v="1"/>
    <x v="1"/>
    <x v="3"/>
    <x v="1"/>
    <x v="2"/>
    <x v="21"/>
    <x v="0"/>
    <x v="1"/>
    <x v="1"/>
    <x v="0"/>
    <x v="0"/>
    <x v="0"/>
  </r>
  <r>
    <x v="714"/>
    <x v="0"/>
    <x v="0"/>
    <x v="0"/>
    <x v="0"/>
    <x v="12"/>
    <x v="0"/>
    <x v="0"/>
    <x v="2"/>
    <x v="0"/>
    <x v="1"/>
    <x v="3"/>
    <x v="0"/>
    <x v="1"/>
    <x v="22"/>
    <x v="0"/>
    <x v="1"/>
    <x v="1"/>
    <x v="0"/>
    <x v="0"/>
    <x v="0"/>
  </r>
  <r>
    <x v="715"/>
    <x v="0"/>
    <x v="0"/>
    <x v="1"/>
    <x v="1"/>
    <x v="12"/>
    <x v="0"/>
    <x v="5"/>
    <x v="0"/>
    <x v="0"/>
    <x v="0"/>
    <x v="3"/>
    <x v="0"/>
    <x v="1"/>
    <x v="34"/>
    <x v="0"/>
    <x v="1"/>
    <x v="0"/>
    <x v="0"/>
    <x v="0"/>
    <x v="0"/>
  </r>
  <r>
    <x v="716"/>
    <x v="0"/>
    <x v="0"/>
    <x v="0"/>
    <x v="0"/>
    <x v="12"/>
    <x v="0"/>
    <x v="2"/>
    <x v="3"/>
    <x v="4"/>
    <x v="1"/>
    <x v="1"/>
    <x v="1"/>
    <x v="0"/>
    <x v="51"/>
    <x v="0"/>
    <x v="1"/>
    <x v="1"/>
    <x v="0"/>
    <x v="0"/>
    <x v="0"/>
  </r>
  <r>
    <x v="717"/>
    <x v="0"/>
    <x v="0"/>
    <x v="0"/>
    <x v="0"/>
    <x v="12"/>
    <x v="0"/>
    <x v="2"/>
    <x v="3"/>
    <x v="3"/>
    <x v="1"/>
    <x v="4"/>
    <x v="1"/>
    <x v="0"/>
    <x v="52"/>
    <x v="0"/>
    <x v="1"/>
    <x v="1"/>
    <x v="0"/>
    <x v="0"/>
    <x v="0"/>
  </r>
  <r>
    <x v="718"/>
    <x v="1"/>
    <x v="1"/>
    <x v="0"/>
    <x v="0"/>
    <x v="13"/>
    <x v="0"/>
    <x v="4"/>
    <x v="2"/>
    <x v="3"/>
    <x v="0"/>
    <x v="3"/>
    <x v="1"/>
    <x v="1"/>
    <x v="48"/>
    <x v="0"/>
    <x v="2"/>
    <x v="0"/>
    <x v="0"/>
    <x v="0"/>
    <x v="0"/>
  </r>
  <r>
    <x v="719"/>
    <x v="1"/>
    <x v="1"/>
    <x v="0"/>
    <x v="0"/>
    <x v="13"/>
    <x v="0"/>
    <x v="4"/>
    <x v="2"/>
    <x v="3"/>
    <x v="0"/>
    <x v="3"/>
    <x v="0"/>
    <x v="1"/>
    <x v="49"/>
    <x v="0"/>
    <x v="2"/>
    <x v="1"/>
    <x v="0"/>
    <x v="0"/>
    <x v="0"/>
  </r>
  <r>
    <x v="720"/>
    <x v="1"/>
    <x v="1"/>
    <x v="0"/>
    <x v="0"/>
    <x v="13"/>
    <x v="0"/>
    <x v="4"/>
    <x v="0"/>
    <x v="3"/>
    <x v="1"/>
    <x v="4"/>
    <x v="0"/>
    <x v="1"/>
    <x v="49"/>
    <x v="0"/>
    <x v="2"/>
    <x v="1"/>
    <x v="0"/>
    <x v="0"/>
    <x v="0"/>
  </r>
  <r>
    <x v="721"/>
    <x v="1"/>
    <x v="1"/>
    <x v="0"/>
    <x v="0"/>
    <x v="13"/>
    <x v="0"/>
    <x v="5"/>
    <x v="0"/>
    <x v="4"/>
    <x v="0"/>
    <x v="4"/>
    <x v="1"/>
    <x v="0"/>
    <x v="49"/>
    <x v="0"/>
    <x v="2"/>
    <x v="1"/>
    <x v="0"/>
    <x v="0"/>
    <x v="0"/>
  </r>
  <r>
    <x v="722"/>
    <x v="0"/>
    <x v="0"/>
    <x v="1"/>
    <x v="1"/>
    <x v="13"/>
    <x v="0"/>
    <x v="4"/>
    <x v="2"/>
    <x v="3"/>
    <x v="1"/>
    <x v="3"/>
    <x v="0"/>
    <x v="1"/>
    <x v="49"/>
    <x v="0"/>
    <x v="2"/>
    <x v="1"/>
    <x v="0"/>
    <x v="0"/>
    <x v="0"/>
  </r>
  <r>
    <x v="723"/>
    <x v="1"/>
    <x v="1"/>
    <x v="1"/>
    <x v="1"/>
    <x v="13"/>
    <x v="0"/>
    <x v="4"/>
    <x v="4"/>
    <x v="4"/>
    <x v="0"/>
    <x v="3"/>
    <x v="1"/>
    <x v="1"/>
    <x v="49"/>
    <x v="0"/>
    <x v="2"/>
    <x v="1"/>
    <x v="0"/>
    <x v="0"/>
    <x v="0"/>
  </r>
  <r>
    <x v="724"/>
    <x v="1"/>
    <x v="1"/>
    <x v="1"/>
    <x v="1"/>
    <x v="13"/>
    <x v="0"/>
    <x v="4"/>
    <x v="2"/>
    <x v="3"/>
    <x v="1"/>
    <x v="3"/>
    <x v="0"/>
    <x v="1"/>
    <x v="49"/>
    <x v="0"/>
    <x v="2"/>
    <x v="1"/>
    <x v="0"/>
    <x v="0"/>
    <x v="0"/>
  </r>
  <r>
    <x v="725"/>
    <x v="1"/>
    <x v="1"/>
    <x v="0"/>
    <x v="0"/>
    <x v="13"/>
    <x v="0"/>
    <x v="5"/>
    <x v="0"/>
    <x v="4"/>
    <x v="1"/>
    <x v="3"/>
    <x v="1"/>
    <x v="0"/>
    <x v="45"/>
    <x v="0"/>
    <x v="2"/>
    <x v="1"/>
    <x v="0"/>
    <x v="0"/>
    <x v="0"/>
  </r>
  <r>
    <x v="726"/>
    <x v="1"/>
    <x v="1"/>
    <x v="0"/>
    <x v="0"/>
    <x v="13"/>
    <x v="0"/>
    <x v="5"/>
    <x v="0"/>
    <x v="4"/>
    <x v="0"/>
    <x v="3"/>
    <x v="1"/>
    <x v="0"/>
    <x v="45"/>
    <x v="0"/>
    <x v="2"/>
    <x v="0"/>
    <x v="0"/>
    <x v="0"/>
    <x v="0"/>
  </r>
  <r>
    <x v="727"/>
    <x v="1"/>
    <x v="1"/>
    <x v="0"/>
    <x v="0"/>
    <x v="13"/>
    <x v="0"/>
    <x v="4"/>
    <x v="4"/>
    <x v="4"/>
    <x v="1"/>
    <x v="3"/>
    <x v="0"/>
    <x v="1"/>
    <x v="45"/>
    <x v="0"/>
    <x v="2"/>
    <x v="1"/>
    <x v="0"/>
    <x v="0"/>
    <x v="0"/>
  </r>
  <r>
    <x v="728"/>
    <x v="1"/>
    <x v="1"/>
    <x v="1"/>
    <x v="1"/>
    <x v="13"/>
    <x v="0"/>
    <x v="4"/>
    <x v="0"/>
    <x v="4"/>
    <x v="0"/>
    <x v="4"/>
    <x v="3"/>
    <x v="0"/>
    <x v="45"/>
    <x v="0"/>
    <x v="2"/>
    <x v="1"/>
    <x v="0"/>
    <x v="0"/>
    <x v="0"/>
  </r>
  <r>
    <x v="729"/>
    <x v="1"/>
    <x v="1"/>
    <x v="1"/>
    <x v="1"/>
    <x v="13"/>
    <x v="0"/>
    <x v="4"/>
    <x v="0"/>
    <x v="3"/>
    <x v="1"/>
    <x v="4"/>
    <x v="0"/>
    <x v="1"/>
    <x v="45"/>
    <x v="0"/>
    <x v="2"/>
    <x v="1"/>
    <x v="0"/>
    <x v="0"/>
    <x v="0"/>
  </r>
  <r>
    <x v="730"/>
    <x v="1"/>
    <x v="1"/>
    <x v="1"/>
    <x v="1"/>
    <x v="13"/>
    <x v="0"/>
    <x v="4"/>
    <x v="4"/>
    <x v="4"/>
    <x v="0"/>
    <x v="3"/>
    <x v="0"/>
    <x v="1"/>
    <x v="45"/>
    <x v="0"/>
    <x v="2"/>
    <x v="1"/>
    <x v="0"/>
    <x v="0"/>
    <x v="0"/>
  </r>
  <r>
    <x v="731"/>
    <x v="0"/>
    <x v="0"/>
    <x v="0"/>
    <x v="0"/>
    <x v="13"/>
    <x v="0"/>
    <x v="4"/>
    <x v="4"/>
    <x v="4"/>
    <x v="0"/>
    <x v="3"/>
    <x v="1"/>
    <x v="1"/>
    <x v="50"/>
    <x v="0"/>
    <x v="2"/>
    <x v="1"/>
    <x v="0"/>
    <x v="0"/>
    <x v="0"/>
  </r>
  <r>
    <x v="732"/>
    <x v="1"/>
    <x v="1"/>
    <x v="0"/>
    <x v="0"/>
    <x v="13"/>
    <x v="0"/>
    <x v="4"/>
    <x v="0"/>
    <x v="3"/>
    <x v="1"/>
    <x v="4"/>
    <x v="0"/>
    <x v="1"/>
    <x v="50"/>
    <x v="0"/>
    <x v="2"/>
    <x v="1"/>
    <x v="0"/>
    <x v="0"/>
    <x v="0"/>
  </r>
  <r>
    <x v="733"/>
    <x v="1"/>
    <x v="1"/>
    <x v="0"/>
    <x v="0"/>
    <x v="13"/>
    <x v="0"/>
    <x v="4"/>
    <x v="0"/>
    <x v="4"/>
    <x v="0"/>
    <x v="4"/>
    <x v="1"/>
    <x v="0"/>
    <x v="50"/>
    <x v="0"/>
    <x v="2"/>
    <x v="1"/>
    <x v="0"/>
    <x v="0"/>
    <x v="0"/>
  </r>
  <r>
    <x v="734"/>
    <x v="1"/>
    <x v="1"/>
    <x v="0"/>
    <x v="0"/>
    <x v="13"/>
    <x v="0"/>
    <x v="4"/>
    <x v="0"/>
    <x v="3"/>
    <x v="1"/>
    <x v="4"/>
    <x v="0"/>
    <x v="1"/>
    <x v="50"/>
    <x v="0"/>
    <x v="2"/>
    <x v="1"/>
    <x v="0"/>
    <x v="0"/>
    <x v="0"/>
  </r>
  <r>
    <x v="735"/>
    <x v="1"/>
    <x v="1"/>
    <x v="0"/>
    <x v="0"/>
    <x v="13"/>
    <x v="0"/>
    <x v="5"/>
    <x v="0"/>
    <x v="4"/>
    <x v="1"/>
    <x v="3"/>
    <x v="1"/>
    <x v="0"/>
    <x v="50"/>
    <x v="0"/>
    <x v="2"/>
    <x v="0"/>
    <x v="0"/>
    <x v="0"/>
    <x v="0"/>
  </r>
  <r>
    <x v="736"/>
    <x v="0"/>
    <x v="0"/>
    <x v="1"/>
    <x v="1"/>
    <x v="13"/>
    <x v="0"/>
    <x v="4"/>
    <x v="4"/>
    <x v="4"/>
    <x v="0"/>
    <x v="3"/>
    <x v="1"/>
    <x v="1"/>
    <x v="50"/>
    <x v="0"/>
    <x v="2"/>
    <x v="1"/>
    <x v="0"/>
    <x v="0"/>
    <x v="0"/>
  </r>
  <r>
    <x v="737"/>
    <x v="1"/>
    <x v="1"/>
    <x v="1"/>
    <x v="1"/>
    <x v="13"/>
    <x v="0"/>
    <x v="4"/>
    <x v="4"/>
    <x v="4"/>
    <x v="1"/>
    <x v="3"/>
    <x v="0"/>
    <x v="1"/>
    <x v="50"/>
    <x v="0"/>
    <x v="2"/>
    <x v="1"/>
    <x v="0"/>
    <x v="0"/>
    <x v="0"/>
  </r>
  <r>
    <x v="738"/>
    <x v="1"/>
    <x v="1"/>
    <x v="1"/>
    <x v="1"/>
    <x v="13"/>
    <x v="0"/>
    <x v="4"/>
    <x v="2"/>
    <x v="2"/>
    <x v="0"/>
    <x v="4"/>
    <x v="3"/>
    <x v="0"/>
    <x v="50"/>
    <x v="0"/>
    <x v="2"/>
    <x v="1"/>
    <x v="0"/>
    <x v="0"/>
    <x v="0"/>
  </r>
  <r>
    <x v="739"/>
    <x v="1"/>
    <x v="1"/>
    <x v="1"/>
    <x v="1"/>
    <x v="13"/>
    <x v="0"/>
    <x v="4"/>
    <x v="0"/>
    <x v="4"/>
    <x v="0"/>
    <x v="4"/>
    <x v="4"/>
    <x v="0"/>
    <x v="50"/>
    <x v="0"/>
    <x v="2"/>
    <x v="1"/>
    <x v="0"/>
    <x v="0"/>
    <x v="0"/>
  </r>
  <r>
    <x v="740"/>
    <x v="1"/>
    <x v="1"/>
    <x v="0"/>
    <x v="0"/>
    <x v="13"/>
    <x v="0"/>
    <x v="4"/>
    <x v="0"/>
    <x v="4"/>
    <x v="0"/>
    <x v="4"/>
    <x v="4"/>
    <x v="0"/>
    <x v="38"/>
    <x v="0"/>
    <x v="2"/>
    <x v="1"/>
    <x v="0"/>
    <x v="0"/>
    <x v="0"/>
  </r>
  <r>
    <x v="741"/>
    <x v="1"/>
    <x v="1"/>
    <x v="0"/>
    <x v="0"/>
    <x v="13"/>
    <x v="0"/>
    <x v="4"/>
    <x v="0"/>
    <x v="4"/>
    <x v="0"/>
    <x v="4"/>
    <x v="1"/>
    <x v="0"/>
    <x v="38"/>
    <x v="0"/>
    <x v="2"/>
    <x v="0"/>
    <x v="0"/>
    <x v="0"/>
    <x v="0"/>
  </r>
  <r>
    <x v="742"/>
    <x v="1"/>
    <x v="1"/>
    <x v="0"/>
    <x v="0"/>
    <x v="13"/>
    <x v="0"/>
    <x v="4"/>
    <x v="0"/>
    <x v="4"/>
    <x v="0"/>
    <x v="4"/>
    <x v="1"/>
    <x v="0"/>
    <x v="38"/>
    <x v="0"/>
    <x v="2"/>
    <x v="0"/>
    <x v="0"/>
    <x v="0"/>
    <x v="0"/>
  </r>
  <r>
    <x v="743"/>
    <x v="1"/>
    <x v="1"/>
    <x v="1"/>
    <x v="1"/>
    <x v="13"/>
    <x v="0"/>
    <x v="4"/>
    <x v="0"/>
    <x v="4"/>
    <x v="0"/>
    <x v="4"/>
    <x v="1"/>
    <x v="0"/>
    <x v="38"/>
    <x v="0"/>
    <x v="2"/>
    <x v="0"/>
    <x v="0"/>
    <x v="0"/>
    <x v="0"/>
  </r>
  <r>
    <x v="744"/>
    <x v="1"/>
    <x v="1"/>
    <x v="1"/>
    <x v="1"/>
    <x v="13"/>
    <x v="0"/>
    <x v="4"/>
    <x v="0"/>
    <x v="4"/>
    <x v="0"/>
    <x v="4"/>
    <x v="4"/>
    <x v="0"/>
    <x v="38"/>
    <x v="0"/>
    <x v="2"/>
    <x v="1"/>
    <x v="0"/>
    <x v="0"/>
    <x v="0"/>
  </r>
  <r>
    <x v="745"/>
    <x v="1"/>
    <x v="1"/>
    <x v="0"/>
    <x v="0"/>
    <x v="13"/>
    <x v="0"/>
    <x v="4"/>
    <x v="0"/>
    <x v="4"/>
    <x v="0"/>
    <x v="4"/>
    <x v="4"/>
    <x v="0"/>
    <x v="39"/>
    <x v="0"/>
    <x v="0"/>
    <x v="1"/>
    <x v="0"/>
    <x v="0"/>
    <x v="0"/>
  </r>
  <r>
    <x v="746"/>
    <x v="1"/>
    <x v="1"/>
    <x v="0"/>
    <x v="0"/>
    <x v="13"/>
    <x v="0"/>
    <x v="4"/>
    <x v="0"/>
    <x v="4"/>
    <x v="0"/>
    <x v="4"/>
    <x v="4"/>
    <x v="0"/>
    <x v="39"/>
    <x v="0"/>
    <x v="0"/>
    <x v="1"/>
    <x v="0"/>
    <x v="0"/>
    <x v="0"/>
  </r>
  <r>
    <x v="747"/>
    <x v="1"/>
    <x v="1"/>
    <x v="0"/>
    <x v="0"/>
    <x v="13"/>
    <x v="0"/>
    <x v="4"/>
    <x v="0"/>
    <x v="4"/>
    <x v="0"/>
    <x v="4"/>
    <x v="4"/>
    <x v="0"/>
    <x v="39"/>
    <x v="0"/>
    <x v="0"/>
    <x v="1"/>
    <x v="0"/>
    <x v="0"/>
    <x v="0"/>
  </r>
  <r>
    <x v="748"/>
    <x v="1"/>
    <x v="1"/>
    <x v="1"/>
    <x v="1"/>
    <x v="13"/>
    <x v="0"/>
    <x v="4"/>
    <x v="2"/>
    <x v="3"/>
    <x v="1"/>
    <x v="3"/>
    <x v="0"/>
    <x v="1"/>
    <x v="39"/>
    <x v="0"/>
    <x v="0"/>
    <x v="1"/>
    <x v="0"/>
    <x v="0"/>
    <x v="0"/>
  </r>
  <r>
    <x v="749"/>
    <x v="1"/>
    <x v="1"/>
    <x v="1"/>
    <x v="1"/>
    <x v="13"/>
    <x v="0"/>
    <x v="4"/>
    <x v="0"/>
    <x v="4"/>
    <x v="1"/>
    <x v="4"/>
    <x v="4"/>
    <x v="0"/>
    <x v="39"/>
    <x v="0"/>
    <x v="0"/>
    <x v="1"/>
    <x v="0"/>
    <x v="0"/>
    <x v="0"/>
  </r>
  <r>
    <x v="750"/>
    <x v="1"/>
    <x v="1"/>
    <x v="1"/>
    <x v="1"/>
    <x v="13"/>
    <x v="0"/>
    <x v="4"/>
    <x v="0"/>
    <x v="3"/>
    <x v="1"/>
    <x v="3"/>
    <x v="0"/>
    <x v="1"/>
    <x v="39"/>
    <x v="0"/>
    <x v="0"/>
    <x v="1"/>
    <x v="0"/>
    <x v="0"/>
    <x v="0"/>
  </r>
  <r>
    <x v="751"/>
    <x v="1"/>
    <x v="1"/>
    <x v="1"/>
    <x v="1"/>
    <x v="13"/>
    <x v="0"/>
    <x v="4"/>
    <x v="2"/>
    <x v="3"/>
    <x v="1"/>
    <x v="3"/>
    <x v="0"/>
    <x v="1"/>
    <x v="39"/>
    <x v="0"/>
    <x v="0"/>
    <x v="1"/>
    <x v="0"/>
    <x v="0"/>
    <x v="0"/>
  </r>
  <r>
    <x v="752"/>
    <x v="1"/>
    <x v="1"/>
    <x v="1"/>
    <x v="1"/>
    <x v="13"/>
    <x v="0"/>
    <x v="4"/>
    <x v="0"/>
    <x v="4"/>
    <x v="0"/>
    <x v="4"/>
    <x v="1"/>
    <x v="0"/>
    <x v="39"/>
    <x v="0"/>
    <x v="0"/>
    <x v="0"/>
    <x v="0"/>
    <x v="0"/>
    <x v="0"/>
  </r>
  <r>
    <x v="753"/>
    <x v="1"/>
    <x v="1"/>
    <x v="0"/>
    <x v="0"/>
    <x v="13"/>
    <x v="0"/>
    <x v="4"/>
    <x v="0"/>
    <x v="4"/>
    <x v="1"/>
    <x v="4"/>
    <x v="4"/>
    <x v="0"/>
    <x v="8"/>
    <x v="0"/>
    <x v="0"/>
    <x v="1"/>
    <x v="0"/>
    <x v="0"/>
    <x v="0"/>
  </r>
  <r>
    <x v="754"/>
    <x v="1"/>
    <x v="1"/>
    <x v="0"/>
    <x v="0"/>
    <x v="13"/>
    <x v="0"/>
    <x v="4"/>
    <x v="0"/>
    <x v="3"/>
    <x v="0"/>
    <x v="4"/>
    <x v="3"/>
    <x v="1"/>
    <x v="8"/>
    <x v="0"/>
    <x v="0"/>
    <x v="1"/>
    <x v="0"/>
    <x v="0"/>
    <x v="0"/>
  </r>
  <r>
    <x v="755"/>
    <x v="1"/>
    <x v="1"/>
    <x v="0"/>
    <x v="0"/>
    <x v="13"/>
    <x v="0"/>
    <x v="4"/>
    <x v="0"/>
    <x v="4"/>
    <x v="0"/>
    <x v="4"/>
    <x v="4"/>
    <x v="0"/>
    <x v="8"/>
    <x v="0"/>
    <x v="0"/>
    <x v="0"/>
    <x v="0"/>
    <x v="0"/>
    <x v="0"/>
  </r>
  <r>
    <x v="756"/>
    <x v="1"/>
    <x v="1"/>
    <x v="1"/>
    <x v="1"/>
    <x v="13"/>
    <x v="0"/>
    <x v="4"/>
    <x v="2"/>
    <x v="3"/>
    <x v="0"/>
    <x v="3"/>
    <x v="3"/>
    <x v="1"/>
    <x v="8"/>
    <x v="0"/>
    <x v="0"/>
    <x v="0"/>
    <x v="0"/>
    <x v="0"/>
    <x v="0"/>
  </r>
  <r>
    <x v="757"/>
    <x v="1"/>
    <x v="1"/>
    <x v="1"/>
    <x v="1"/>
    <x v="13"/>
    <x v="0"/>
    <x v="4"/>
    <x v="0"/>
    <x v="4"/>
    <x v="0"/>
    <x v="4"/>
    <x v="4"/>
    <x v="0"/>
    <x v="8"/>
    <x v="0"/>
    <x v="0"/>
    <x v="0"/>
    <x v="0"/>
    <x v="0"/>
    <x v="0"/>
  </r>
  <r>
    <x v="758"/>
    <x v="1"/>
    <x v="1"/>
    <x v="0"/>
    <x v="0"/>
    <x v="13"/>
    <x v="0"/>
    <x v="4"/>
    <x v="2"/>
    <x v="2"/>
    <x v="0"/>
    <x v="4"/>
    <x v="4"/>
    <x v="0"/>
    <x v="23"/>
    <x v="0"/>
    <x v="0"/>
    <x v="1"/>
    <x v="0"/>
    <x v="0"/>
    <x v="0"/>
  </r>
  <r>
    <x v="759"/>
    <x v="1"/>
    <x v="1"/>
    <x v="0"/>
    <x v="0"/>
    <x v="13"/>
    <x v="0"/>
    <x v="4"/>
    <x v="2"/>
    <x v="2"/>
    <x v="0"/>
    <x v="4"/>
    <x v="4"/>
    <x v="0"/>
    <x v="23"/>
    <x v="0"/>
    <x v="0"/>
    <x v="0"/>
    <x v="0"/>
    <x v="0"/>
    <x v="0"/>
  </r>
  <r>
    <x v="760"/>
    <x v="0"/>
    <x v="0"/>
    <x v="1"/>
    <x v="1"/>
    <x v="13"/>
    <x v="0"/>
    <x v="4"/>
    <x v="2"/>
    <x v="3"/>
    <x v="1"/>
    <x v="3"/>
    <x v="0"/>
    <x v="1"/>
    <x v="23"/>
    <x v="0"/>
    <x v="0"/>
    <x v="1"/>
    <x v="0"/>
    <x v="0"/>
    <x v="0"/>
  </r>
  <r>
    <x v="761"/>
    <x v="0"/>
    <x v="0"/>
    <x v="1"/>
    <x v="1"/>
    <x v="13"/>
    <x v="0"/>
    <x v="4"/>
    <x v="1"/>
    <x v="3"/>
    <x v="1"/>
    <x v="1"/>
    <x v="1"/>
    <x v="1"/>
    <x v="23"/>
    <x v="0"/>
    <x v="0"/>
    <x v="1"/>
    <x v="0"/>
    <x v="0"/>
    <x v="0"/>
  </r>
  <r>
    <x v="762"/>
    <x v="1"/>
    <x v="1"/>
    <x v="1"/>
    <x v="1"/>
    <x v="13"/>
    <x v="0"/>
    <x v="4"/>
    <x v="0"/>
    <x v="4"/>
    <x v="1"/>
    <x v="4"/>
    <x v="4"/>
    <x v="0"/>
    <x v="23"/>
    <x v="0"/>
    <x v="0"/>
    <x v="1"/>
    <x v="0"/>
    <x v="0"/>
    <x v="0"/>
  </r>
  <r>
    <x v="763"/>
    <x v="1"/>
    <x v="1"/>
    <x v="1"/>
    <x v="1"/>
    <x v="13"/>
    <x v="0"/>
    <x v="4"/>
    <x v="2"/>
    <x v="2"/>
    <x v="0"/>
    <x v="4"/>
    <x v="3"/>
    <x v="0"/>
    <x v="23"/>
    <x v="0"/>
    <x v="0"/>
    <x v="1"/>
    <x v="0"/>
    <x v="0"/>
    <x v="0"/>
  </r>
  <r>
    <x v="764"/>
    <x v="1"/>
    <x v="1"/>
    <x v="1"/>
    <x v="1"/>
    <x v="13"/>
    <x v="0"/>
    <x v="4"/>
    <x v="0"/>
    <x v="3"/>
    <x v="1"/>
    <x v="4"/>
    <x v="0"/>
    <x v="1"/>
    <x v="23"/>
    <x v="0"/>
    <x v="0"/>
    <x v="1"/>
    <x v="0"/>
    <x v="0"/>
    <x v="0"/>
  </r>
  <r>
    <x v="765"/>
    <x v="1"/>
    <x v="1"/>
    <x v="0"/>
    <x v="0"/>
    <x v="13"/>
    <x v="0"/>
    <x v="4"/>
    <x v="0"/>
    <x v="4"/>
    <x v="0"/>
    <x v="4"/>
    <x v="4"/>
    <x v="0"/>
    <x v="3"/>
    <x v="0"/>
    <x v="0"/>
    <x v="1"/>
    <x v="0"/>
    <x v="0"/>
    <x v="0"/>
  </r>
  <r>
    <x v="766"/>
    <x v="1"/>
    <x v="1"/>
    <x v="1"/>
    <x v="1"/>
    <x v="13"/>
    <x v="0"/>
    <x v="4"/>
    <x v="2"/>
    <x v="2"/>
    <x v="1"/>
    <x v="4"/>
    <x v="4"/>
    <x v="0"/>
    <x v="3"/>
    <x v="0"/>
    <x v="0"/>
    <x v="0"/>
    <x v="0"/>
    <x v="0"/>
    <x v="0"/>
  </r>
  <r>
    <x v="767"/>
    <x v="1"/>
    <x v="1"/>
    <x v="0"/>
    <x v="0"/>
    <x v="13"/>
    <x v="0"/>
    <x v="4"/>
    <x v="2"/>
    <x v="2"/>
    <x v="0"/>
    <x v="4"/>
    <x v="4"/>
    <x v="0"/>
    <x v="24"/>
    <x v="0"/>
    <x v="0"/>
    <x v="0"/>
    <x v="0"/>
    <x v="0"/>
    <x v="0"/>
  </r>
  <r>
    <x v="768"/>
    <x v="1"/>
    <x v="1"/>
    <x v="1"/>
    <x v="1"/>
    <x v="13"/>
    <x v="0"/>
    <x v="4"/>
    <x v="2"/>
    <x v="2"/>
    <x v="0"/>
    <x v="4"/>
    <x v="4"/>
    <x v="0"/>
    <x v="24"/>
    <x v="0"/>
    <x v="0"/>
    <x v="1"/>
    <x v="0"/>
    <x v="0"/>
    <x v="0"/>
  </r>
  <r>
    <x v="769"/>
    <x v="1"/>
    <x v="1"/>
    <x v="1"/>
    <x v="1"/>
    <x v="13"/>
    <x v="0"/>
    <x v="4"/>
    <x v="2"/>
    <x v="2"/>
    <x v="1"/>
    <x v="4"/>
    <x v="4"/>
    <x v="0"/>
    <x v="24"/>
    <x v="0"/>
    <x v="0"/>
    <x v="0"/>
    <x v="0"/>
    <x v="0"/>
    <x v="0"/>
  </r>
  <r>
    <x v="770"/>
    <x v="0"/>
    <x v="0"/>
    <x v="1"/>
    <x v="1"/>
    <x v="13"/>
    <x v="0"/>
    <x v="4"/>
    <x v="3"/>
    <x v="4"/>
    <x v="1"/>
    <x v="1"/>
    <x v="1"/>
    <x v="0"/>
    <x v="32"/>
    <x v="0"/>
    <x v="0"/>
    <x v="0"/>
    <x v="0"/>
    <x v="0"/>
    <x v="0"/>
  </r>
  <r>
    <x v="771"/>
    <x v="0"/>
    <x v="0"/>
    <x v="1"/>
    <x v="1"/>
    <x v="13"/>
    <x v="0"/>
    <x v="4"/>
    <x v="3"/>
    <x v="4"/>
    <x v="1"/>
    <x v="1"/>
    <x v="1"/>
    <x v="0"/>
    <x v="32"/>
    <x v="0"/>
    <x v="0"/>
    <x v="0"/>
    <x v="0"/>
    <x v="0"/>
    <x v="0"/>
  </r>
  <r>
    <x v="772"/>
    <x v="0"/>
    <x v="0"/>
    <x v="0"/>
    <x v="0"/>
    <x v="13"/>
    <x v="0"/>
    <x v="4"/>
    <x v="3"/>
    <x v="4"/>
    <x v="0"/>
    <x v="1"/>
    <x v="1"/>
    <x v="0"/>
    <x v="9"/>
    <x v="0"/>
    <x v="0"/>
    <x v="0"/>
    <x v="0"/>
    <x v="0"/>
    <x v="0"/>
  </r>
  <r>
    <x v="773"/>
    <x v="1"/>
    <x v="1"/>
    <x v="1"/>
    <x v="1"/>
    <x v="13"/>
    <x v="0"/>
    <x v="4"/>
    <x v="3"/>
    <x v="4"/>
    <x v="0"/>
    <x v="1"/>
    <x v="1"/>
    <x v="0"/>
    <x v="9"/>
    <x v="0"/>
    <x v="0"/>
    <x v="0"/>
    <x v="0"/>
    <x v="0"/>
    <x v="0"/>
  </r>
  <r>
    <x v="774"/>
    <x v="0"/>
    <x v="0"/>
    <x v="0"/>
    <x v="0"/>
    <x v="13"/>
    <x v="0"/>
    <x v="2"/>
    <x v="3"/>
    <x v="4"/>
    <x v="1"/>
    <x v="1"/>
    <x v="1"/>
    <x v="0"/>
    <x v="5"/>
    <x v="0"/>
    <x v="0"/>
    <x v="0"/>
    <x v="0"/>
    <x v="0"/>
    <x v="0"/>
  </r>
  <r>
    <x v="775"/>
    <x v="0"/>
    <x v="0"/>
    <x v="0"/>
    <x v="0"/>
    <x v="13"/>
    <x v="0"/>
    <x v="4"/>
    <x v="3"/>
    <x v="4"/>
    <x v="1"/>
    <x v="1"/>
    <x v="1"/>
    <x v="0"/>
    <x v="5"/>
    <x v="0"/>
    <x v="0"/>
    <x v="0"/>
    <x v="0"/>
    <x v="0"/>
    <x v="0"/>
  </r>
  <r>
    <x v="776"/>
    <x v="1"/>
    <x v="1"/>
    <x v="1"/>
    <x v="1"/>
    <x v="13"/>
    <x v="0"/>
    <x v="2"/>
    <x v="3"/>
    <x v="4"/>
    <x v="1"/>
    <x v="1"/>
    <x v="3"/>
    <x v="0"/>
    <x v="5"/>
    <x v="0"/>
    <x v="0"/>
    <x v="0"/>
    <x v="0"/>
    <x v="0"/>
    <x v="0"/>
  </r>
  <r>
    <x v="777"/>
    <x v="0"/>
    <x v="0"/>
    <x v="1"/>
    <x v="1"/>
    <x v="13"/>
    <x v="0"/>
    <x v="2"/>
    <x v="3"/>
    <x v="4"/>
    <x v="1"/>
    <x v="1"/>
    <x v="1"/>
    <x v="0"/>
    <x v="10"/>
    <x v="0"/>
    <x v="0"/>
    <x v="0"/>
    <x v="0"/>
    <x v="0"/>
    <x v="0"/>
  </r>
  <r>
    <x v="778"/>
    <x v="1"/>
    <x v="1"/>
    <x v="1"/>
    <x v="1"/>
    <x v="13"/>
    <x v="0"/>
    <x v="2"/>
    <x v="3"/>
    <x v="4"/>
    <x v="0"/>
    <x v="1"/>
    <x v="1"/>
    <x v="0"/>
    <x v="10"/>
    <x v="0"/>
    <x v="0"/>
    <x v="0"/>
    <x v="0"/>
    <x v="0"/>
    <x v="0"/>
  </r>
  <r>
    <x v="779"/>
    <x v="0"/>
    <x v="0"/>
    <x v="1"/>
    <x v="1"/>
    <x v="13"/>
    <x v="0"/>
    <x v="2"/>
    <x v="3"/>
    <x v="4"/>
    <x v="1"/>
    <x v="4"/>
    <x v="4"/>
    <x v="0"/>
    <x v="25"/>
    <x v="0"/>
    <x v="0"/>
    <x v="1"/>
    <x v="0"/>
    <x v="0"/>
    <x v="0"/>
  </r>
  <r>
    <x v="780"/>
    <x v="1"/>
    <x v="1"/>
    <x v="1"/>
    <x v="1"/>
    <x v="13"/>
    <x v="0"/>
    <x v="2"/>
    <x v="3"/>
    <x v="4"/>
    <x v="0"/>
    <x v="4"/>
    <x v="3"/>
    <x v="0"/>
    <x v="25"/>
    <x v="0"/>
    <x v="0"/>
    <x v="1"/>
    <x v="0"/>
    <x v="0"/>
    <x v="0"/>
  </r>
  <r>
    <x v="781"/>
    <x v="1"/>
    <x v="1"/>
    <x v="1"/>
    <x v="1"/>
    <x v="13"/>
    <x v="0"/>
    <x v="2"/>
    <x v="3"/>
    <x v="4"/>
    <x v="0"/>
    <x v="4"/>
    <x v="1"/>
    <x v="0"/>
    <x v="25"/>
    <x v="0"/>
    <x v="0"/>
    <x v="0"/>
    <x v="0"/>
    <x v="0"/>
    <x v="0"/>
  </r>
  <r>
    <x v="782"/>
    <x v="1"/>
    <x v="1"/>
    <x v="1"/>
    <x v="1"/>
    <x v="13"/>
    <x v="0"/>
    <x v="2"/>
    <x v="3"/>
    <x v="4"/>
    <x v="1"/>
    <x v="4"/>
    <x v="3"/>
    <x v="0"/>
    <x v="25"/>
    <x v="0"/>
    <x v="0"/>
    <x v="0"/>
    <x v="0"/>
    <x v="0"/>
    <x v="0"/>
  </r>
  <r>
    <x v="783"/>
    <x v="0"/>
    <x v="0"/>
    <x v="0"/>
    <x v="0"/>
    <x v="13"/>
    <x v="0"/>
    <x v="2"/>
    <x v="3"/>
    <x v="3"/>
    <x v="1"/>
    <x v="3"/>
    <x v="1"/>
    <x v="0"/>
    <x v="11"/>
    <x v="0"/>
    <x v="0"/>
    <x v="1"/>
    <x v="0"/>
    <x v="0"/>
    <x v="0"/>
  </r>
  <r>
    <x v="784"/>
    <x v="0"/>
    <x v="0"/>
    <x v="1"/>
    <x v="1"/>
    <x v="13"/>
    <x v="0"/>
    <x v="2"/>
    <x v="3"/>
    <x v="3"/>
    <x v="1"/>
    <x v="3"/>
    <x v="1"/>
    <x v="0"/>
    <x v="11"/>
    <x v="0"/>
    <x v="0"/>
    <x v="1"/>
    <x v="0"/>
    <x v="0"/>
    <x v="0"/>
  </r>
  <r>
    <x v="785"/>
    <x v="0"/>
    <x v="0"/>
    <x v="1"/>
    <x v="1"/>
    <x v="13"/>
    <x v="0"/>
    <x v="2"/>
    <x v="3"/>
    <x v="3"/>
    <x v="1"/>
    <x v="3"/>
    <x v="1"/>
    <x v="0"/>
    <x v="12"/>
    <x v="0"/>
    <x v="0"/>
    <x v="0"/>
    <x v="0"/>
    <x v="0"/>
    <x v="0"/>
  </r>
  <r>
    <x v="786"/>
    <x v="0"/>
    <x v="0"/>
    <x v="0"/>
    <x v="0"/>
    <x v="13"/>
    <x v="0"/>
    <x v="5"/>
    <x v="0"/>
    <x v="4"/>
    <x v="0"/>
    <x v="1"/>
    <x v="1"/>
    <x v="0"/>
    <x v="13"/>
    <x v="0"/>
    <x v="0"/>
    <x v="1"/>
    <x v="0"/>
    <x v="0"/>
    <x v="0"/>
  </r>
  <r>
    <x v="787"/>
    <x v="0"/>
    <x v="0"/>
    <x v="0"/>
    <x v="0"/>
    <x v="13"/>
    <x v="0"/>
    <x v="2"/>
    <x v="3"/>
    <x v="3"/>
    <x v="1"/>
    <x v="3"/>
    <x v="1"/>
    <x v="0"/>
    <x v="13"/>
    <x v="0"/>
    <x v="0"/>
    <x v="1"/>
    <x v="0"/>
    <x v="0"/>
    <x v="0"/>
  </r>
  <r>
    <x v="788"/>
    <x v="1"/>
    <x v="1"/>
    <x v="0"/>
    <x v="0"/>
    <x v="13"/>
    <x v="0"/>
    <x v="3"/>
    <x v="0"/>
    <x v="4"/>
    <x v="1"/>
    <x v="3"/>
    <x v="1"/>
    <x v="0"/>
    <x v="13"/>
    <x v="0"/>
    <x v="0"/>
    <x v="1"/>
    <x v="0"/>
    <x v="0"/>
    <x v="0"/>
  </r>
  <r>
    <x v="789"/>
    <x v="1"/>
    <x v="1"/>
    <x v="0"/>
    <x v="0"/>
    <x v="13"/>
    <x v="0"/>
    <x v="3"/>
    <x v="0"/>
    <x v="4"/>
    <x v="1"/>
    <x v="3"/>
    <x v="1"/>
    <x v="0"/>
    <x v="13"/>
    <x v="0"/>
    <x v="0"/>
    <x v="1"/>
    <x v="0"/>
    <x v="0"/>
    <x v="0"/>
  </r>
  <r>
    <x v="790"/>
    <x v="1"/>
    <x v="1"/>
    <x v="0"/>
    <x v="0"/>
    <x v="13"/>
    <x v="0"/>
    <x v="5"/>
    <x v="0"/>
    <x v="4"/>
    <x v="1"/>
    <x v="1"/>
    <x v="1"/>
    <x v="0"/>
    <x v="13"/>
    <x v="0"/>
    <x v="0"/>
    <x v="0"/>
    <x v="0"/>
    <x v="0"/>
    <x v="0"/>
  </r>
  <r>
    <x v="791"/>
    <x v="0"/>
    <x v="0"/>
    <x v="1"/>
    <x v="1"/>
    <x v="13"/>
    <x v="0"/>
    <x v="3"/>
    <x v="0"/>
    <x v="4"/>
    <x v="0"/>
    <x v="3"/>
    <x v="1"/>
    <x v="0"/>
    <x v="13"/>
    <x v="0"/>
    <x v="0"/>
    <x v="1"/>
    <x v="0"/>
    <x v="0"/>
    <x v="0"/>
  </r>
  <r>
    <x v="792"/>
    <x v="1"/>
    <x v="1"/>
    <x v="1"/>
    <x v="1"/>
    <x v="13"/>
    <x v="0"/>
    <x v="3"/>
    <x v="0"/>
    <x v="4"/>
    <x v="1"/>
    <x v="3"/>
    <x v="1"/>
    <x v="0"/>
    <x v="13"/>
    <x v="0"/>
    <x v="0"/>
    <x v="1"/>
    <x v="0"/>
    <x v="0"/>
    <x v="0"/>
  </r>
  <r>
    <x v="793"/>
    <x v="1"/>
    <x v="1"/>
    <x v="0"/>
    <x v="0"/>
    <x v="13"/>
    <x v="0"/>
    <x v="3"/>
    <x v="0"/>
    <x v="4"/>
    <x v="1"/>
    <x v="1"/>
    <x v="1"/>
    <x v="0"/>
    <x v="26"/>
    <x v="0"/>
    <x v="0"/>
    <x v="1"/>
    <x v="0"/>
    <x v="0"/>
    <x v="0"/>
  </r>
  <r>
    <x v="794"/>
    <x v="1"/>
    <x v="1"/>
    <x v="0"/>
    <x v="0"/>
    <x v="13"/>
    <x v="0"/>
    <x v="3"/>
    <x v="0"/>
    <x v="4"/>
    <x v="0"/>
    <x v="1"/>
    <x v="1"/>
    <x v="0"/>
    <x v="26"/>
    <x v="0"/>
    <x v="0"/>
    <x v="1"/>
    <x v="0"/>
    <x v="0"/>
    <x v="0"/>
  </r>
  <r>
    <x v="795"/>
    <x v="0"/>
    <x v="0"/>
    <x v="1"/>
    <x v="1"/>
    <x v="13"/>
    <x v="0"/>
    <x v="2"/>
    <x v="0"/>
    <x v="4"/>
    <x v="1"/>
    <x v="4"/>
    <x v="1"/>
    <x v="0"/>
    <x v="26"/>
    <x v="0"/>
    <x v="0"/>
    <x v="1"/>
    <x v="0"/>
    <x v="0"/>
    <x v="0"/>
  </r>
  <r>
    <x v="796"/>
    <x v="0"/>
    <x v="0"/>
    <x v="1"/>
    <x v="1"/>
    <x v="13"/>
    <x v="0"/>
    <x v="5"/>
    <x v="0"/>
    <x v="4"/>
    <x v="1"/>
    <x v="4"/>
    <x v="1"/>
    <x v="0"/>
    <x v="26"/>
    <x v="0"/>
    <x v="0"/>
    <x v="1"/>
    <x v="0"/>
    <x v="0"/>
    <x v="0"/>
  </r>
  <r>
    <x v="797"/>
    <x v="1"/>
    <x v="1"/>
    <x v="1"/>
    <x v="1"/>
    <x v="13"/>
    <x v="0"/>
    <x v="5"/>
    <x v="0"/>
    <x v="4"/>
    <x v="1"/>
    <x v="1"/>
    <x v="1"/>
    <x v="0"/>
    <x v="26"/>
    <x v="0"/>
    <x v="0"/>
    <x v="1"/>
    <x v="0"/>
    <x v="0"/>
    <x v="0"/>
  </r>
  <r>
    <x v="798"/>
    <x v="1"/>
    <x v="1"/>
    <x v="0"/>
    <x v="0"/>
    <x v="13"/>
    <x v="0"/>
    <x v="1"/>
    <x v="1"/>
    <x v="4"/>
    <x v="1"/>
    <x v="1"/>
    <x v="1"/>
    <x v="0"/>
    <x v="6"/>
    <x v="0"/>
    <x v="0"/>
    <x v="0"/>
    <x v="0"/>
    <x v="0"/>
    <x v="0"/>
  </r>
  <r>
    <x v="799"/>
    <x v="0"/>
    <x v="0"/>
    <x v="1"/>
    <x v="1"/>
    <x v="13"/>
    <x v="0"/>
    <x v="2"/>
    <x v="0"/>
    <x v="4"/>
    <x v="1"/>
    <x v="4"/>
    <x v="1"/>
    <x v="0"/>
    <x v="6"/>
    <x v="0"/>
    <x v="0"/>
    <x v="0"/>
    <x v="0"/>
    <x v="0"/>
    <x v="0"/>
  </r>
  <r>
    <x v="800"/>
    <x v="0"/>
    <x v="0"/>
    <x v="0"/>
    <x v="0"/>
    <x v="13"/>
    <x v="0"/>
    <x v="5"/>
    <x v="3"/>
    <x v="4"/>
    <x v="1"/>
    <x v="1"/>
    <x v="1"/>
    <x v="0"/>
    <x v="14"/>
    <x v="0"/>
    <x v="0"/>
    <x v="1"/>
    <x v="0"/>
    <x v="0"/>
    <x v="0"/>
  </r>
  <r>
    <x v="801"/>
    <x v="0"/>
    <x v="0"/>
    <x v="0"/>
    <x v="0"/>
    <x v="13"/>
    <x v="0"/>
    <x v="0"/>
    <x v="1"/>
    <x v="4"/>
    <x v="1"/>
    <x v="1"/>
    <x v="1"/>
    <x v="0"/>
    <x v="14"/>
    <x v="0"/>
    <x v="0"/>
    <x v="1"/>
    <x v="0"/>
    <x v="0"/>
    <x v="0"/>
  </r>
  <r>
    <x v="802"/>
    <x v="0"/>
    <x v="0"/>
    <x v="0"/>
    <x v="0"/>
    <x v="13"/>
    <x v="0"/>
    <x v="0"/>
    <x v="1"/>
    <x v="4"/>
    <x v="1"/>
    <x v="1"/>
    <x v="1"/>
    <x v="0"/>
    <x v="14"/>
    <x v="0"/>
    <x v="0"/>
    <x v="0"/>
    <x v="0"/>
    <x v="0"/>
    <x v="0"/>
  </r>
  <r>
    <x v="803"/>
    <x v="0"/>
    <x v="0"/>
    <x v="0"/>
    <x v="0"/>
    <x v="13"/>
    <x v="0"/>
    <x v="5"/>
    <x v="1"/>
    <x v="4"/>
    <x v="1"/>
    <x v="1"/>
    <x v="1"/>
    <x v="0"/>
    <x v="27"/>
    <x v="0"/>
    <x v="0"/>
    <x v="1"/>
    <x v="0"/>
    <x v="0"/>
    <x v="0"/>
  </r>
  <r>
    <x v="804"/>
    <x v="1"/>
    <x v="1"/>
    <x v="0"/>
    <x v="0"/>
    <x v="13"/>
    <x v="0"/>
    <x v="5"/>
    <x v="3"/>
    <x v="4"/>
    <x v="1"/>
    <x v="1"/>
    <x v="1"/>
    <x v="0"/>
    <x v="27"/>
    <x v="0"/>
    <x v="0"/>
    <x v="0"/>
    <x v="0"/>
    <x v="0"/>
    <x v="0"/>
  </r>
  <r>
    <x v="805"/>
    <x v="1"/>
    <x v="1"/>
    <x v="0"/>
    <x v="0"/>
    <x v="13"/>
    <x v="0"/>
    <x v="2"/>
    <x v="0"/>
    <x v="2"/>
    <x v="0"/>
    <x v="1"/>
    <x v="1"/>
    <x v="0"/>
    <x v="27"/>
    <x v="0"/>
    <x v="0"/>
    <x v="0"/>
    <x v="0"/>
    <x v="0"/>
    <x v="0"/>
  </r>
  <r>
    <x v="806"/>
    <x v="1"/>
    <x v="1"/>
    <x v="0"/>
    <x v="0"/>
    <x v="13"/>
    <x v="0"/>
    <x v="5"/>
    <x v="1"/>
    <x v="4"/>
    <x v="0"/>
    <x v="1"/>
    <x v="1"/>
    <x v="0"/>
    <x v="27"/>
    <x v="0"/>
    <x v="0"/>
    <x v="0"/>
    <x v="0"/>
    <x v="0"/>
    <x v="0"/>
  </r>
  <r>
    <x v="807"/>
    <x v="0"/>
    <x v="0"/>
    <x v="1"/>
    <x v="1"/>
    <x v="13"/>
    <x v="0"/>
    <x v="5"/>
    <x v="1"/>
    <x v="4"/>
    <x v="1"/>
    <x v="1"/>
    <x v="1"/>
    <x v="0"/>
    <x v="27"/>
    <x v="0"/>
    <x v="0"/>
    <x v="0"/>
    <x v="0"/>
    <x v="0"/>
    <x v="0"/>
  </r>
  <r>
    <x v="808"/>
    <x v="0"/>
    <x v="0"/>
    <x v="0"/>
    <x v="0"/>
    <x v="13"/>
    <x v="0"/>
    <x v="2"/>
    <x v="3"/>
    <x v="4"/>
    <x v="1"/>
    <x v="1"/>
    <x v="1"/>
    <x v="0"/>
    <x v="4"/>
    <x v="0"/>
    <x v="0"/>
    <x v="1"/>
    <x v="0"/>
    <x v="0"/>
    <x v="0"/>
  </r>
  <r>
    <x v="809"/>
    <x v="0"/>
    <x v="0"/>
    <x v="0"/>
    <x v="0"/>
    <x v="13"/>
    <x v="0"/>
    <x v="4"/>
    <x v="3"/>
    <x v="4"/>
    <x v="1"/>
    <x v="1"/>
    <x v="1"/>
    <x v="0"/>
    <x v="4"/>
    <x v="0"/>
    <x v="0"/>
    <x v="0"/>
    <x v="0"/>
    <x v="0"/>
    <x v="0"/>
  </r>
  <r>
    <x v="810"/>
    <x v="1"/>
    <x v="1"/>
    <x v="0"/>
    <x v="0"/>
    <x v="13"/>
    <x v="0"/>
    <x v="5"/>
    <x v="3"/>
    <x v="4"/>
    <x v="1"/>
    <x v="1"/>
    <x v="1"/>
    <x v="0"/>
    <x v="4"/>
    <x v="0"/>
    <x v="0"/>
    <x v="0"/>
    <x v="0"/>
    <x v="0"/>
    <x v="0"/>
  </r>
  <r>
    <x v="811"/>
    <x v="1"/>
    <x v="1"/>
    <x v="0"/>
    <x v="0"/>
    <x v="13"/>
    <x v="0"/>
    <x v="5"/>
    <x v="1"/>
    <x v="4"/>
    <x v="1"/>
    <x v="1"/>
    <x v="1"/>
    <x v="0"/>
    <x v="4"/>
    <x v="0"/>
    <x v="0"/>
    <x v="0"/>
    <x v="0"/>
    <x v="0"/>
    <x v="0"/>
  </r>
  <r>
    <x v="812"/>
    <x v="0"/>
    <x v="0"/>
    <x v="1"/>
    <x v="1"/>
    <x v="13"/>
    <x v="0"/>
    <x v="2"/>
    <x v="3"/>
    <x v="4"/>
    <x v="1"/>
    <x v="1"/>
    <x v="1"/>
    <x v="0"/>
    <x v="4"/>
    <x v="0"/>
    <x v="0"/>
    <x v="1"/>
    <x v="0"/>
    <x v="0"/>
    <x v="0"/>
  </r>
  <r>
    <x v="813"/>
    <x v="0"/>
    <x v="0"/>
    <x v="1"/>
    <x v="1"/>
    <x v="13"/>
    <x v="0"/>
    <x v="4"/>
    <x v="3"/>
    <x v="4"/>
    <x v="1"/>
    <x v="1"/>
    <x v="1"/>
    <x v="0"/>
    <x v="4"/>
    <x v="0"/>
    <x v="0"/>
    <x v="0"/>
    <x v="0"/>
    <x v="0"/>
    <x v="0"/>
  </r>
  <r>
    <x v="814"/>
    <x v="0"/>
    <x v="0"/>
    <x v="0"/>
    <x v="0"/>
    <x v="13"/>
    <x v="0"/>
    <x v="3"/>
    <x v="2"/>
    <x v="3"/>
    <x v="1"/>
    <x v="3"/>
    <x v="3"/>
    <x v="1"/>
    <x v="0"/>
    <x v="0"/>
    <x v="0"/>
    <x v="1"/>
    <x v="0"/>
    <x v="0"/>
    <x v="0"/>
  </r>
  <r>
    <x v="815"/>
    <x v="1"/>
    <x v="1"/>
    <x v="0"/>
    <x v="0"/>
    <x v="13"/>
    <x v="0"/>
    <x v="3"/>
    <x v="2"/>
    <x v="3"/>
    <x v="0"/>
    <x v="3"/>
    <x v="1"/>
    <x v="1"/>
    <x v="36"/>
    <x v="0"/>
    <x v="0"/>
    <x v="1"/>
    <x v="0"/>
    <x v="0"/>
    <x v="0"/>
  </r>
  <r>
    <x v="816"/>
    <x v="0"/>
    <x v="0"/>
    <x v="1"/>
    <x v="1"/>
    <x v="13"/>
    <x v="0"/>
    <x v="3"/>
    <x v="2"/>
    <x v="3"/>
    <x v="1"/>
    <x v="3"/>
    <x v="3"/>
    <x v="1"/>
    <x v="36"/>
    <x v="0"/>
    <x v="0"/>
    <x v="1"/>
    <x v="0"/>
    <x v="0"/>
    <x v="0"/>
  </r>
  <r>
    <x v="817"/>
    <x v="0"/>
    <x v="0"/>
    <x v="1"/>
    <x v="1"/>
    <x v="13"/>
    <x v="0"/>
    <x v="3"/>
    <x v="2"/>
    <x v="3"/>
    <x v="1"/>
    <x v="3"/>
    <x v="3"/>
    <x v="1"/>
    <x v="36"/>
    <x v="0"/>
    <x v="0"/>
    <x v="1"/>
    <x v="0"/>
    <x v="0"/>
    <x v="0"/>
  </r>
  <r>
    <x v="818"/>
    <x v="0"/>
    <x v="0"/>
    <x v="1"/>
    <x v="1"/>
    <x v="13"/>
    <x v="0"/>
    <x v="3"/>
    <x v="2"/>
    <x v="3"/>
    <x v="0"/>
    <x v="3"/>
    <x v="1"/>
    <x v="1"/>
    <x v="36"/>
    <x v="0"/>
    <x v="0"/>
    <x v="1"/>
    <x v="0"/>
    <x v="0"/>
    <x v="0"/>
  </r>
  <r>
    <x v="819"/>
    <x v="0"/>
    <x v="0"/>
    <x v="1"/>
    <x v="1"/>
    <x v="13"/>
    <x v="0"/>
    <x v="3"/>
    <x v="2"/>
    <x v="3"/>
    <x v="1"/>
    <x v="3"/>
    <x v="3"/>
    <x v="1"/>
    <x v="15"/>
    <x v="0"/>
    <x v="0"/>
    <x v="1"/>
    <x v="0"/>
    <x v="0"/>
    <x v="0"/>
  </r>
  <r>
    <x v="820"/>
    <x v="1"/>
    <x v="1"/>
    <x v="1"/>
    <x v="1"/>
    <x v="13"/>
    <x v="0"/>
    <x v="3"/>
    <x v="2"/>
    <x v="3"/>
    <x v="1"/>
    <x v="3"/>
    <x v="3"/>
    <x v="1"/>
    <x v="15"/>
    <x v="0"/>
    <x v="0"/>
    <x v="0"/>
    <x v="0"/>
    <x v="0"/>
    <x v="0"/>
  </r>
  <r>
    <x v="821"/>
    <x v="0"/>
    <x v="0"/>
    <x v="1"/>
    <x v="1"/>
    <x v="13"/>
    <x v="0"/>
    <x v="3"/>
    <x v="2"/>
    <x v="3"/>
    <x v="1"/>
    <x v="3"/>
    <x v="3"/>
    <x v="1"/>
    <x v="7"/>
    <x v="0"/>
    <x v="1"/>
    <x v="1"/>
    <x v="0"/>
    <x v="0"/>
    <x v="0"/>
  </r>
  <r>
    <x v="822"/>
    <x v="1"/>
    <x v="1"/>
    <x v="1"/>
    <x v="1"/>
    <x v="13"/>
    <x v="0"/>
    <x v="2"/>
    <x v="2"/>
    <x v="4"/>
    <x v="1"/>
    <x v="3"/>
    <x v="3"/>
    <x v="1"/>
    <x v="7"/>
    <x v="0"/>
    <x v="1"/>
    <x v="0"/>
    <x v="0"/>
    <x v="0"/>
    <x v="0"/>
  </r>
  <r>
    <x v="823"/>
    <x v="0"/>
    <x v="0"/>
    <x v="0"/>
    <x v="0"/>
    <x v="13"/>
    <x v="0"/>
    <x v="2"/>
    <x v="2"/>
    <x v="4"/>
    <x v="1"/>
    <x v="4"/>
    <x v="0"/>
    <x v="1"/>
    <x v="16"/>
    <x v="0"/>
    <x v="1"/>
    <x v="1"/>
    <x v="0"/>
    <x v="0"/>
    <x v="0"/>
  </r>
  <r>
    <x v="824"/>
    <x v="0"/>
    <x v="0"/>
    <x v="1"/>
    <x v="1"/>
    <x v="13"/>
    <x v="0"/>
    <x v="2"/>
    <x v="2"/>
    <x v="4"/>
    <x v="1"/>
    <x v="4"/>
    <x v="4"/>
    <x v="1"/>
    <x v="16"/>
    <x v="0"/>
    <x v="1"/>
    <x v="0"/>
    <x v="0"/>
    <x v="0"/>
    <x v="0"/>
  </r>
  <r>
    <x v="825"/>
    <x v="1"/>
    <x v="1"/>
    <x v="1"/>
    <x v="1"/>
    <x v="13"/>
    <x v="0"/>
    <x v="2"/>
    <x v="2"/>
    <x v="4"/>
    <x v="0"/>
    <x v="4"/>
    <x v="0"/>
    <x v="1"/>
    <x v="16"/>
    <x v="0"/>
    <x v="1"/>
    <x v="1"/>
    <x v="0"/>
    <x v="0"/>
    <x v="0"/>
  </r>
  <r>
    <x v="826"/>
    <x v="0"/>
    <x v="0"/>
    <x v="0"/>
    <x v="0"/>
    <x v="13"/>
    <x v="0"/>
    <x v="2"/>
    <x v="3"/>
    <x v="3"/>
    <x v="1"/>
    <x v="4"/>
    <x v="0"/>
    <x v="1"/>
    <x v="31"/>
    <x v="0"/>
    <x v="1"/>
    <x v="0"/>
    <x v="0"/>
    <x v="0"/>
    <x v="0"/>
  </r>
  <r>
    <x v="827"/>
    <x v="0"/>
    <x v="0"/>
    <x v="0"/>
    <x v="0"/>
    <x v="13"/>
    <x v="0"/>
    <x v="5"/>
    <x v="2"/>
    <x v="3"/>
    <x v="1"/>
    <x v="3"/>
    <x v="0"/>
    <x v="2"/>
    <x v="31"/>
    <x v="0"/>
    <x v="1"/>
    <x v="0"/>
    <x v="0"/>
    <x v="0"/>
    <x v="0"/>
  </r>
  <r>
    <x v="828"/>
    <x v="0"/>
    <x v="0"/>
    <x v="0"/>
    <x v="0"/>
    <x v="13"/>
    <x v="0"/>
    <x v="5"/>
    <x v="2"/>
    <x v="3"/>
    <x v="0"/>
    <x v="3"/>
    <x v="3"/>
    <x v="2"/>
    <x v="17"/>
    <x v="0"/>
    <x v="1"/>
    <x v="0"/>
    <x v="0"/>
    <x v="0"/>
    <x v="0"/>
  </r>
  <r>
    <x v="829"/>
    <x v="0"/>
    <x v="0"/>
    <x v="1"/>
    <x v="1"/>
    <x v="13"/>
    <x v="0"/>
    <x v="5"/>
    <x v="2"/>
    <x v="3"/>
    <x v="1"/>
    <x v="3"/>
    <x v="0"/>
    <x v="2"/>
    <x v="17"/>
    <x v="0"/>
    <x v="1"/>
    <x v="0"/>
    <x v="0"/>
    <x v="0"/>
    <x v="0"/>
  </r>
  <r>
    <x v="830"/>
    <x v="0"/>
    <x v="0"/>
    <x v="1"/>
    <x v="1"/>
    <x v="13"/>
    <x v="0"/>
    <x v="5"/>
    <x v="2"/>
    <x v="3"/>
    <x v="1"/>
    <x v="3"/>
    <x v="0"/>
    <x v="2"/>
    <x v="17"/>
    <x v="0"/>
    <x v="1"/>
    <x v="0"/>
    <x v="0"/>
    <x v="0"/>
    <x v="0"/>
  </r>
  <r>
    <x v="831"/>
    <x v="0"/>
    <x v="0"/>
    <x v="0"/>
    <x v="0"/>
    <x v="13"/>
    <x v="0"/>
    <x v="5"/>
    <x v="0"/>
    <x v="4"/>
    <x v="0"/>
    <x v="3"/>
    <x v="3"/>
    <x v="2"/>
    <x v="1"/>
    <x v="0"/>
    <x v="1"/>
    <x v="0"/>
    <x v="0"/>
    <x v="0"/>
    <x v="0"/>
  </r>
  <r>
    <x v="832"/>
    <x v="1"/>
    <x v="1"/>
    <x v="0"/>
    <x v="0"/>
    <x v="13"/>
    <x v="0"/>
    <x v="5"/>
    <x v="2"/>
    <x v="3"/>
    <x v="1"/>
    <x v="3"/>
    <x v="0"/>
    <x v="2"/>
    <x v="1"/>
    <x v="0"/>
    <x v="1"/>
    <x v="1"/>
    <x v="0"/>
    <x v="0"/>
    <x v="0"/>
  </r>
  <r>
    <x v="833"/>
    <x v="1"/>
    <x v="1"/>
    <x v="0"/>
    <x v="0"/>
    <x v="13"/>
    <x v="0"/>
    <x v="5"/>
    <x v="2"/>
    <x v="3"/>
    <x v="1"/>
    <x v="3"/>
    <x v="0"/>
    <x v="2"/>
    <x v="1"/>
    <x v="0"/>
    <x v="1"/>
    <x v="1"/>
    <x v="0"/>
    <x v="0"/>
    <x v="0"/>
  </r>
  <r>
    <x v="834"/>
    <x v="0"/>
    <x v="0"/>
    <x v="1"/>
    <x v="1"/>
    <x v="13"/>
    <x v="0"/>
    <x v="5"/>
    <x v="2"/>
    <x v="3"/>
    <x v="1"/>
    <x v="3"/>
    <x v="0"/>
    <x v="2"/>
    <x v="1"/>
    <x v="0"/>
    <x v="1"/>
    <x v="1"/>
    <x v="0"/>
    <x v="0"/>
    <x v="0"/>
  </r>
  <r>
    <x v="835"/>
    <x v="0"/>
    <x v="0"/>
    <x v="0"/>
    <x v="0"/>
    <x v="13"/>
    <x v="0"/>
    <x v="5"/>
    <x v="2"/>
    <x v="3"/>
    <x v="0"/>
    <x v="3"/>
    <x v="3"/>
    <x v="2"/>
    <x v="28"/>
    <x v="0"/>
    <x v="1"/>
    <x v="0"/>
    <x v="0"/>
    <x v="0"/>
    <x v="0"/>
  </r>
  <r>
    <x v="836"/>
    <x v="0"/>
    <x v="0"/>
    <x v="1"/>
    <x v="1"/>
    <x v="13"/>
    <x v="0"/>
    <x v="5"/>
    <x v="0"/>
    <x v="4"/>
    <x v="0"/>
    <x v="3"/>
    <x v="0"/>
    <x v="2"/>
    <x v="28"/>
    <x v="0"/>
    <x v="1"/>
    <x v="1"/>
    <x v="0"/>
    <x v="0"/>
    <x v="0"/>
  </r>
  <r>
    <x v="837"/>
    <x v="1"/>
    <x v="1"/>
    <x v="1"/>
    <x v="1"/>
    <x v="13"/>
    <x v="0"/>
    <x v="5"/>
    <x v="0"/>
    <x v="4"/>
    <x v="0"/>
    <x v="3"/>
    <x v="3"/>
    <x v="2"/>
    <x v="19"/>
    <x v="0"/>
    <x v="1"/>
    <x v="0"/>
    <x v="0"/>
    <x v="0"/>
    <x v="0"/>
  </r>
  <r>
    <x v="838"/>
    <x v="1"/>
    <x v="1"/>
    <x v="0"/>
    <x v="0"/>
    <x v="13"/>
    <x v="0"/>
    <x v="3"/>
    <x v="0"/>
    <x v="4"/>
    <x v="0"/>
    <x v="3"/>
    <x v="0"/>
    <x v="2"/>
    <x v="41"/>
    <x v="0"/>
    <x v="1"/>
    <x v="0"/>
    <x v="0"/>
    <x v="0"/>
    <x v="0"/>
  </r>
  <r>
    <x v="839"/>
    <x v="1"/>
    <x v="1"/>
    <x v="0"/>
    <x v="0"/>
    <x v="13"/>
    <x v="0"/>
    <x v="3"/>
    <x v="0"/>
    <x v="4"/>
    <x v="0"/>
    <x v="3"/>
    <x v="0"/>
    <x v="2"/>
    <x v="41"/>
    <x v="0"/>
    <x v="1"/>
    <x v="0"/>
    <x v="0"/>
    <x v="0"/>
    <x v="0"/>
  </r>
  <r>
    <x v="840"/>
    <x v="1"/>
    <x v="1"/>
    <x v="1"/>
    <x v="1"/>
    <x v="13"/>
    <x v="0"/>
    <x v="1"/>
    <x v="4"/>
    <x v="3"/>
    <x v="1"/>
    <x v="0"/>
    <x v="2"/>
    <x v="1"/>
    <x v="41"/>
    <x v="0"/>
    <x v="1"/>
    <x v="0"/>
    <x v="0"/>
    <x v="0"/>
    <x v="0"/>
  </r>
  <r>
    <x v="841"/>
    <x v="1"/>
    <x v="1"/>
    <x v="1"/>
    <x v="1"/>
    <x v="13"/>
    <x v="0"/>
    <x v="2"/>
    <x v="3"/>
    <x v="4"/>
    <x v="1"/>
    <x v="1"/>
    <x v="1"/>
    <x v="0"/>
    <x v="29"/>
    <x v="0"/>
    <x v="1"/>
    <x v="0"/>
    <x v="0"/>
    <x v="0"/>
    <x v="0"/>
  </r>
  <r>
    <x v="842"/>
    <x v="1"/>
    <x v="1"/>
    <x v="1"/>
    <x v="1"/>
    <x v="13"/>
    <x v="0"/>
    <x v="2"/>
    <x v="3"/>
    <x v="4"/>
    <x v="1"/>
    <x v="1"/>
    <x v="1"/>
    <x v="0"/>
    <x v="37"/>
    <x v="0"/>
    <x v="1"/>
    <x v="1"/>
    <x v="0"/>
    <x v="0"/>
    <x v="0"/>
  </r>
  <r>
    <x v="843"/>
    <x v="0"/>
    <x v="0"/>
    <x v="0"/>
    <x v="0"/>
    <x v="13"/>
    <x v="0"/>
    <x v="2"/>
    <x v="3"/>
    <x v="4"/>
    <x v="1"/>
    <x v="1"/>
    <x v="1"/>
    <x v="0"/>
    <x v="30"/>
    <x v="0"/>
    <x v="1"/>
    <x v="1"/>
    <x v="0"/>
    <x v="0"/>
    <x v="0"/>
  </r>
  <r>
    <x v="844"/>
    <x v="0"/>
    <x v="0"/>
    <x v="0"/>
    <x v="0"/>
    <x v="13"/>
    <x v="0"/>
    <x v="2"/>
    <x v="3"/>
    <x v="4"/>
    <x v="1"/>
    <x v="1"/>
    <x v="1"/>
    <x v="0"/>
    <x v="33"/>
    <x v="0"/>
    <x v="1"/>
    <x v="1"/>
    <x v="0"/>
    <x v="0"/>
    <x v="0"/>
  </r>
  <r>
    <x v="845"/>
    <x v="0"/>
    <x v="0"/>
    <x v="1"/>
    <x v="1"/>
    <x v="13"/>
    <x v="0"/>
    <x v="2"/>
    <x v="3"/>
    <x v="4"/>
    <x v="1"/>
    <x v="1"/>
    <x v="1"/>
    <x v="0"/>
    <x v="33"/>
    <x v="0"/>
    <x v="1"/>
    <x v="0"/>
    <x v="0"/>
    <x v="0"/>
    <x v="0"/>
  </r>
  <r>
    <x v="846"/>
    <x v="0"/>
    <x v="0"/>
    <x v="0"/>
    <x v="0"/>
    <x v="13"/>
    <x v="0"/>
    <x v="3"/>
    <x v="0"/>
    <x v="4"/>
    <x v="0"/>
    <x v="3"/>
    <x v="1"/>
    <x v="2"/>
    <x v="21"/>
    <x v="0"/>
    <x v="1"/>
    <x v="1"/>
    <x v="0"/>
    <x v="0"/>
    <x v="0"/>
  </r>
  <r>
    <x v="847"/>
    <x v="1"/>
    <x v="1"/>
    <x v="0"/>
    <x v="0"/>
    <x v="13"/>
    <x v="0"/>
    <x v="3"/>
    <x v="0"/>
    <x v="4"/>
    <x v="0"/>
    <x v="3"/>
    <x v="0"/>
    <x v="2"/>
    <x v="21"/>
    <x v="0"/>
    <x v="1"/>
    <x v="1"/>
    <x v="0"/>
    <x v="0"/>
    <x v="0"/>
  </r>
  <r>
    <x v="848"/>
    <x v="1"/>
    <x v="1"/>
    <x v="0"/>
    <x v="0"/>
    <x v="13"/>
    <x v="0"/>
    <x v="3"/>
    <x v="0"/>
    <x v="4"/>
    <x v="0"/>
    <x v="3"/>
    <x v="0"/>
    <x v="2"/>
    <x v="21"/>
    <x v="0"/>
    <x v="1"/>
    <x v="1"/>
    <x v="0"/>
    <x v="0"/>
    <x v="0"/>
  </r>
  <r>
    <x v="849"/>
    <x v="1"/>
    <x v="1"/>
    <x v="1"/>
    <x v="1"/>
    <x v="13"/>
    <x v="0"/>
    <x v="3"/>
    <x v="0"/>
    <x v="4"/>
    <x v="1"/>
    <x v="3"/>
    <x v="0"/>
    <x v="2"/>
    <x v="42"/>
    <x v="0"/>
    <x v="1"/>
    <x v="1"/>
    <x v="0"/>
    <x v="0"/>
    <x v="0"/>
  </r>
  <r>
    <x v="850"/>
    <x v="0"/>
    <x v="0"/>
    <x v="0"/>
    <x v="0"/>
    <x v="13"/>
    <x v="0"/>
    <x v="3"/>
    <x v="0"/>
    <x v="4"/>
    <x v="0"/>
    <x v="3"/>
    <x v="0"/>
    <x v="2"/>
    <x v="22"/>
    <x v="0"/>
    <x v="1"/>
    <x v="1"/>
    <x v="0"/>
    <x v="0"/>
    <x v="0"/>
  </r>
  <r>
    <x v="851"/>
    <x v="0"/>
    <x v="0"/>
    <x v="0"/>
    <x v="0"/>
    <x v="13"/>
    <x v="0"/>
    <x v="3"/>
    <x v="0"/>
    <x v="4"/>
    <x v="0"/>
    <x v="3"/>
    <x v="1"/>
    <x v="2"/>
    <x v="22"/>
    <x v="0"/>
    <x v="1"/>
    <x v="1"/>
    <x v="0"/>
    <x v="0"/>
    <x v="0"/>
  </r>
  <r>
    <x v="852"/>
    <x v="0"/>
    <x v="0"/>
    <x v="0"/>
    <x v="0"/>
    <x v="13"/>
    <x v="0"/>
    <x v="3"/>
    <x v="0"/>
    <x v="4"/>
    <x v="1"/>
    <x v="3"/>
    <x v="0"/>
    <x v="2"/>
    <x v="22"/>
    <x v="0"/>
    <x v="1"/>
    <x v="1"/>
    <x v="0"/>
    <x v="0"/>
    <x v="0"/>
  </r>
  <r>
    <x v="853"/>
    <x v="1"/>
    <x v="1"/>
    <x v="0"/>
    <x v="0"/>
    <x v="14"/>
    <x v="0"/>
    <x v="4"/>
    <x v="4"/>
    <x v="2"/>
    <x v="0"/>
    <x v="3"/>
    <x v="1"/>
    <x v="0"/>
    <x v="48"/>
    <x v="0"/>
    <x v="2"/>
    <x v="1"/>
    <x v="0"/>
    <x v="0"/>
    <x v="0"/>
  </r>
  <r>
    <x v="854"/>
    <x v="1"/>
    <x v="1"/>
    <x v="1"/>
    <x v="1"/>
    <x v="14"/>
    <x v="0"/>
    <x v="4"/>
    <x v="3"/>
    <x v="4"/>
    <x v="1"/>
    <x v="1"/>
    <x v="1"/>
    <x v="2"/>
    <x v="48"/>
    <x v="0"/>
    <x v="2"/>
    <x v="0"/>
    <x v="0"/>
    <x v="0"/>
    <x v="0"/>
  </r>
  <r>
    <x v="855"/>
    <x v="0"/>
    <x v="0"/>
    <x v="0"/>
    <x v="0"/>
    <x v="14"/>
    <x v="0"/>
    <x v="4"/>
    <x v="3"/>
    <x v="4"/>
    <x v="0"/>
    <x v="1"/>
    <x v="1"/>
    <x v="2"/>
    <x v="49"/>
    <x v="0"/>
    <x v="2"/>
    <x v="0"/>
    <x v="0"/>
    <x v="0"/>
    <x v="0"/>
  </r>
  <r>
    <x v="856"/>
    <x v="1"/>
    <x v="1"/>
    <x v="0"/>
    <x v="0"/>
    <x v="14"/>
    <x v="0"/>
    <x v="4"/>
    <x v="4"/>
    <x v="2"/>
    <x v="0"/>
    <x v="3"/>
    <x v="3"/>
    <x v="0"/>
    <x v="49"/>
    <x v="0"/>
    <x v="2"/>
    <x v="1"/>
    <x v="0"/>
    <x v="0"/>
    <x v="0"/>
  </r>
  <r>
    <x v="857"/>
    <x v="1"/>
    <x v="1"/>
    <x v="0"/>
    <x v="0"/>
    <x v="14"/>
    <x v="0"/>
    <x v="4"/>
    <x v="4"/>
    <x v="2"/>
    <x v="1"/>
    <x v="3"/>
    <x v="3"/>
    <x v="0"/>
    <x v="49"/>
    <x v="0"/>
    <x v="2"/>
    <x v="0"/>
    <x v="0"/>
    <x v="0"/>
    <x v="0"/>
  </r>
  <r>
    <x v="858"/>
    <x v="0"/>
    <x v="0"/>
    <x v="1"/>
    <x v="1"/>
    <x v="14"/>
    <x v="0"/>
    <x v="4"/>
    <x v="3"/>
    <x v="4"/>
    <x v="1"/>
    <x v="1"/>
    <x v="1"/>
    <x v="2"/>
    <x v="49"/>
    <x v="0"/>
    <x v="2"/>
    <x v="0"/>
    <x v="0"/>
    <x v="0"/>
    <x v="0"/>
  </r>
  <r>
    <x v="859"/>
    <x v="1"/>
    <x v="1"/>
    <x v="0"/>
    <x v="0"/>
    <x v="14"/>
    <x v="0"/>
    <x v="1"/>
    <x v="2"/>
    <x v="2"/>
    <x v="1"/>
    <x v="3"/>
    <x v="1"/>
    <x v="0"/>
    <x v="45"/>
    <x v="0"/>
    <x v="2"/>
    <x v="1"/>
    <x v="0"/>
    <x v="0"/>
    <x v="0"/>
  </r>
  <r>
    <x v="860"/>
    <x v="0"/>
    <x v="0"/>
    <x v="1"/>
    <x v="1"/>
    <x v="14"/>
    <x v="0"/>
    <x v="4"/>
    <x v="3"/>
    <x v="4"/>
    <x v="1"/>
    <x v="1"/>
    <x v="1"/>
    <x v="2"/>
    <x v="45"/>
    <x v="0"/>
    <x v="2"/>
    <x v="0"/>
    <x v="0"/>
    <x v="0"/>
    <x v="0"/>
  </r>
  <r>
    <x v="861"/>
    <x v="1"/>
    <x v="1"/>
    <x v="0"/>
    <x v="0"/>
    <x v="14"/>
    <x v="0"/>
    <x v="4"/>
    <x v="2"/>
    <x v="2"/>
    <x v="0"/>
    <x v="4"/>
    <x v="3"/>
    <x v="0"/>
    <x v="50"/>
    <x v="0"/>
    <x v="2"/>
    <x v="1"/>
    <x v="0"/>
    <x v="0"/>
    <x v="0"/>
  </r>
  <r>
    <x v="862"/>
    <x v="1"/>
    <x v="1"/>
    <x v="1"/>
    <x v="1"/>
    <x v="14"/>
    <x v="0"/>
    <x v="4"/>
    <x v="2"/>
    <x v="2"/>
    <x v="0"/>
    <x v="4"/>
    <x v="4"/>
    <x v="0"/>
    <x v="50"/>
    <x v="0"/>
    <x v="2"/>
    <x v="1"/>
    <x v="0"/>
    <x v="0"/>
    <x v="0"/>
  </r>
  <r>
    <x v="863"/>
    <x v="1"/>
    <x v="1"/>
    <x v="1"/>
    <x v="1"/>
    <x v="14"/>
    <x v="0"/>
    <x v="4"/>
    <x v="0"/>
    <x v="2"/>
    <x v="0"/>
    <x v="1"/>
    <x v="1"/>
    <x v="2"/>
    <x v="50"/>
    <x v="0"/>
    <x v="2"/>
    <x v="0"/>
    <x v="0"/>
    <x v="0"/>
    <x v="0"/>
  </r>
  <r>
    <x v="864"/>
    <x v="1"/>
    <x v="1"/>
    <x v="1"/>
    <x v="1"/>
    <x v="14"/>
    <x v="0"/>
    <x v="4"/>
    <x v="0"/>
    <x v="2"/>
    <x v="1"/>
    <x v="1"/>
    <x v="1"/>
    <x v="2"/>
    <x v="50"/>
    <x v="0"/>
    <x v="2"/>
    <x v="0"/>
    <x v="0"/>
    <x v="0"/>
    <x v="0"/>
  </r>
  <r>
    <x v="865"/>
    <x v="1"/>
    <x v="1"/>
    <x v="0"/>
    <x v="0"/>
    <x v="14"/>
    <x v="0"/>
    <x v="4"/>
    <x v="0"/>
    <x v="2"/>
    <x v="1"/>
    <x v="1"/>
    <x v="1"/>
    <x v="2"/>
    <x v="38"/>
    <x v="0"/>
    <x v="2"/>
    <x v="0"/>
    <x v="0"/>
    <x v="0"/>
    <x v="0"/>
  </r>
  <r>
    <x v="866"/>
    <x v="1"/>
    <x v="1"/>
    <x v="0"/>
    <x v="0"/>
    <x v="14"/>
    <x v="0"/>
    <x v="4"/>
    <x v="2"/>
    <x v="2"/>
    <x v="0"/>
    <x v="4"/>
    <x v="4"/>
    <x v="0"/>
    <x v="38"/>
    <x v="0"/>
    <x v="2"/>
    <x v="1"/>
    <x v="0"/>
    <x v="0"/>
    <x v="0"/>
  </r>
  <r>
    <x v="867"/>
    <x v="1"/>
    <x v="1"/>
    <x v="1"/>
    <x v="1"/>
    <x v="14"/>
    <x v="0"/>
    <x v="4"/>
    <x v="2"/>
    <x v="2"/>
    <x v="0"/>
    <x v="4"/>
    <x v="4"/>
    <x v="0"/>
    <x v="38"/>
    <x v="0"/>
    <x v="2"/>
    <x v="1"/>
    <x v="0"/>
    <x v="0"/>
    <x v="0"/>
  </r>
  <r>
    <x v="868"/>
    <x v="1"/>
    <x v="1"/>
    <x v="0"/>
    <x v="0"/>
    <x v="14"/>
    <x v="0"/>
    <x v="4"/>
    <x v="2"/>
    <x v="2"/>
    <x v="0"/>
    <x v="4"/>
    <x v="4"/>
    <x v="0"/>
    <x v="39"/>
    <x v="0"/>
    <x v="0"/>
    <x v="1"/>
    <x v="0"/>
    <x v="0"/>
    <x v="0"/>
  </r>
  <r>
    <x v="869"/>
    <x v="1"/>
    <x v="1"/>
    <x v="1"/>
    <x v="1"/>
    <x v="14"/>
    <x v="0"/>
    <x v="4"/>
    <x v="2"/>
    <x v="2"/>
    <x v="0"/>
    <x v="4"/>
    <x v="4"/>
    <x v="0"/>
    <x v="39"/>
    <x v="0"/>
    <x v="0"/>
    <x v="1"/>
    <x v="0"/>
    <x v="0"/>
    <x v="0"/>
  </r>
  <r>
    <x v="870"/>
    <x v="1"/>
    <x v="1"/>
    <x v="0"/>
    <x v="0"/>
    <x v="14"/>
    <x v="0"/>
    <x v="4"/>
    <x v="2"/>
    <x v="2"/>
    <x v="0"/>
    <x v="4"/>
    <x v="0"/>
    <x v="0"/>
    <x v="8"/>
    <x v="0"/>
    <x v="0"/>
    <x v="1"/>
    <x v="0"/>
    <x v="0"/>
    <x v="0"/>
  </r>
  <r>
    <x v="871"/>
    <x v="1"/>
    <x v="1"/>
    <x v="1"/>
    <x v="1"/>
    <x v="14"/>
    <x v="0"/>
    <x v="4"/>
    <x v="4"/>
    <x v="2"/>
    <x v="1"/>
    <x v="3"/>
    <x v="3"/>
    <x v="0"/>
    <x v="8"/>
    <x v="0"/>
    <x v="0"/>
    <x v="0"/>
    <x v="0"/>
    <x v="0"/>
    <x v="0"/>
  </r>
  <r>
    <x v="872"/>
    <x v="1"/>
    <x v="1"/>
    <x v="0"/>
    <x v="0"/>
    <x v="14"/>
    <x v="0"/>
    <x v="4"/>
    <x v="4"/>
    <x v="2"/>
    <x v="0"/>
    <x v="3"/>
    <x v="1"/>
    <x v="0"/>
    <x v="23"/>
    <x v="0"/>
    <x v="0"/>
    <x v="0"/>
    <x v="0"/>
    <x v="0"/>
    <x v="0"/>
  </r>
  <r>
    <x v="873"/>
    <x v="1"/>
    <x v="1"/>
    <x v="0"/>
    <x v="0"/>
    <x v="14"/>
    <x v="0"/>
    <x v="4"/>
    <x v="4"/>
    <x v="2"/>
    <x v="0"/>
    <x v="3"/>
    <x v="3"/>
    <x v="0"/>
    <x v="23"/>
    <x v="0"/>
    <x v="0"/>
    <x v="1"/>
    <x v="0"/>
    <x v="0"/>
    <x v="0"/>
  </r>
  <r>
    <x v="874"/>
    <x v="0"/>
    <x v="0"/>
    <x v="1"/>
    <x v="1"/>
    <x v="14"/>
    <x v="0"/>
    <x v="4"/>
    <x v="4"/>
    <x v="2"/>
    <x v="1"/>
    <x v="3"/>
    <x v="1"/>
    <x v="0"/>
    <x v="23"/>
    <x v="0"/>
    <x v="0"/>
    <x v="1"/>
    <x v="0"/>
    <x v="0"/>
    <x v="0"/>
  </r>
  <r>
    <x v="875"/>
    <x v="1"/>
    <x v="1"/>
    <x v="0"/>
    <x v="0"/>
    <x v="14"/>
    <x v="0"/>
    <x v="4"/>
    <x v="4"/>
    <x v="2"/>
    <x v="0"/>
    <x v="3"/>
    <x v="3"/>
    <x v="0"/>
    <x v="24"/>
    <x v="0"/>
    <x v="0"/>
    <x v="0"/>
    <x v="0"/>
    <x v="0"/>
    <x v="0"/>
  </r>
  <r>
    <x v="876"/>
    <x v="1"/>
    <x v="1"/>
    <x v="1"/>
    <x v="1"/>
    <x v="14"/>
    <x v="0"/>
    <x v="4"/>
    <x v="4"/>
    <x v="2"/>
    <x v="0"/>
    <x v="3"/>
    <x v="1"/>
    <x v="0"/>
    <x v="24"/>
    <x v="0"/>
    <x v="0"/>
    <x v="1"/>
    <x v="0"/>
    <x v="0"/>
    <x v="0"/>
  </r>
  <r>
    <x v="877"/>
    <x v="1"/>
    <x v="1"/>
    <x v="0"/>
    <x v="0"/>
    <x v="14"/>
    <x v="0"/>
    <x v="4"/>
    <x v="4"/>
    <x v="2"/>
    <x v="0"/>
    <x v="3"/>
    <x v="3"/>
    <x v="0"/>
    <x v="32"/>
    <x v="0"/>
    <x v="0"/>
    <x v="0"/>
    <x v="0"/>
    <x v="0"/>
    <x v="0"/>
  </r>
  <r>
    <x v="878"/>
    <x v="0"/>
    <x v="0"/>
    <x v="1"/>
    <x v="1"/>
    <x v="14"/>
    <x v="0"/>
    <x v="2"/>
    <x v="0"/>
    <x v="2"/>
    <x v="1"/>
    <x v="1"/>
    <x v="3"/>
    <x v="0"/>
    <x v="32"/>
    <x v="0"/>
    <x v="0"/>
    <x v="1"/>
    <x v="0"/>
    <x v="0"/>
    <x v="0"/>
  </r>
  <r>
    <x v="879"/>
    <x v="1"/>
    <x v="1"/>
    <x v="0"/>
    <x v="0"/>
    <x v="14"/>
    <x v="0"/>
    <x v="4"/>
    <x v="0"/>
    <x v="2"/>
    <x v="0"/>
    <x v="4"/>
    <x v="4"/>
    <x v="0"/>
    <x v="9"/>
    <x v="0"/>
    <x v="0"/>
    <x v="0"/>
    <x v="0"/>
    <x v="0"/>
    <x v="0"/>
  </r>
  <r>
    <x v="880"/>
    <x v="1"/>
    <x v="1"/>
    <x v="1"/>
    <x v="1"/>
    <x v="14"/>
    <x v="0"/>
    <x v="4"/>
    <x v="0"/>
    <x v="2"/>
    <x v="0"/>
    <x v="4"/>
    <x v="4"/>
    <x v="0"/>
    <x v="9"/>
    <x v="0"/>
    <x v="0"/>
    <x v="0"/>
    <x v="0"/>
    <x v="0"/>
    <x v="0"/>
  </r>
  <r>
    <x v="881"/>
    <x v="1"/>
    <x v="1"/>
    <x v="1"/>
    <x v="1"/>
    <x v="14"/>
    <x v="0"/>
    <x v="2"/>
    <x v="0"/>
    <x v="2"/>
    <x v="0"/>
    <x v="1"/>
    <x v="1"/>
    <x v="0"/>
    <x v="5"/>
    <x v="0"/>
    <x v="0"/>
    <x v="1"/>
    <x v="0"/>
    <x v="0"/>
    <x v="0"/>
  </r>
  <r>
    <x v="882"/>
    <x v="0"/>
    <x v="0"/>
    <x v="0"/>
    <x v="0"/>
    <x v="14"/>
    <x v="0"/>
    <x v="3"/>
    <x v="2"/>
    <x v="2"/>
    <x v="1"/>
    <x v="1"/>
    <x v="1"/>
    <x v="0"/>
    <x v="11"/>
    <x v="0"/>
    <x v="0"/>
    <x v="0"/>
    <x v="0"/>
    <x v="0"/>
    <x v="0"/>
  </r>
  <r>
    <x v="883"/>
    <x v="1"/>
    <x v="1"/>
    <x v="0"/>
    <x v="0"/>
    <x v="14"/>
    <x v="0"/>
    <x v="4"/>
    <x v="2"/>
    <x v="2"/>
    <x v="1"/>
    <x v="1"/>
    <x v="1"/>
    <x v="0"/>
    <x v="11"/>
    <x v="0"/>
    <x v="0"/>
    <x v="0"/>
    <x v="0"/>
    <x v="0"/>
    <x v="0"/>
  </r>
  <r>
    <x v="884"/>
    <x v="0"/>
    <x v="0"/>
    <x v="1"/>
    <x v="1"/>
    <x v="14"/>
    <x v="0"/>
    <x v="2"/>
    <x v="2"/>
    <x v="2"/>
    <x v="0"/>
    <x v="4"/>
    <x v="3"/>
    <x v="0"/>
    <x v="11"/>
    <x v="0"/>
    <x v="0"/>
    <x v="0"/>
    <x v="0"/>
    <x v="0"/>
    <x v="0"/>
  </r>
  <r>
    <x v="885"/>
    <x v="1"/>
    <x v="1"/>
    <x v="1"/>
    <x v="1"/>
    <x v="14"/>
    <x v="0"/>
    <x v="3"/>
    <x v="2"/>
    <x v="2"/>
    <x v="1"/>
    <x v="4"/>
    <x v="1"/>
    <x v="0"/>
    <x v="11"/>
    <x v="0"/>
    <x v="0"/>
    <x v="1"/>
    <x v="0"/>
    <x v="0"/>
    <x v="0"/>
  </r>
  <r>
    <x v="886"/>
    <x v="0"/>
    <x v="0"/>
    <x v="0"/>
    <x v="0"/>
    <x v="14"/>
    <x v="0"/>
    <x v="5"/>
    <x v="2"/>
    <x v="2"/>
    <x v="1"/>
    <x v="1"/>
    <x v="1"/>
    <x v="0"/>
    <x v="12"/>
    <x v="0"/>
    <x v="0"/>
    <x v="0"/>
    <x v="0"/>
    <x v="0"/>
    <x v="0"/>
  </r>
  <r>
    <x v="887"/>
    <x v="1"/>
    <x v="1"/>
    <x v="0"/>
    <x v="0"/>
    <x v="14"/>
    <x v="0"/>
    <x v="5"/>
    <x v="2"/>
    <x v="2"/>
    <x v="1"/>
    <x v="4"/>
    <x v="1"/>
    <x v="0"/>
    <x v="13"/>
    <x v="0"/>
    <x v="0"/>
    <x v="0"/>
    <x v="0"/>
    <x v="0"/>
    <x v="0"/>
  </r>
  <r>
    <x v="888"/>
    <x v="0"/>
    <x v="0"/>
    <x v="1"/>
    <x v="1"/>
    <x v="14"/>
    <x v="0"/>
    <x v="3"/>
    <x v="2"/>
    <x v="2"/>
    <x v="1"/>
    <x v="3"/>
    <x v="1"/>
    <x v="0"/>
    <x v="13"/>
    <x v="0"/>
    <x v="0"/>
    <x v="1"/>
    <x v="0"/>
    <x v="0"/>
    <x v="0"/>
  </r>
  <r>
    <x v="889"/>
    <x v="1"/>
    <x v="1"/>
    <x v="1"/>
    <x v="1"/>
    <x v="14"/>
    <x v="0"/>
    <x v="3"/>
    <x v="2"/>
    <x v="2"/>
    <x v="1"/>
    <x v="3"/>
    <x v="1"/>
    <x v="0"/>
    <x v="13"/>
    <x v="0"/>
    <x v="0"/>
    <x v="1"/>
    <x v="0"/>
    <x v="0"/>
    <x v="0"/>
  </r>
  <r>
    <x v="890"/>
    <x v="0"/>
    <x v="0"/>
    <x v="0"/>
    <x v="0"/>
    <x v="14"/>
    <x v="0"/>
    <x v="5"/>
    <x v="2"/>
    <x v="2"/>
    <x v="1"/>
    <x v="3"/>
    <x v="1"/>
    <x v="0"/>
    <x v="26"/>
    <x v="0"/>
    <x v="0"/>
    <x v="1"/>
    <x v="0"/>
    <x v="0"/>
    <x v="0"/>
  </r>
  <r>
    <x v="891"/>
    <x v="1"/>
    <x v="1"/>
    <x v="0"/>
    <x v="0"/>
    <x v="14"/>
    <x v="0"/>
    <x v="0"/>
    <x v="2"/>
    <x v="2"/>
    <x v="1"/>
    <x v="4"/>
    <x v="1"/>
    <x v="0"/>
    <x v="26"/>
    <x v="0"/>
    <x v="0"/>
    <x v="0"/>
    <x v="0"/>
    <x v="0"/>
    <x v="0"/>
  </r>
  <r>
    <x v="892"/>
    <x v="0"/>
    <x v="0"/>
    <x v="1"/>
    <x v="1"/>
    <x v="14"/>
    <x v="0"/>
    <x v="2"/>
    <x v="1"/>
    <x v="4"/>
    <x v="1"/>
    <x v="1"/>
    <x v="1"/>
    <x v="0"/>
    <x v="26"/>
    <x v="0"/>
    <x v="0"/>
    <x v="1"/>
    <x v="0"/>
    <x v="0"/>
    <x v="0"/>
  </r>
  <r>
    <x v="893"/>
    <x v="0"/>
    <x v="0"/>
    <x v="1"/>
    <x v="1"/>
    <x v="14"/>
    <x v="0"/>
    <x v="2"/>
    <x v="1"/>
    <x v="4"/>
    <x v="1"/>
    <x v="1"/>
    <x v="1"/>
    <x v="0"/>
    <x v="6"/>
    <x v="0"/>
    <x v="0"/>
    <x v="1"/>
    <x v="0"/>
    <x v="0"/>
    <x v="0"/>
  </r>
  <r>
    <x v="894"/>
    <x v="0"/>
    <x v="0"/>
    <x v="0"/>
    <x v="0"/>
    <x v="14"/>
    <x v="0"/>
    <x v="2"/>
    <x v="1"/>
    <x v="4"/>
    <x v="1"/>
    <x v="1"/>
    <x v="1"/>
    <x v="0"/>
    <x v="14"/>
    <x v="0"/>
    <x v="0"/>
    <x v="1"/>
    <x v="0"/>
    <x v="0"/>
    <x v="0"/>
  </r>
  <r>
    <x v="895"/>
    <x v="0"/>
    <x v="0"/>
    <x v="0"/>
    <x v="0"/>
    <x v="14"/>
    <x v="0"/>
    <x v="3"/>
    <x v="0"/>
    <x v="2"/>
    <x v="1"/>
    <x v="4"/>
    <x v="1"/>
    <x v="0"/>
    <x v="27"/>
    <x v="0"/>
    <x v="0"/>
    <x v="0"/>
    <x v="0"/>
    <x v="0"/>
    <x v="0"/>
  </r>
  <r>
    <x v="896"/>
    <x v="0"/>
    <x v="0"/>
    <x v="0"/>
    <x v="0"/>
    <x v="14"/>
    <x v="0"/>
    <x v="3"/>
    <x v="0"/>
    <x v="2"/>
    <x v="1"/>
    <x v="4"/>
    <x v="4"/>
    <x v="0"/>
    <x v="4"/>
    <x v="0"/>
    <x v="0"/>
    <x v="0"/>
    <x v="0"/>
    <x v="0"/>
    <x v="0"/>
  </r>
  <r>
    <x v="897"/>
    <x v="0"/>
    <x v="0"/>
    <x v="0"/>
    <x v="0"/>
    <x v="14"/>
    <x v="0"/>
    <x v="3"/>
    <x v="4"/>
    <x v="4"/>
    <x v="0"/>
    <x v="1"/>
    <x v="1"/>
    <x v="1"/>
    <x v="0"/>
    <x v="0"/>
    <x v="0"/>
    <x v="1"/>
    <x v="0"/>
    <x v="0"/>
    <x v="0"/>
  </r>
  <r>
    <x v="898"/>
    <x v="0"/>
    <x v="0"/>
    <x v="0"/>
    <x v="0"/>
    <x v="14"/>
    <x v="0"/>
    <x v="3"/>
    <x v="4"/>
    <x v="4"/>
    <x v="1"/>
    <x v="3"/>
    <x v="1"/>
    <x v="1"/>
    <x v="36"/>
    <x v="0"/>
    <x v="0"/>
    <x v="1"/>
    <x v="0"/>
    <x v="0"/>
    <x v="0"/>
  </r>
  <r>
    <x v="899"/>
    <x v="1"/>
    <x v="1"/>
    <x v="0"/>
    <x v="0"/>
    <x v="14"/>
    <x v="0"/>
    <x v="5"/>
    <x v="4"/>
    <x v="4"/>
    <x v="0"/>
    <x v="3"/>
    <x v="1"/>
    <x v="1"/>
    <x v="36"/>
    <x v="0"/>
    <x v="0"/>
    <x v="1"/>
    <x v="0"/>
    <x v="0"/>
    <x v="0"/>
  </r>
  <r>
    <x v="900"/>
    <x v="1"/>
    <x v="1"/>
    <x v="0"/>
    <x v="0"/>
    <x v="14"/>
    <x v="0"/>
    <x v="3"/>
    <x v="4"/>
    <x v="4"/>
    <x v="1"/>
    <x v="3"/>
    <x v="3"/>
    <x v="1"/>
    <x v="36"/>
    <x v="0"/>
    <x v="0"/>
    <x v="1"/>
    <x v="0"/>
    <x v="0"/>
    <x v="0"/>
  </r>
  <r>
    <x v="901"/>
    <x v="0"/>
    <x v="0"/>
    <x v="1"/>
    <x v="1"/>
    <x v="14"/>
    <x v="0"/>
    <x v="3"/>
    <x v="4"/>
    <x v="4"/>
    <x v="1"/>
    <x v="3"/>
    <x v="3"/>
    <x v="1"/>
    <x v="36"/>
    <x v="0"/>
    <x v="0"/>
    <x v="1"/>
    <x v="0"/>
    <x v="0"/>
    <x v="0"/>
  </r>
  <r>
    <x v="902"/>
    <x v="0"/>
    <x v="0"/>
    <x v="0"/>
    <x v="0"/>
    <x v="14"/>
    <x v="0"/>
    <x v="2"/>
    <x v="3"/>
    <x v="4"/>
    <x v="1"/>
    <x v="1"/>
    <x v="1"/>
    <x v="0"/>
    <x v="15"/>
    <x v="0"/>
    <x v="0"/>
    <x v="0"/>
    <x v="0"/>
    <x v="0"/>
    <x v="0"/>
  </r>
  <r>
    <x v="903"/>
    <x v="1"/>
    <x v="1"/>
    <x v="0"/>
    <x v="0"/>
    <x v="14"/>
    <x v="0"/>
    <x v="5"/>
    <x v="4"/>
    <x v="4"/>
    <x v="1"/>
    <x v="3"/>
    <x v="3"/>
    <x v="1"/>
    <x v="15"/>
    <x v="0"/>
    <x v="0"/>
    <x v="1"/>
    <x v="0"/>
    <x v="0"/>
    <x v="0"/>
  </r>
  <r>
    <x v="904"/>
    <x v="1"/>
    <x v="1"/>
    <x v="1"/>
    <x v="1"/>
    <x v="14"/>
    <x v="0"/>
    <x v="5"/>
    <x v="4"/>
    <x v="4"/>
    <x v="0"/>
    <x v="3"/>
    <x v="1"/>
    <x v="1"/>
    <x v="15"/>
    <x v="0"/>
    <x v="0"/>
    <x v="1"/>
    <x v="0"/>
    <x v="0"/>
    <x v="0"/>
  </r>
  <r>
    <x v="905"/>
    <x v="1"/>
    <x v="1"/>
    <x v="1"/>
    <x v="1"/>
    <x v="14"/>
    <x v="0"/>
    <x v="2"/>
    <x v="3"/>
    <x v="4"/>
    <x v="0"/>
    <x v="1"/>
    <x v="1"/>
    <x v="0"/>
    <x v="7"/>
    <x v="0"/>
    <x v="1"/>
    <x v="1"/>
    <x v="0"/>
    <x v="0"/>
    <x v="0"/>
  </r>
  <r>
    <x v="906"/>
    <x v="0"/>
    <x v="0"/>
    <x v="1"/>
    <x v="1"/>
    <x v="14"/>
    <x v="0"/>
    <x v="5"/>
    <x v="4"/>
    <x v="4"/>
    <x v="0"/>
    <x v="3"/>
    <x v="1"/>
    <x v="1"/>
    <x v="16"/>
    <x v="0"/>
    <x v="1"/>
    <x v="1"/>
    <x v="0"/>
    <x v="0"/>
    <x v="0"/>
  </r>
  <r>
    <x v="907"/>
    <x v="0"/>
    <x v="0"/>
    <x v="0"/>
    <x v="0"/>
    <x v="14"/>
    <x v="0"/>
    <x v="3"/>
    <x v="2"/>
    <x v="2"/>
    <x v="0"/>
    <x v="3"/>
    <x v="3"/>
    <x v="1"/>
    <x v="31"/>
    <x v="0"/>
    <x v="1"/>
    <x v="0"/>
    <x v="0"/>
    <x v="0"/>
    <x v="0"/>
  </r>
  <r>
    <x v="908"/>
    <x v="1"/>
    <x v="1"/>
    <x v="0"/>
    <x v="0"/>
    <x v="14"/>
    <x v="0"/>
    <x v="3"/>
    <x v="0"/>
    <x v="2"/>
    <x v="0"/>
    <x v="4"/>
    <x v="1"/>
    <x v="0"/>
    <x v="31"/>
    <x v="0"/>
    <x v="1"/>
    <x v="0"/>
    <x v="0"/>
    <x v="0"/>
    <x v="0"/>
  </r>
  <r>
    <x v="909"/>
    <x v="0"/>
    <x v="0"/>
    <x v="1"/>
    <x v="1"/>
    <x v="14"/>
    <x v="0"/>
    <x v="3"/>
    <x v="2"/>
    <x v="2"/>
    <x v="0"/>
    <x v="3"/>
    <x v="1"/>
    <x v="1"/>
    <x v="31"/>
    <x v="0"/>
    <x v="1"/>
    <x v="1"/>
    <x v="0"/>
    <x v="0"/>
    <x v="0"/>
  </r>
  <r>
    <x v="910"/>
    <x v="1"/>
    <x v="1"/>
    <x v="0"/>
    <x v="0"/>
    <x v="14"/>
    <x v="0"/>
    <x v="3"/>
    <x v="0"/>
    <x v="2"/>
    <x v="0"/>
    <x v="4"/>
    <x v="1"/>
    <x v="0"/>
    <x v="17"/>
    <x v="0"/>
    <x v="1"/>
    <x v="0"/>
    <x v="0"/>
    <x v="0"/>
    <x v="0"/>
  </r>
  <r>
    <x v="911"/>
    <x v="0"/>
    <x v="0"/>
    <x v="1"/>
    <x v="1"/>
    <x v="14"/>
    <x v="0"/>
    <x v="3"/>
    <x v="4"/>
    <x v="4"/>
    <x v="1"/>
    <x v="0"/>
    <x v="0"/>
    <x v="2"/>
    <x v="17"/>
    <x v="0"/>
    <x v="1"/>
    <x v="1"/>
    <x v="0"/>
    <x v="0"/>
    <x v="0"/>
  </r>
  <r>
    <x v="912"/>
    <x v="0"/>
    <x v="0"/>
    <x v="0"/>
    <x v="0"/>
    <x v="14"/>
    <x v="0"/>
    <x v="3"/>
    <x v="4"/>
    <x v="4"/>
    <x v="1"/>
    <x v="3"/>
    <x v="0"/>
    <x v="2"/>
    <x v="1"/>
    <x v="0"/>
    <x v="1"/>
    <x v="0"/>
    <x v="0"/>
    <x v="0"/>
    <x v="0"/>
  </r>
  <r>
    <x v="913"/>
    <x v="1"/>
    <x v="1"/>
    <x v="1"/>
    <x v="1"/>
    <x v="14"/>
    <x v="0"/>
    <x v="3"/>
    <x v="4"/>
    <x v="4"/>
    <x v="1"/>
    <x v="3"/>
    <x v="0"/>
    <x v="2"/>
    <x v="1"/>
    <x v="0"/>
    <x v="1"/>
    <x v="0"/>
    <x v="0"/>
    <x v="0"/>
    <x v="0"/>
  </r>
  <r>
    <x v="914"/>
    <x v="1"/>
    <x v="1"/>
    <x v="1"/>
    <x v="1"/>
    <x v="14"/>
    <x v="0"/>
    <x v="3"/>
    <x v="4"/>
    <x v="4"/>
    <x v="1"/>
    <x v="3"/>
    <x v="0"/>
    <x v="2"/>
    <x v="40"/>
    <x v="0"/>
    <x v="1"/>
    <x v="1"/>
    <x v="0"/>
    <x v="0"/>
    <x v="0"/>
  </r>
  <r>
    <x v="915"/>
    <x v="0"/>
    <x v="0"/>
    <x v="1"/>
    <x v="1"/>
    <x v="14"/>
    <x v="0"/>
    <x v="3"/>
    <x v="4"/>
    <x v="4"/>
    <x v="1"/>
    <x v="3"/>
    <x v="0"/>
    <x v="2"/>
    <x v="18"/>
    <x v="0"/>
    <x v="1"/>
    <x v="1"/>
    <x v="0"/>
    <x v="0"/>
    <x v="0"/>
  </r>
  <r>
    <x v="916"/>
    <x v="0"/>
    <x v="0"/>
    <x v="1"/>
    <x v="1"/>
    <x v="14"/>
    <x v="0"/>
    <x v="0"/>
    <x v="2"/>
    <x v="3"/>
    <x v="1"/>
    <x v="3"/>
    <x v="0"/>
    <x v="2"/>
    <x v="18"/>
    <x v="0"/>
    <x v="1"/>
    <x v="0"/>
    <x v="0"/>
    <x v="0"/>
    <x v="0"/>
  </r>
  <r>
    <x v="917"/>
    <x v="0"/>
    <x v="0"/>
    <x v="1"/>
    <x v="1"/>
    <x v="14"/>
    <x v="0"/>
    <x v="0"/>
    <x v="2"/>
    <x v="3"/>
    <x v="1"/>
    <x v="3"/>
    <x v="0"/>
    <x v="2"/>
    <x v="41"/>
    <x v="0"/>
    <x v="1"/>
    <x v="1"/>
    <x v="0"/>
    <x v="0"/>
    <x v="0"/>
  </r>
  <r>
    <x v="918"/>
    <x v="0"/>
    <x v="0"/>
    <x v="1"/>
    <x v="1"/>
    <x v="14"/>
    <x v="0"/>
    <x v="0"/>
    <x v="2"/>
    <x v="3"/>
    <x v="0"/>
    <x v="3"/>
    <x v="3"/>
    <x v="2"/>
    <x v="41"/>
    <x v="0"/>
    <x v="1"/>
    <x v="1"/>
    <x v="0"/>
    <x v="0"/>
    <x v="0"/>
  </r>
  <r>
    <x v="919"/>
    <x v="0"/>
    <x v="0"/>
    <x v="0"/>
    <x v="0"/>
    <x v="14"/>
    <x v="0"/>
    <x v="5"/>
    <x v="2"/>
    <x v="3"/>
    <x v="0"/>
    <x v="3"/>
    <x v="3"/>
    <x v="2"/>
    <x v="29"/>
    <x v="0"/>
    <x v="1"/>
    <x v="1"/>
    <x v="0"/>
    <x v="0"/>
    <x v="0"/>
  </r>
  <r>
    <x v="920"/>
    <x v="0"/>
    <x v="0"/>
    <x v="0"/>
    <x v="0"/>
    <x v="14"/>
    <x v="0"/>
    <x v="3"/>
    <x v="0"/>
    <x v="2"/>
    <x v="1"/>
    <x v="1"/>
    <x v="1"/>
    <x v="0"/>
    <x v="37"/>
    <x v="0"/>
    <x v="1"/>
    <x v="1"/>
    <x v="0"/>
    <x v="0"/>
    <x v="0"/>
  </r>
  <r>
    <x v="921"/>
    <x v="0"/>
    <x v="0"/>
    <x v="1"/>
    <x v="1"/>
    <x v="14"/>
    <x v="0"/>
    <x v="2"/>
    <x v="3"/>
    <x v="4"/>
    <x v="1"/>
    <x v="1"/>
    <x v="1"/>
    <x v="0"/>
    <x v="30"/>
    <x v="0"/>
    <x v="1"/>
    <x v="0"/>
    <x v="0"/>
    <x v="0"/>
    <x v="0"/>
  </r>
  <r>
    <x v="922"/>
    <x v="0"/>
    <x v="0"/>
    <x v="0"/>
    <x v="0"/>
    <x v="14"/>
    <x v="0"/>
    <x v="2"/>
    <x v="0"/>
    <x v="2"/>
    <x v="1"/>
    <x v="1"/>
    <x v="1"/>
    <x v="0"/>
    <x v="33"/>
    <x v="0"/>
    <x v="1"/>
    <x v="1"/>
    <x v="0"/>
    <x v="0"/>
    <x v="0"/>
  </r>
  <r>
    <x v="923"/>
    <x v="0"/>
    <x v="0"/>
    <x v="0"/>
    <x v="0"/>
    <x v="14"/>
    <x v="0"/>
    <x v="2"/>
    <x v="3"/>
    <x v="4"/>
    <x v="1"/>
    <x v="1"/>
    <x v="1"/>
    <x v="0"/>
    <x v="33"/>
    <x v="0"/>
    <x v="1"/>
    <x v="1"/>
    <x v="0"/>
    <x v="0"/>
    <x v="0"/>
  </r>
  <r>
    <x v="924"/>
    <x v="0"/>
    <x v="0"/>
    <x v="0"/>
    <x v="0"/>
    <x v="14"/>
    <x v="0"/>
    <x v="2"/>
    <x v="3"/>
    <x v="4"/>
    <x v="1"/>
    <x v="1"/>
    <x v="1"/>
    <x v="0"/>
    <x v="2"/>
    <x v="0"/>
    <x v="1"/>
    <x v="0"/>
    <x v="0"/>
    <x v="0"/>
    <x v="0"/>
  </r>
  <r>
    <x v="925"/>
    <x v="0"/>
    <x v="0"/>
    <x v="1"/>
    <x v="1"/>
    <x v="14"/>
    <x v="0"/>
    <x v="2"/>
    <x v="3"/>
    <x v="4"/>
    <x v="1"/>
    <x v="1"/>
    <x v="1"/>
    <x v="0"/>
    <x v="2"/>
    <x v="0"/>
    <x v="1"/>
    <x v="1"/>
    <x v="0"/>
    <x v="0"/>
    <x v="0"/>
  </r>
  <r>
    <x v="926"/>
    <x v="1"/>
    <x v="1"/>
    <x v="0"/>
    <x v="0"/>
    <x v="14"/>
    <x v="0"/>
    <x v="5"/>
    <x v="2"/>
    <x v="3"/>
    <x v="1"/>
    <x v="3"/>
    <x v="4"/>
    <x v="1"/>
    <x v="35"/>
    <x v="0"/>
    <x v="1"/>
    <x v="1"/>
    <x v="0"/>
    <x v="0"/>
    <x v="0"/>
  </r>
  <r>
    <x v="927"/>
    <x v="0"/>
    <x v="0"/>
    <x v="0"/>
    <x v="0"/>
    <x v="15"/>
    <x v="0"/>
    <x v="4"/>
    <x v="0"/>
    <x v="2"/>
    <x v="0"/>
    <x v="4"/>
    <x v="1"/>
    <x v="2"/>
    <x v="48"/>
    <x v="0"/>
    <x v="2"/>
    <x v="1"/>
    <x v="0"/>
    <x v="0"/>
    <x v="0"/>
  </r>
  <r>
    <x v="928"/>
    <x v="0"/>
    <x v="0"/>
    <x v="1"/>
    <x v="1"/>
    <x v="15"/>
    <x v="0"/>
    <x v="4"/>
    <x v="0"/>
    <x v="2"/>
    <x v="1"/>
    <x v="4"/>
    <x v="4"/>
    <x v="2"/>
    <x v="48"/>
    <x v="0"/>
    <x v="2"/>
    <x v="0"/>
    <x v="0"/>
    <x v="0"/>
    <x v="0"/>
  </r>
  <r>
    <x v="929"/>
    <x v="0"/>
    <x v="0"/>
    <x v="0"/>
    <x v="0"/>
    <x v="15"/>
    <x v="0"/>
    <x v="4"/>
    <x v="0"/>
    <x v="2"/>
    <x v="0"/>
    <x v="4"/>
    <x v="1"/>
    <x v="2"/>
    <x v="49"/>
    <x v="0"/>
    <x v="2"/>
    <x v="0"/>
    <x v="0"/>
    <x v="0"/>
    <x v="0"/>
  </r>
  <r>
    <x v="930"/>
    <x v="1"/>
    <x v="1"/>
    <x v="0"/>
    <x v="0"/>
    <x v="15"/>
    <x v="0"/>
    <x v="4"/>
    <x v="0"/>
    <x v="2"/>
    <x v="0"/>
    <x v="4"/>
    <x v="1"/>
    <x v="2"/>
    <x v="49"/>
    <x v="0"/>
    <x v="2"/>
    <x v="0"/>
    <x v="0"/>
    <x v="0"/>
    <x v="0"/>
  </r>
  <r>
    <x v="931"/>
    <x v="0"/>
    <x v="0"/>
    <x v="1"/>
    <x v="1"/>
    <x v="15"/>
    <x v="0"/>
    <x v="4"/>
    <x v="0"/>
    <x v="2"/>
    <x v="0"/>
    <x v="4"/>
    <x v="1"/>
    <x v="2"/>
    <x v="49"/>
    <x v="0"/>
    <x v="2"/>
    <x v="0"/>
    <x v="0"/>
    <x v="0"/>
    <x v="0"/>
  </r>
  <r>
    <x v="932"/>
    <x v="1"/>
    <x v="1"/>
    <x v="1"/>
    <x v="1"/>
    <x v="15"/>
    <x v="0"/>
    <x v="4"/>
    <x v="0"/>
    <x v="2"/>
    <x v="1"/>
    <x v="4"/>
    <x v="3"/>
    <x v="2"/>
    <x v="49"/>
    <x v="0"/>
    <x v="2"/>
    <x v="0"/>
    <x v="0"/>
    <x v="0"/>
    <x v="0"/>
  </r>
  <r>
    <x v="933"/>
    <x v="1"/>
    <x v="1"/>
    <x v="1"/>
    <x v="1"/>
    <x v="15"/>
    <x v="0"/>
    <x v="4"/>
    <x v="0"/>
    <x v="2"/>
    <x v="1"/>
    <x v="4"/>
    <x v="3"/>
    <x v="2"/>
    <x v="49"/>
    <x v="0"/>
    <x v="2"/>
    <x v="0"/>
    <x v="0"/>
    <x v="0"/>
    <x v="0"/>
  </r>
  <r>
    <x v="934"/>
    <x v="0"/>
    <x v="0"/>
    <x v="0"/>
    <x v="0"/>
    <x v="15"/>
    <x v="0"/>
    <x v="4"/>
    <x v="0"/>
    <x v="2"/>
    <x v="1"/>
    <x v="4"/>
    <x v="4"/>
    <x v="2"/>
    <x v="45"/>
    <x v="0"/>
    <x v="2"/>
    <x v="1"/>
    <x v="0"/>
    <x v="0"/>
    <x v="0"/>
  </r>
  <r>
    <x v="935"/>
    <x v="0"/>
    <x v="0"/>
    <x v="1"/>
    <x v="1"/>
    <x v="15"/>
    <x v="0"/>
    <x v="2"/>
    <x v="2"/>
    <x v="2"/>
    <x v="1"/>
    <x v="1"/>
    <x v="4"/>
    <x v="2"/>
    <x v="45"/>
    <x v="0"/>
    <x v="2"/>
    <x v="0"/>
    <x v="0"/>
    <x v="0"/>
    <x v="0"/>
  </r>
  <r>
    <x v="936"/>
    <x v="1"/>
    <x v="1"/>
    <x v="0"/>
    <x v="0"/>
    <x v="15"/>
    <x v="0"/>
    <x v="4"/>
    <x v="0"/>
    <x v="2"/>
    <x v="0"/>
    <x v="4"/>
    <x v="1"/>
    <x v="2"/>
    <x v="50"/>
    <x v="0"/>
    <x v="2"/>
    <x v="0"/>
    <x v="0"/>
    <x v="0"/>
    <x v="0"/>
  </r>
  <r>
    <x v="937"/>
    <x v="0"/>
    <x v="0"/>
    <x v="0"/>
    <x v="0"/>
    <x v="15"/>
    <x v="0"/>
    <x v="4"/>
    <x v="4"/>
    <x v="2"/>
    <x v="0"/>
    <x v="3"/>
    <x v="1"/>
    <x v="0"/>
    <x v="39"/>
    <x v="0"/>
    <x v="0"/>
    <x v="1"/>
    <x v="0"/>
    <x v="0"/>
    <x v="0"/>
  </r>
  <r>
    <x v="938"/>
    <x v="0"/>
    <x v="0"/>
    <x v="1"/>
    <x v="1"/>
    <x v="15"/>
    <x v="0"/>
    <x v="4"/>
    <x v="4"/>
    <x v="2"/>
    <x v="0"/>
    <x v="3"/>
    <x v="1"/>
    <x v="0"/>
    <x v="39"/>
    <x v="0"/>
    <x v="0"/>
    <x v="1"/>
    <x v="0"/>
    <x v="0"/>
    <x v="0"/>
  </r>
  <r>
    <x v="939"/>
    <x v="1"/>
    <x v="1"/>
    <x v="1"/>
    <x v="1"/>
    <x v="15"/>
    <x v="0"/>
    <x v="4"/>
    <x v="1"/>
    <x v="2"/>
    <x v="0"/>
    <x v="1"/>
    <x v="1"/>
    <x v="0"/>
    <x v="39"/>
    <x v="0"/>
    <x v="0"/>
    <x v="0"/>
    <x v="0"/>
    <x v="0"/>
    <x v="0"/>
  </r>
  <r>
    <x v="940"/>
    <x v="0"/>
    <x v="0"/>
    <x v="0"/>
    <x v="0"/>
    <x v="15"/>
    <x v="0"/>
    <x v="4"/>
    <x v="4"/>
    <x v="2"/>
    <x v="1"/>
    <x v="3"/>
    <x v="3"/>
    <x v="0"/>
    <x v="23"/>
    <x v="0"/>
    <x v="0"/>
    <x v="1"/>
    <x v="0"/>
    <x v="0"/>
    <x v="0"/>
  </r>
  <r>
    <x v="941"/>
    <x v="1"/>
    <x v="1"/>
    <x v="0"/>
    <x v="0"/>
    <x v="15"/>
    <x v="0"/>
    <x v="4"/>
    <x v="4"/>
    <x v="2"/>
    <x v="0"/>
    <x v="3"/>
    <x v="1"/>
    <x v="0"/>
    <x v="23"/>
    <x v="0"/>
    <x v="0"/>
    <x v="1"/>
    <x v="0"/>
    <x v="0"/>
    <x v="0"/>
  </r>
  <r>
    <x v="942"/>
    <x v="0"/>
    <x v="0"/>
    <x v="1"/>
    <x v="1"/>
    <x v="15"/>
    <x v="0"/>
    <x v="4"/>
    <x v="4"/>
    <x v="2"/>
    <x v="1"/>
    <x v="3"/>
    <x v="1"/>
    <x v="0"/>
    <x v="23"/>
    <x v="0"/>
    <x v="0"/>
    <x v="1"/>
    <x v="0"/>
    <x v="0"/>
    <x v="0"/>
  </r>
  <r>
    <x v="943"/>
    <x v="1"/>
    <x v="1"/>
    <x v="0"/>
    <x v="0"/>
    <x v="15"/>
    <x v="0"/>
    <x v="4"/>
    <x v="4"/>
    <x v="2"/>
    <x v="1"/>
    <x v="3"/>
    <x v="3"/>
    <x v="0"/>
    <x v="3"/>
    <x v="0"/>
    <x v="0"/>
    <x v="1"/>
    <x v="0"/>
    <x v="0"/>
    <x v="0"/>
  </r>
  <r>
    <x v="944"/>
    <x v="0"/>
    <x v="0"/>
    <x v="1"/>
    <x v="1"/>
    <x v="15"/>
    <x v="0"/>
    <x v="4"/>
    <x v="4"/>
    <x v="2"/>
    <x v="0"/>
    <x v="3"/>
    <x v="1"/>
    <x v="0"/>
    <x v="3"/>
    <x v="0"/>
    <x v="0"/>
    <x v="1"/>
    <x v="0"/>
    <x v="0"/>
    <x v="0"/>
  </r>
  <r>
    <x v="945"/>
    <x v="1"/>
    <x v="1"/>
    <x v="0"/>
    <x v="0"/>
    <x v="15"/>
    <x v="0"/>
    <x v="4"/>
    <x v="4"/>
    <x v="2"/>
    <x v="1"/>
    <x v="3"/>
    <x v="3"/>
    <x v="0"/>
    <x v="24"/>
    <x v="0"/>
    <x v="0"/>
    <x v="1"/>
    <x v="0"/>
    <x v="0"/>
    <x v="0"/>
  </r>
  <r>
    <x v="946"/>
    <x v="1"/>
    <x v="1"/>
    <x v="1"/>
    <x v="1"/>
    <x v="15"/>
    <x v="0"/>
    <x v="4"/>
    <x v="4"/>
    <x v="2"/>
    <x v="0"/>
    <x v="3"/>
    <x v="1"/>
    <x v="0"/>
    <x v="24"/>
    <x v="0"/>
    <x v="0"/>
    <x v="1"/>
    <x v="0"/>
    <x v="0"/>
    <x v="0"/>
  </r>
  <r>
    <x v="947"/>
    <x v="1"/>
    <x v="1"/>
    <x v="0"/>
    <x v="0"/>
    <x v="15"/>
    <x v="0"/>
    <x v="4"/>
    <x v="4"/>
    <x v="2"/>
    <x v="0"/>
    <x v="3"/>
    <x v="1"/>
    <x v="0"/>
    <x v="32"/>
    <x v="0"/>
    <x v="0"/>
    <x v="1"/>
    <x v="0"/>
    <x v="0"/>
    <x v="0"/>
  </r>
  <r>
    <x v="948"/>
    <x v="1"/>
    <x v="1"/>
    <x v="0"/>
    <x v="0"/>
    <x v="15"/>
    <x v="0"/>
    <x v="3"/>
    <x v="2"/>
    <x v="2"/>
    <x v="1"/>
    <x v="1"/>
    <x v="1"/>
    <x v="0"/>
    <x v="32"/>
    <x v="0"/>
    <x v="0"/>
    <x v="1"/>
    <x v="0"/>
    <x v="0"/>
    <x v="0"/>
  </r>
  <r>
    <x v="949"/>
    <x v="1"/>
    <x v="1"/>
    <x v="0"/>
    <x v="0"/>
    <x v="15"/>
    <x v="0"/>
    <x v="2"/>
    <x v="2"/>
    <x v="2"/>
    <x v="0"/>
    <x v="4"/>
    <x v="0"/>
    <x v="0"/>
    <x v="32"/>
    <x v="0"/>
    <x v="0"/>
    <x v="0"/>
    <x v="0"/>
    <x v="0"/>
    <x v="0"/>
  </r>
  <r>
    <x v="950"/>
    <x v="1"/>
    <x v="1"/>
    <x v="1"/>
    <x v="1"/>
    <x v="15"/>
    <x v="0"/>
    <x v="3"/>
    <x v="2"/>
    <x v="2"/>
    <x v="1"/>
    <x v="1"/>
    <x v="1"/>
    <x v="0"/>
    <x v="32"/>
    <x v="0"/>
    <x v="0"/>
    <x v="1"/>
    <x v="0"/>
    <x v="0"/>
    <x v="0"/>
  </r>
  <r>
    <x v="951"/>
    <x v="1"/>
    <x v="1"/>
    <x v="1"/>
    <x v="1"/>
    <x v="15"/>
    <x v="0"/>
    <x v="4"/>
    <x v="4"/>
    <x v="2"/>
    <x v="1"/>
    <x v="3"/>
    <x v="3"/>
    <x v="0"/>
    <x v="32"/>
    <x v="0"/>
    <x v="0"/>
    <x v="1"/>
    <x v="0"/>
    <x v="0"/>
    <x v="0"/>
  </r>
  <r>
    <x v="952"/>
    <x v="1"/>
    <x v="1"/>
    <x v="1"/>
    <x v="1"/>
    <x v="15"/>
    <x v="0"/>
    <x v="4"/>
    <x v="4"/>
    <x v="2"/>
    <x v="0"/>
    <x v="3"/>
    <x v="3"/>
    <x v="0"/>
    <x v="32"/>
    <x v="0"/>
    <x v="0"/>
    <x v="1"/>
    <x v="0"/>
    <x v="0"/>
    <x v="0"/>
  </r>
  <r>
    <x v="953"/>
    <x v="1"/>
    <x v="1"/>
    <x v="0"/>
    <x v="0"/>
    <x v="15"/>
    <x v="0"/>
    <x v="3"/>
    <x v="2"/>
    <x v="2"/>
    <x v="1"/>
    <x v="1"/>
    <x v="1"/>
    <x v="0"/>
    <x v="9"/>
    <x v="0"/>
    <x v="0"/>
    <x v="0"/>
    <x v="0"/>
    <x v="0"/>
    <x v="0"/>
  </r>
  <r>
    <x v="954"/>
    <x v="0"/>
    <x v="0"/>
    <x v="0"/>
    <x v="0"/>
    <x v="15"/>
    <x v="0"/>
    <x v="4"/>
    <x v="1"/>
    <x v="2"/>
    <x v="1"/>
    <x v="1"/>
    <x v="1"/>
    <x v="0"/>
    <x v="5"/>
    <x v="0"/>
    <x v="0"/>
    <x v="0"/>
    <x v="0"/>
    <x v="0"/>
    <x v="0"/>
  </r>
  <r>
    <x v="955"/>
    <x v="0"/>
    <x v="0"/>
    <x v="0"/>
    <x v="0"/>
    <x v="15"/>
    <x v="0"/>
    <x v="3"/>
    <x v="2"/>
    <x v="2"/>
    <x v="1"/>
    <x v="1"/>
    <x v="1"/>
    <x v="0"/>
    <x v="5"/>
    <x v="0"/>
    <x v="0"/>
    <x v="0"/>
    <x v="0"/>
    <x v="0"/>
    <x v="0"/>
  </r>
  <r>
    <x v="956"/>
    <x v="0"/>
    <x v="0"/>
    <x v="1"/>
    <x v="1"/>
    <x v="15"/>
    <x v="0"/>
    <x v="2"/>
    <x v="1"/>
    <x v="2"/>
    <x v="1"/>
    <x v="1"/>
    <x v="1"/>
    <x v="0"/>
    <x v="5"/>
    <x v="0"/>
    <x v="0"/>
    <x v="1"/>
    <x v="0"/>
    <x v="0"/>
    <x v="0"/>
  </r>
  <r>
    <x v="957"/>
    <x v="1"/>
    <x v="1"/>
    <x v="1"/>
    <x v="1"/>
    <x v="15"/>
    <x v="0"/>
    <x v="5"/>
    <x v="2"/>
    <x v="2"/>
    <x v="1"/>
    <x v="1"/>
    <x v="1"/>
    <x v="0"/>
    <x v="5"/>
    <x v="0"/>
    <x v="0"/>
    <x v="0"/>
    <x v="0"/>
    <x v="0"/>
    <x v="0"/>
  </r>
  <r>
    <x v="958"/>
    <x v="0"/>
    <x v="0"/>
    <x v="0"/>
    <x v="0"/>
    <x v="15"/>
    <x v="0"/>
    <x v="3"/>
    <x v="2"/>
    <x v="2"/>
    <x v="0"/>
    <x v="4"/>
    <x v="1"/>
    <x v="0"/>
    <x v="10"/>
    <x v="0"/>
    <x v="0"/>
    <x v="1"/>
    <x v="0"/>
    <x v="0"/>
    <x v="0"/>
  </r>
  <r>
    <x v="959"/>
    <x v="1"/>
    <x v="1"/>
    <x v="0"/>
    <x v="0"/>
    <x v="15"/>
    <x v="0"/>
    <x v="3"/>
    <x v="2"/>
    <x v="2"/>
    <x v="1"/>
    <x v="4"/>
    <x v="1"/>
    <x v="0"/>
    <x v="10"/>
    <x v="0"/>
    <x v="0"/>
    <x v="0"/>
    <x v="0"/>
    <x v="0"/>
    <x v="0"/>
  </r>
  <r>
    <x v="960"/>
    <x v="1"/>
    <x v="1"/>
    <x v="0"/>
    <x v="0"/>
    <x v="15"/>
    <x v="0"/>
    <x v="3"/>
    <x v="2"/>
    <x v="2"/>
    <x v="1"/>
    <x v="4"/>
    <x v="1"/>
    <x v="0"/>
    <x v="10"/>
    <x v="0"/>
    <x v="0"/>
    <x v="0"/>
    <x v="0"/>
    <x v="0"/>
    <x v="0"/>
  </r>
  <r>
    <x v="961"/>
    <x v="1"/>
    <x v="1"/>
    <x v="1"/>
    <x v="1"/>
    <x v="15"/>
    <x v="0"/>
    <x v="5"/>
    <x v="2"/>
    <x v="2"/>
    <x v="1"/>
    <x v="4"/>
    <x v="1"/>
    <x v="0"/>
    <x v="25"/>
    <x v="0"/>
    <x v="0"/>
    <x v="0"/>
    <x v="0"/>
    <x v="0"/>
    <x v="0"/>
  </r>
  <r>
    <x v="962"/>
    <x v="0"/>
    <x v="0"/>
    <x v="0"/>
    <x v="0"/>
    <x v="15"/>
    <x v="0"/>
    <x v="2"/>
    <x v="1"/>
    <x v="2"/>
    <x v="1"/>
    <x v="1"/>
    <x v="1"/>
    <x v="0"/>
    <x v="11"/>
    <x v="0"/>
    <x v="0"/>
    <x v="1"/>
    <x v="0"/>
    <x v="0"/>
    <x v="0"/>
  </r>
  <r>
    <x v="963"/>
    <x v="1"/>
    <x v="1"/>
    <x v="0"/>
    <x v="0"/>
    <x v="15"/>
    <x v="0"/>
    <x v="0"/>
    <x v="4"/>
    <x v="2"/>
    <x v="1"/>
    <x v="3"/>
    <x v="1"/>
    <x v="0"/>
    <x v="11"/>
    <x v="0"/>
    <x v="0"/>
    <x v="0"/>
    <x v="0"/>
    <x v="0"/>
    <x v="0"/>
  </r>
  <r>
    <x v="964"/>
    <x v="1"/>
    <x v="1"/>
    <x v="0"/>
    <x v="0"/>
    <x v="15"/>
    <x v="0"/>
    <x v="0"/>
    <x v="4"/>
    <x v="2"/>
    <x v="1"/>
    <x v="3"/>
    <x v="1"/>
    <x v="0"/>
    <x v="11"/>
    <x v="0"/>
    <x v="0"/>
    <x v="1"/>
    <x v="0"/>
    <x v="0"/>
    <x v="0"/>
  </r>
  <r>
    <x v="965"/>
    <x v="0"/>
    <x v="0"/>
    <x v="1"/>
    <x v="1"/>
    <x v="15"/>
    <x v="0"/>
    <x v="0"/>
    <x v="4"/>
    <x v="2"/>
    <x v="1"/>
    <x v="4"/>
    <x v="1"/>
    <x v="0"/>
    <x v="11"/>
    <x v="0"/>
    <x v="0"/>
    <x v="0"/>
    <x v="0"/>
    <x v="0"/>
    <x v="0"/>
  </r>
  <r>
    <x v="966"/>
    <x v="1"/>
    <x v="1"/>
    <x v="0"/>
    <x v="0"/>
    <x v="15"/>
    <x v="0"/>
    <x v="0"/>
    <x v="4"/>
    <x v="2"/>
    <x v="1"/>
    <x v="3"/>
    <x v="1"/>
    <x v="0"/>
    <x v="12"/>
    <x v="0"/>
    <x v="0"/>
    <x v="0"/>
    <x v="0"/>
    <x v="0"/>
    <x v="0"/>
  </r>
  <r>
    <x v="967"/>
    <x v="1"/>
    <x v="1"/>
    <x v="0"/>
    <x v="0"/>
    <x v="15"/>
    <x v="0"/>
    <x v="0"/>
    <x v="4"/>
    <x v="2"/>
    <x v="1"/>
    <x v="3"/>
    <x v="1"/>
    <x v="0"/>
    <x v="12"/>
    <x v="0"/>
    <x v="0"/>
    <x v="0"/>
    <x v="0"/>
    <x v="0"/>
    <x v="0"/>
  </r>
  <r>
    <x v="968"/>
    <x v="1"/>
    <x v="1"/>
    <x v="0"/>
    <x v="0"/>
    <x v="15"/>
    <x v="0"/>
    <x v="1"/>
    <x v="4"/>
    <x v="2"/>
    <x v="0"/>
    <x v="3"/>
    <x v="1"/>
    <x v="0"/>
    <x v="12"/>
    <x v="0"/>
    <x v="0"/>
    <x v="1"/>
    <x v="0"/>
    <x v="0"/>
    <x v="0"/>
  </r>
  <r>
    <x v="969"/>
    <x v="1"/>
    <x v="1"/>
    <x v="0"/>
    <x v="0"/>
    <x v="15"/>
    <x v="0"/>
    <x v="5"/>
    <x v="4"/>
    <x v="2"/>
    <x v="1"/>
    <x v="3"/>
    <x v="1"/>
    <x v="0"/>
    <x v="26"/>
    <x v="0"/>
    <x v="0"/>
    <x v="1"/>
    <x v="0"/>
    <x v="0"/>
    <x v="0"/>
  </r>
  <r>
    <x v="970"/>
    <x v="1"/>
    <x v="1"/>
    <x v="0"/>
    <x v="0"/>
    <x v="15"/>
    <x v="0"/>
    <x v="5"/>
    <x v="4"/>
    <x v="2"/>
    <x v="1"/>
    <x v="3"/>
    <x v="1"/>
    <x v="0"/>
    <x v="26"/>
    <x v="0"/>
    <x v="0"/>
    <x v="1"/>
    <x v="0"/>
    <x v="0"/>
    <x v="0"/>
  </r>
  <r>
    <x v="971"/>
    <x v="0"/>
    <x v="0"/>
    <x v="1"/>
    <x v="1"/>
    <x v="15"/>
    <x v="0"/>
    <x v="5"/>
    <x v="4"/>
    <x v="2"/>
    <x v="1"/>
    <x v="3"/>
    <x v="1"/>
    <x v="0"/>
    <x v="26"/>
    <x v="0"/>
    <x v="0"/>
    <x v="1"/>
    <x v="0"/>
    <x v="0"/>
    <x v="0"/>
  </r>
  <r>
    <x v="972"/>
    <x v="0"/>
    <x v="0"/>
    <x v="1"/>
    <x v="1"/>
    <x v="15"/>
    <x v="0"/>
    <x v="2"/>
    <x v="1"/>
    <x v="2"/>
    <x v="1"/>
    <x v="1"/>
    <x v="1"/>
    <x v="0"/>
    <x v="6"/>
    <x v="0"/>
    <x v="0"/>
    <x v="1"/>
    <x v="0"/>
    <x v="0"/>
    <x v="0"/>
  </r>
  <r>
    <x v="973"/>
    <x v="1"/>
    <x v="1"/>
    <x v="1"/>
    <x v="1"/>
    <x v="15"/>
    <x v="0"/>
    <x v="2"/>
    <x v="1"/>
    <x v="2"/>
    <x v="1"/>
    <x v="1"/>
    <x v="1"/>
    <x v="0"/>
    <x v="6"/>
    <x v="0"/>
    <x v="0"/>
    <x v="1"/>
    <x v="0"/>
    <x v="0"/>
    <x v="0"/>
  </r>
  <r>
    <x v="974"/>
    <x v="1"/>
    <x v="1"/>
    <x v="0"/>
    <x v="0"/>
    <x v="15"/>
    <x v="0"/>
    <x v="2"/>
    <x v="2"/>
    <x v="2"/>
    <x v="0"/>
    <x v="4"/>
    <x v="3"/>
    <x v="0"/>
    <x v="14"/>
    <x v="0"/>
    <x v="0"/>
    <x v="1"/>
    <x v="0"/>
    <x v="0"/>
    <x v="0"/>
  </r>
  <r>
    <x v="975"/>
    <x v="1"/>
    <x v="1"/>
    <x v="0"/>
    <x v="0"/>
    <x v="15"/>
    <x v="0"/>
    <x v="2"/>
    <x v="2"/>
    <x v="2"/>
    <x v="0"/>
    <x v="4"/>
    <x v="4"/>
    <x v="0"/>
    <x v="27"/>
    <x v="0"/>
    <x v="0"/>
    <x v="0"/>
    <x v="0"/>
    <x v="0"/>
    <x v="0"/>
  </r>
  <r>
    <x v="976"/>
    <x v="0"/>
    <x v="0"/>
    <x v="0"/>
    <x v="0"/>
    <x v="15"/>
    <x v="0"/>
    <x v="2"/>
    <x v="3"/>
    <x v="2"/>
    <x v="1"/>
    <x v="1"/>
    <x v="1"/>
    <x v="0"/>
    <x v="0"/>
    <x v="0"/>
    <x v="0"/>
    <x v="1"/>
    <x v="0"/>
    <x v="0"/>
    <x v="0"/>
  </r>
  <r>
    <x v="977"/>
    <x v="1"/>
    <x v="1"/>
    <x v="1"/>
    <x v="1"/>
    <x v="15"/>
    <x v="0"/>
    <x v="2"/>
    <x v="3"/>
    <x v="2"/>
    <x v="1"/>
    <x v="1"/>
    <x v="1"/>
    <x v="0"/>
    <x v="0"/>
    <x v="0"/>
    <x v="0"/>
    <x v="1"/>
    <x v="0"/>
    <x v="0"/>
    <x v="0"/>
  </r>
  <r>
    <x v="978"/>
    <x v="0"/>
    <x v="0"/>
    <x v="0"/>
    <x v="0"/>
    <x v="15"/>
    <x v="0"/>
    <x v="3"/>
    <x v="0"/>
    <x v="2"/>
    <x v="1"/>
    <x v="1"/>
    <x v="3"/>
    <x v="0"/>
    <x v="36"/>
    <x v="0"/>
    <x v="0"/>
    <x v="1"/>
    <x v="0"/>
    <x v="0"/>
    <x v="0"/>
  </r>
  <r>
    <x v="979"/>
    <x v="0"/>
    <x v="0"/>
    <x v="1"/>
    <x v="1"/>
    <x v="15"/>
    <x v="0"/>
    <x v="3"/>
    <x v="0"/>
    <x v="2"/>
    <x v="1"/>
    <x v="1"/>
    <x v="3"/>
    <x v="0"/>
    <x v="36"/>
    <x v="0"/>
    <x v="0"/>
    <x v="1"/>
    <x v="0"/>
    <x v="0"/>
    <x v="0"/>
  </r>
  <r>
    <x v="980"/>
    <x v="1"/>
    <x v="1"/>
    <x v="1"/>
    <x v="1"/>
    <x v="15"/>
    <x v="0"/>
    <x v="2"/>
    <x v="0"/>
    <x v="2"/>
    <x v="1"/>
    <x v="1"/>
    <x v="1"/>
    <x v="0"/>
    <x v="36"/>
    <x v="0"/>
    <x v="0"/>
    <x v="1"/>
    <x v="0"/>
    <x v="0"/>
    <x v="0"/>
  </r>
  <r>
    <x v="981"/>
    <x v="0"/>
    <x v="0"/>
    <x v="0"/>
    <x v="0"/>
    <x v="15"/>
    <x v="0"/>
    <x v="3"/>
    <x v="0"/>
    <x v="2"/>
    <x v="1"/>
    <x v="1"/>
    <x v="3"/>
    <x v="0"/>
    <x v="15"/>
    <x v="0"/>
    <x v="0"/>
    <x v="1"/>
    <x v="0"/>
    <x v="0"/>
    <x v="0"/>
  </r>
  <r>
    <x v="982"/>
    <x v="0"/>
    <x v="0"/>
    <x v="0"/>
    <x v="0"/>
    <x v="15"/>
    <x v="0"/>
    <x v="3"/>
    <x v="0"/>
    <x v="2"/>
    <x v="1"/>
    <x v="4"/>
    <x v="1"/>
    <x v="0"/>
    <x v="15"/>
    <x v="0"/>
    <x v="0"/>
    <x v="0"/>
    <x v="0"/>
    <x v="0"/>
    <x v="0"/>
  </r>
  <r>
    <x v="983"/>
    <x v="1"/>
    <x v="1"/>
    <x v="1"/>
    <x v="1"/>
    <x v="15"/>
    <x v="0"/>
    <x v="3"/>
    <x v="0"/>
    <x v="2"/>
    <x v="0"/>
    <x v="1"/>
    <x v="1"/>
    <x v="0"/>
    <x v="15"/>
    <x v="0"/>
    <x v="0"/>
    <x v="1"/>
    <x v="0"/>
    <x v="0"/>
    <x v="0"/>
  </r>
  <r>
    <x v="984"/>
    <x v="0"/>
    <x v="0"/>
    <x v="0"/>
    <x v="0"/>
    <x v="15"/>
    <x v="0"/>
    <x v="3"/>
    <x v="0"/>
    <x v="2"/>
    <x v="1"/>
    <x v="1"/>
    <x v="3"/>
    <x v="0"/>
    <x v="7"/>
    <x v="0"/>
    <x v="1"/>
    <x v="1"/>
    <x v="0"/>
    <x v="0"/>
    <x v="0"/>
  </r>
  <r>
    <x v="985"/>
    <x v="1"/>
    <x v="1"/>
    <x v="0"/>
    <x v="0"/>
    <x v="15"/>
    <x v="0"/>
    <x v="3"/>
    <x v="0"/>
    <x v="2"/>
    <x v="1"/>
    <x v="1"/>
    <x v="1"/>
    <x v="0"/>
    <x v="7"/>
    <x v="0"/>
    <x v="1"/>
    <x v="0"/>
    <x v="0"/>
    <x v="0"/>
    <x v="0"/>
  </r>
  <r>
    <x v="986"/>
    <x v="0"/>
    <x v="0"/>
    <x v="1"/>
    <x v="1"/>
    <x v="15"/>
    <x v="0"/>
    <x v="3"/>
    <x v="0"/>
    <x v="2"/>
    <x v="1"/>
    <x v="1"/>
    <x v="3"/>
    <x v="0"/>
    <x v="7"/>
    <x v="0"/>
    <x v="1"/>
    <x v="1"/>
    <x v="0"/>
    <x v="0"/>
    <x v="0"/>
  </r>
  <r>
    <x v="987"/>
    <x v="1"/>
    <x v="1"/>
    <x v="1"/>
    <x v="1"/>
    <x v="15"/>
    <x v="0"/>
    <x v="3"/>
    <x v="0"/>
    <x v="2"/>
    <x v="1"/>
    <x v="4"/>
    <x v="1"/>
    <x v="0"/>
    <x v="7"/>
    <x v="0"/>
    <x v="1"/>
    <x v="0"/>
    <x v="0"/>
    <x v="0"/>
    <x v="0"/>
  </r>
  <r>
    <x v="988"/>
    <x v="0"/>
    <x v="0"/>
    <x v="1"/>
    <x v="1"/>
    <x v="15"/>
    <x v="0"/>
    <x v="3"/>
    <x v="0"/>
    <x v="2"/>
    <x v="1"/>
    <x v="4"/>
    <x v="4"/>
    <x v="0"/>
    <x v="16"/>
    <x v="0"/>
    <x v="1"/>
    <x v="1"/>
    <x v="0"/>
    <x v="0"/>
    <x v="0"/>
  </r>
  <r>
    <x v="989"/>
    <x v="1"/>
    <x v="1"/>
    <x v="1"/>
    <x v="1"/>
    <x v="15"/>
    <x v="0"/>
    <x v="3"/>
    <x v="0"/>
    <x v="2"/>
    <x v="1"/>
    <x v="4"/>
    <x v="1"/>
    <x v="0"/>
    <x v="16"/>
    <x v="0"/>
    <x v="1"/>
    <x v="0"/>
    <x v="0"/>
    <x v="0"/>
    <x v="0"/>
  </r>
  <r>
    <x v="990"/>
    <x v="0"/>
    <x v="0"/>
    <x v="0"/>
    <x v="0"/>
    <x v="15"/>
    <x v="0"/>
    <x v="3"/>
    <x v="2"/>
    <x v="2"/>
    <x v="1"/>
    <x v="3"/>
    <x v="3"/>
    <x v="1"/>
    <x v="31"/>
    <x v="0"/>
    <x v="1"/>
    <x v="1"/>
    <x v="0"/>
    <x v="0"/>
    <x v="0"/>
  </r>
  <r>
    <x v="991"/>
    <x v="1"/>
    <x v="1"/>
    <x v="0"/>
    <x v="0"/>
    <x v="15"/>
    <x v="0"/>
    <x v="3"/>
    <x v="2"/>
    <x v="2"/>
    <x v="1"/>
    <x v="3"/>
    <x v="3"/>
    <x v="1"/>
    <x v="31"/>
    <x v="0"/>
    <x v="1"/>
    <x v="0"/>
    <x v="0"/>
    <x v="0"/>
    <x v="0"/>
  </r>
  <r>
    <x v="992"/>
    <x v="0"/>
    <x v="0"/>
    <x v="0"/>
    <x v="0"/>
    <x v="15"/>
    <x v="0"/>
    <x v="3"/>
    <x v="4"/>
    <x v="4"/>
    <x v="1"/>
    <x v="3"/>
    <x v="0"/>
    <x v="2"/>
    <x v="18"/>
    <x v="0"/>
    <x v="1"/>
    <x v="1"/>
    <x v="0"/>
    <x v="0"/>
    <x v="0"/>
  </r>
  <r>
    <x v="993"/>
    <x v="1"/>
    <x v="1"/>
    <x v="1"/>
    <x v="1"/>
    <x v="15"/>
    <x v="0"/>
    <x v="3"/>
    <x v="4"/>
    <x v="4"/>
    <x v="1"/>
    <x v="3"/>
    <x v="0"/>
    <x v="2"/>
    <x v="18"/>
    <x v="0"/>
    <x v="1"/>
    <x v="1"/>
    <x v="0"/>
    <x v="0"/>
    <x v="0"/>
  </r>
  <r>
    <x v="994"/>
    <x v="0"/>
    <x v="0"/>
    <x v="0"/>
    <x v="0"/>
    <x v="15"/>
    <x v="0"/>
    <x v="1"/>
    <x v="2"/>
    <x v="3"/>
    <x v="0"/>
    <x v="0"/>
    <x v="3"/>
    <x v="2"/>
    <x v="29"/>
    <x v="0"/>
    <x v="1"/>
    <x v="1"/>
    <x v="0"/>
    <x v="0"/>
    <x v="0"/>
  </r>
  <r>
    <x v="995"/>
    <x v="1"/>
    <x v="1"/>
    <x v="0"/>
    <x v="0"/>
    <x v="15"/>
    <x v="0"/>
    <x v="1"/>
    <x v="2"/>
    <x v="3"/>
    <x v="0"/>
    <x v="3"/>
    <x v="3"/>
    <x v="2"/>
    <x v="29"/>
    <x v="0"/>
    <x v="1"/>
    <x v="1"/>
    <x v="0"/>
    <x v="0"/>
    <x v="0"/>
  </r>
  <r>
    <x v="996"/>
    <x v="0"/>
    <x v="0"/>
    <x v="1"/>
    <x v="1"/>
    <x v="15"/>
    <x v="0"/>
    <x v="3"/>
    <x v="3"/>
    <x v="4"/>
    <x v="1"/>
    <x v="4"/>
    <x v="1"/>
    <x v="0"/>
    <x v="2"/>
    <x v="0"/>
    <x v="1"/>
    <x v="1"/>
    <x v="0"/>
    <x v="0"/>
    <x v="0"/>
  </r>
  <r>
    <x v="997"/>
    <x v="1"/>
    <x v="1"/>
    <x v="0"/>
    <x v="0"/>
    <x v="15"/>
    <x v="0"/>
    <x v="3"/>
    <x v="3"/>
    <x v="4"/>
    <x v="0"/>
    <x v="4"/>
    <x v="4"/>
    <x v="0"/>
    <x v="42"/>
    <x v="0"/>
    <x v="1"/>
    <x v="1"/>
    <x v="0"/>
    <x v="0"/>
    <x v="0"/>
  </r>
  <r>
    <x v="998"/>
    <x v="0"/>
    <x v="0"/>
    <x v="0"/>
    <x v="0"/>
    <x v="15"/>
    <x v="0"/>
    <x v="2"/>
    <x v="1"/>
    <x v="4"/>
    <x v="1"/>
    <x v="1"/>
    <x v="1"/>
    <x v="0"/>
    <x v="43"/>
    <x v="0"/>
    <x v="1"/>
    <x v="0"/>
    <x v="0"/>
    <x v="0"/>
    <x v="0"/>
  </r>
  <r>
    <x v="999"/>
    <x v="0"/>
    <x v="0"/>
    <x v="1"/>
    <x v="1"/>
    <x v="15"/>
    <x v="0"/>
    <x v="2"/>
    <x v="1"/>
    <x v="4"/>
    <x v="1"/>
    <x v="1"/>
    <x v="1"/>
    <x v="0"/>
    <x v="43"/>
    <x v="0"/>
    <x v="1"/>
    <x v="1"/>
    <x v="0"/>
    <x v="0"/>
    <x v="0"/>
  </r>
</pivotCacheRecords>
</file>

<file path=xl/pivotCache/pivotCacheRecords2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0"/>
    <x v="0"/>
    <x v="1"/>
    <x v="0"/>
    <x v="0"/>
    <x v="1"/>
    <x v="1"/>
    <x v="1"/>
    <x v="0"/>
    <x v="1"/>
    <x v="0"/>
    <x v="1"/>
    <x v="1"/>
    <x v="0"/>
    <x v="0"/>
    <x v="0"/>
  </r>
  <r>
    <x v="2"/>
    <x v="1"/>
    <x v="1"/>
    <x v="1"/>
    <x v="1"/>
    <x v="0"/>
    <x v="0"/>
    <x v="2"/>
    <x v="1"/>
    <x v="1"/>
    <x v="0"/>
    <x v="2"/>
    <x v="1"/>
    <x v="1"/>
    <x v="2"/>
    <x v="0"/>
    <x v="1"/>
    <x v="1"/>
    <x v="0"/>
    <x v="0"/>
    <x v="0"/>
  </r>
  <r>
    <x v="3"/>
    <x v="1"/>
    <x v="1"/>
    <x v="1"/>
    <x v="1"/>
    <x v="1"/>
    <x v="0"/>
    <x v="3"/>
    <x v="2"/>
    <x v="1"/>
    <x v="1"/>
    <x v="2"/>
    <x v="1"/>
    <x v="2"/>
    <x v="3"/>
    <x v="0"/>
    <x v="0"/>
    <x v="0"/>
    <x v="0"/>
    <x v="0"/>
    <x v="0"/>
  </r>
  <r>
    <x v="4"/>
    <x v="1"/>
    <x v="1"/>
    <x v="0"/>
    <x v="0"/>
    <x v="1"/>
    <x v="0"/>
    <x v="4"/>
    <x v="1"/>
    <x v="1"/>
    <x v="0"/>
    <x v="0"/>
    <x v="1"/>
    <x v="2"/>
    <x v="4"/>
    <x v="0"/>
    <x v="0"/>
    <x v="0"/>
    <x v="0"/>
    <x v="0"/>
    <x v="0"/>
  </r>
  <r>
    <x v="5"/>
    <x v="0"/>
    <x v="0"/>
    <x v="1"/>
    <x v="1"/>
    <x v="1"/>
    <x v="0"/>
    <x v="0"/>
    <x v="0"/>
    <x v="0"/>
    <x v="0"/>
    <x v="3"/>
    <x v="2"/>
    <x v="0"/>
    <x v="1"/>
    <x v="0"/>
    <x v="1"/>
    <x v="0"/>
    <x v="0"/>
    <x v="0"/>
    <x v="0"/>
  </r>
  <r>
    <x v="6"/>
    <x v="0"/>
    <x v="0"/>
    <x v="1"/>
    <x v="1"/>
    <x v="2"/>
    <x v="0"/>
    <x v="4"/>
    <x v="3"/>
    <x v="1"/>
    <x v="1"/>
    <x v="2"/>
    <x v="1"/>
    <x v="2"/>
    <x v="5"/>
    <x v="0"/>
    <x v="0"/>
    <x v="0"/>
    <x v="0"/>
    <x v="0"/>
    <x v="0"/>
  </r>
  <r>
    <x v="7"/>
    <x v="1"/>
    <x v="1"/>
    <x v="1"/>
    <x v="1"/>
    <x v="2"/>
    <x v="0"/>
    <x v="2"/>
    <x v="0"/>
    <x v="0"/>
    <x v="0"/>
    <x v="0"/>
    <x v="1"/>
    <x v="1"/>
    <x v="6"/>
    <x v="0"/>
    <x v="0"/>
    <x v="0"/>
    <x v="0"/>
    <x v="0"/>
    <x v="0"/>
  </r>
  <r>
    <x v="8"/>
    <x v="0"/>
    <x v="0"/>
    <x v="1"/>
    <x v="1"/>
    <x v="2"/>
    <x v="0"/>
    <x v="3"/>
    <x v="2"/>
    <x v="0"/>
    <x v="1"/>
    <x v="2"/>
    <x v="1"/>
    <x v="0"/>
    <x v="0"/>
    <x v="0"/>
    <x v="0"/>
    <x v="1"/>
    <x v="0"/>
    <x v="0"/>
    <x v="0"/>
  </r>
  <r>
    <x v="9"/>
    <x v="0"/>
    <x v="0"/>
    <x v="0"/>
    <x v="0"/>
    <x v="2"/>
    <x v="0"/>
    <x v="5"/>
    <x v="2"/>
    <x v="0"/>
    <x v="1"/>
    <x v="0"/>
    <x v="1"/>
    <x v="0"/>
    <x v="7"/>
    <x v="0"/>
    <x v="1"/>
    <x v="0"/>
    <x v="0"/>
    <x v="0"/>
    <x v="0"/>
  </r>
  <r>
    <x v="10"/>
    <x v="1"/>
    <x v="1"/>
    <x v="0"/>
    <x v="0"/>
    <x v="3"/>
    <x v="0"/>
    <x v="0"/>
    <x v="2"/>
    <x v="1"/>
    <x v="1"/>
    <x v="2"/>
    <x v="1"/>
    <x v="2"/>
    <x v="8"/>
    <x v="0"/>
    <x v="0"/>
    <x v="1"/>
    <x v="0"/>
    <x v="0"/>
    <x v="0"/>
  </r>
  <r>
    <x v="11"/>
    <x v="1"/>
    <x v="1"/>
    <x v="0"/>
    <x v="0"/>
    <x v="3"/>
    <x v="0"/>
    <x v="2"/>
    <x v="1"/>
    <x v="1"/>
    <x v="0"/>
    <x v="4"/>
    <x v="1"/>
    <x v="2"/>
    <x v="9"/>
    <x v="0"/>
    <x v="0"/>
    <x v="0"/>
    <x v="0"/>
    <x v="0"/>
    <x v="0"/>
  </r>
  <r>
    <x v="12"/>
    <x v="1"/>
    <x v="1"/>
    <x v="1"/>
    <x v="1"/>
    <x v="3"/>
    <x v="0"/>
    <x v="4"/>
    <x v="1"/>
    <x v="1"/>
    <x v="0"/>
    <x v="3"/>
    <x v="1"/>
    <x v="1"/>
    <x v="10"/>
    <x v="0"/>
    <x v="0"/>
    <x v="0"/>
    <x v="0"/>
    <x v="0"/>
    <x v="0"/>
  </r>
  <r>
    <x v="13"/>
    <x v="0"/>
    <x v="0"/>
    <x v="0"/>
    <x v="0"/>
    <x v="3"/>
    <x v="0"/>
    <x v="4"/>
    <x v="1"/>
    <x v="1"/>
    <x v="1"/>
    <x v="0"/>
    <x v="3"/>
    <x v="1"/>
    <x v="11"/>
    <x v="0"/>
    <x v="0"/>
    <x v="1"/>
    <x v="0"/>
    <x v="0"/>
    <x v="0"/>
  </r>
  <r>
    <x v="14"/>
    <x v="0"/>
    <x v="0"/>
    <x v="1"/>
    <x v="1"/>
    <x v="3"/>
    <x v="0"/>
    <x v="2"/>
    <x v="1"/>
    <x v="1"/>
    <x v="1"/>
    <x v="2"/>
    <x v="1"/>
    <x v="1"/>
    <x v="11"/>
    <x v="0"/>
    <x v="0"/>
    <x v="1"/>
    <x v="0"/>
    <x v="0"/>
    <x v="0"/>
  </r>
  <r>
    <x v="15"/>
    <x v="0"/>
    <x v="0"/>
    <x v="1"/>
    <x v="1"/>
    <x v="3"/>
    <x v="0"/>
    <x v="3"/>
    <x v="1"/>
    <x v="1"/>
    <x v="1"/>
    <x v="3"/>
    <x v="1"/>
    <x v="1"/>
    <x v="12"/>
    <x v="0"/>
    <x v="0"/>
    <x v="1"/>
    <x v="0"/>
    <x v="0"/>
    <x v="0"/>
  </r>
  <r>
    <x v="16"/>
    <x v="0"/>
    <x v="0"/>
    <x v="1"/>
    <x v="1"/>
    <x v="3"/>
    <x v="0"/>
    <x v="2"/>
    <x v="1"/>
    <x v="1"/>
    <x v="1"/>
    <x v="2"/>
    <x v="1"/>
    <x v="1"/>
    <x v="12"/>
    <x v="0"/>
    <x v="0"/>
    <x v="1"/>
    <x v="0"/>
    <x v="0"/>
    <x v="0"/>
  </r>
  <r>
    <x v="17"/>
    <x v="0"/>
    <x v="0"/>
    <x v="1"/>
    <x v="1"/>
    <x v="3"/>
    <x v="0"/>
    <x v="3"/>
    <x v="1"/>
    <x v="1"/>
    <x v="1"/>
    <x v="0"/>
    <x v="1"/>
    <x v="1"/>
    <x v="13"/>
    <x v="0"/>
    <x v="0"/>
    <x v="0"/>
    <x v="0"/>
    <x v="0"/>
    <x v="0"/>
  </r>
  <r>
    <x v="18"/>
    <x v="0"/>
    <x v="0"/>
    <x v="0"/>
    <x v="0"/>
    <x v="3"/>
    <x v="0"/>
    <x v="2"/>
    <x v="3"/>
    <x v="1"/>
    <x v="1"/>
    <x v="2"/>
    <x v="4"/>
    <x v="1"/>
    <x v="6"/>
    <x v="0"/>
    <x v="0"/>
    <x v="0"/>
    <x v="0"/>
    <x v="0"/>
    <x v="0"/>
  </r>
  <r>
    <x v="19"/>
    <x v="1"/>
    <x v="1"/>
    <x v="1"/>
    <x v="1"/>
    <x v="3"/>
    <x v="0"/>
    <x v="2"/>
    <x v="3"/>
    <x v="1"/>
    <x v="0"/>
    <x v="2"/>
    <x v="1"/>
    <x v="1"/>
    <x v="6"/>
    <x v="0"/>
    <x v="0"/>
    <x v="1"/>
    <x v="0"/>
    <x v="0"/>
    <x v="0"/>
  </r>
  <r>
    <x v="20"/>
    <x v="0"/>
    <x v="0"/>
    <x v="0"/>
    <x v="0"/>
    <x v="3"/>
    <x v="0"/>
    <x v="5"/>
    <x v="3"/>
    <x v="1"/>
    <x v="1"/>
    <x v="0"/>
    <x v="1"/>
    <x v="1"/>
    <x v="14"/>
    <x v="0"/>
    <x v="0"/>
    <x v="0"/>
    <x v="0"/>
    <x v="0"/>
    <x v="0"/>
  </r>
  <r>
    <x v="21"/>
    <x v="0"/>
    <x v="0"/>
    <x v="0"/>
    <x v="0"/>
    <x v="3"/>
    <x v="0"/>
    <x v="2"/>
    <x v="3"/>
    <x v="1"/>
    <x v="1"/>
    <x v="3"/>
    <x v="1"/>
    <x v="1"/>
    <x v="14"/>
    <x v="0"/>
    <x v="0"/>
    <x v="0"/>
    <x v="0"/>
    <x v="0"/>
    <x v="0"/>
  </r>
  <r>
    <x v="22"/>
    <x v="1"/>
    <x v="1"/>
    <x v="0"/>
    <x v="0"/>
    <x v="3"/>
    <x v="0"/>
    <x v="2"/>
    <x v="3"/>
    <x v="1"/>
    <x v="0"/>
    <x v="0"/>
    <x v="1"/>
    <x v="1"/>
    <x v="14"/>
    <x v="0"/>
    <x v="0"/>
    <x v="0"/>
    <x v="0"/>
    <x v="0"/>
    <x v="0"/>
  </r>
  <r>
    <x v="23"/>
    <x v="1"/>
    <x v="1"/>
    <x v="0"/>
    <x v="0"/>
    <x v="3"/>
    <x v="0"/>
    <x v="2"/>
    <x v="3"/>
    <x v="1"/>
    <x v="0"/>
    <x v="4"/>
    <x v="4"/>
    <x v="1"/>
    <x v="14"/>
    <x v="0"/>
    <x v="0"/>
    <x v="1"/>
    <x v="0"/>
    <x v="0"/>
    <x v="0"/>
  </r>
  <r>
    <x v="24"/>
    <x v="0"/>
    <x v="0"/>
    <x v="0"/>
    <x v="0"/>
    <x v="3"/>
    <x v="0"/>
    <x v="4"/>
    <x v="1"/>
    <x v="1"/>
    <x v="1"/>
    <x v="4"/>
    <x v="2"/>
    <x v="2"/>
    <x v="0"/>
    <x v="0"/>
    <x v="0"/>
    <x v="1"/>
    <x v="0"/>
    <x v="0"/>
    <x v="0"/>
  </r>
  <r>
    <x v="25"/>
    <x v="0"/>
    <x v="0"/>
    <x v="1"/>
    <x v="1"/>
    <x v="3"/>
    <x v="0"/>
    <x v="4"/>
    <x v="1"/>
    <x v="1"/>
    <x v="1"/>
    <x v="1"/>
    <x v="0"/>
    <x v="2"/>
    <x v="0"/>
    <x v="0"/>
    <x v="0"/>
    <x v="1"/>
    <x v="0"/>
    <x v="0"/>
    <x v="0"/>
  </r>
  <r>
    <x v="26"/>
    <x v="1"/>
    <x v="1"/>
    <x v="1"/>
    <x v="1"/>
    <x v="3"/>
    <x v="0"/>
    <x v="4"/>
    <x v="1"/>
    <x v="1"/>
    <x v="1"/>
    <x v="1"/>
    <x v="4"/>
    <x v="2"/>
    <x v="0"/>
    <x v="0"/>
    <x v="0"/>
    <x v="0"/>
    <x v="0"/>
    <x v="0"/>
    <x v="0"/>
  </r>
  <r>
    <x v="27"/>
    <x v="0"/>
    <x v="0"/>
    <x v="0"/>
    <x v="0"/>
    <x v="3"/>
    <x v="0"/>
    <x v="5"/>
    <x v="0"/>
    <x v="0"/>
    <x v="1"/>
    <x v="0"/>
    <x v="0"/>
    <x v="0"/>
    <x v="15"/>
    <x v="0"/>
    <x v="0"/>
    <x v="0"/>
    <x v="0"/>
    <x v="0"/>
    <x v="0"/>
  </r>
  <r>
    <x v="28"/>
    <x v="0"/>
    <x v="0"/>
    <x v="0"/>
    <x v="0"/>
    <x v="3"/>
    <x v="0"/>
    <x v="5"/>
    <x v="0"/>
    <x v="0"/>
    <x v="1"/>
    <x v="0"/>
    <x v="1"/>
    <x v="0"/>
    <x v="7"/>
    <x v="0"/>
    <x v="1"/>
    <x v="0"/>
    <x v="0"/>
    <x v="0"/>
    <x v="0"/>
  </r>
  <r>
    <x v="29"/>
    <x v="0"/>
    <x v="0"/>
    <x v="1"/>
    <x v="1"/>
    <x v="3"/>
    <x v="0"/>
    <x v="5"/>
    <x v="0"/>
    <x v="0"/>
    <x v="0"/>
    <x v="0"/>
    <x v="0"/>
    <x v="0"/>
    <x v="7"/>
    <x v="0"/>
    <x v="1"/>
    <x v="0"/>
    <x v="0"/>
    <x v="0"/>
    <x v="0"/>
  </r>
  <r>
    <x v="30"/>
    <x v="0"/>
    <x v="0"/>
    <x v="1"/>
    <x v="1"/>
    <x v="3"/>
    <x v="0"/>
    <x v="5"/>
    <x v="2"/>
    <x v="0"/>
    <x v="1"/>
    <x v="2"/>
    <x v="0"/>
    <x v="0"/>
    <x v="7"/>
    <x v="0"/>
    <x v="1"/>
    <x v="0"/>
    <x v="0"/>
    <x v="0"/>
    <x v="0"/>
  </r>
  <r>
    <x v="31"/>
    <x v="1"/>
    <x v="1"/>
    <x v="1"/>
    <x v="1"/>
    <x v="3"/>
    <x v="0"/>
    <x v="5"/>
    <x v="0"/>
    <x v="0"/>
    <x v="0"/>
    <x v="0"/>
    <x v="1"/>
    <x v="0"/>
    <x v="7"/>
    <x v="0"/>
    <x v="1"/>
    <x v="0"/>
    <x v="0"/>
    <x v="0"/>
    <x v="0"/>
  </r>
  <r>
    <x v="32"/>
    <x v="0"/>
    <x v="0"/>
    <x v="0"/>
    <x v="0"/>
    <x v="3"/>
    <x v="0"/>
    <x v="5"/>
    <x v="0"/>
    <x v="0"/>
    <x v="1"/>
    <x v="2"/>
    <x v="1"/>
    <x v="0"/>
    <x v="16"/>
    <x v="0"/>
    <x v="1"/>
    <x v="1"/>
    <x v="0"/>
    <x v="0"/>
    <x v="0"/>
  </r>
  <r>
    <x v="33"/>
    <x v="0"/>
    <x v="0"/>
    <x v="0"/>
    <x v="0"/>
    <x v="3"/>
    <x v="0"/>
    <x v="5"/>
    <x v="2"/>
    <x v="0"/>
    <x v="1"/>
    <x v="2"/>
    <x v="1"/>
    <x v="0"/>
    <x v="16"/>
    <x v="0"/>
    <x v="1"/>
    <x v="1"/>
    <x v="0"/>
    <x v="0"/>
    <x v="0"/>
  </r>
  <r>
    <x v="34"/>
    <x v="0"/>
    <x v="0"/>
    <x v="1"/>
    <x v="1"/>
    <x v="3"/>
    <x v="0"/>
    <x v="0"/>
    <x v="0"/>
    <x v="0"/>
    <x v="0"/>
    <x v="0"/>
    <x v="2"/>
    <x v="0"/>
    <x v="17"/>
    <x v="0"/>
    <x v="1"/>
    <x v="1"/>
    <x v="0"/>
    <x v="0"/>
    <x v="0"/>
  </r>
  <r>
    <x v="35"/>
    <x v="0"/>
    <x v="0"/>
    <x v="1"/>
    <x v="1"/>
    <x v="3"/>
    <x v="0"/>
    <x v="0"/>
    <x v="2"/>
    <x v="0"/>
    <x v="1"/>
    <x v="0"/>
    <x v="1"/>
    <x v="0"/>
    <x v="1"/>
    <x v="0"/>
    <x v="1"/>
    <x v="1"/>
    <x v="0"/>
    <x v="0"/>
    <x v="0"/>
  </r>
  <r>
    <x v="36"/>
    <x v="0"/>
    <x v="0"/>
    <x v="0"/>
    <x v="0"/>
    <x v="3"/>
    <x v="0"/>
    <x v="0"/>
    <x v="2"/>
    <x v="1"/>
    <x v="0"/>
    <x v="2"/>
    <x v="2"/>
    <x v="0"/>
    <x v="18"/>
    <x v="0"/>
    <x v="1"/>
    <x v="1"/>
    <x v="0"/>
    <x v="0"/>
    <x v="0"/>
  </r>
  <r>
    <x v="37"/>
    <x v="0"/>
    <x v="0"/>
    <x v="0"/>
    <x v="0"/>
    <x v="3"/>
    <x v="0"/>
    <x v="1"/>
    <x v="0"/>
    <x v="0"/>
    <x v="1"/>
    <x v="2"/>
    <x v="1"/>
    <x v="0"/>
    <x v="19"/>
    <x v="0"/>
    <x v="1"/>
    <x v="1"/>
    <x v="0"/>
    <x v="0"/>
    <x v="0"/>
  </r>
  <r>
    <x v="38"/>
    <x v="0"/>
    <x v="0"/>
    <x v="0"/>
    <x v="0"/>
    <x v="3"/>
    <x v="0"/>
    <x v="0"/>
    <x v="0"/>
    <x v="0"/>
    <x v="1"/>
    <x v="2"/>
    <x v="0"/>
    <x v="0"/>
    <x v="20"/>
    <x v="0"/>
    <x v="1"/>
    <x v="0"/>
    <x v="0"/>
    <x v="0"/>
    <x v="0"/>
  </r>
  <r>
    <x v="39"/>
    <x v="0"/>
    <x v="0"/>
    <x v="1"/>
    <x v="1"/>
    <x v="3"/>
    <x v="0"/>
    <x v="0"/>
    <x v="0"/>
    <x v="0"/>
    <x v="0"/>
    <x v="2"/>
    <x v="0"/>
    <x v="0"/>
    <x v="20"/>
    <x v="0"/>
    <x v="1"/>
    <x v="0"/>
    <x v="0"/>
    <x v="0"/>
    <x v="0"/>
  </r>
  <r>
    <x v="40"/>
    <x v="1"/>
    <x v="1"/>
    <x v="0"/>
    <x v="0"/>
    <x v="3"/>
    <x v="0"/>
    <x v="3"/>
    <x v="3"/>
    <x v="1"/>
    <x v="0"/>
    <x v="2"/>
    <x v="1"/>
    <x v="1"/>
    <x v="21"/>
    <x v="0"/>
    <x v="1"/>
    <x v="1"/>
    <x v="0"/>
    <x v="0"/>
    <x v="0"/>
  </r>
  <r>
    <x v="41"/>
    <x v="0"/>
    <x v="0"/>
    <x v="1"/>
    <x v="1"/>
    <x v="3"/>
    <x v="0"/>
    <x v="3"/>
    <x v="1"/>
    <x v="1"/>
    <x v="1"/>
    <x v="0"/>
    <x v="4"/>
    <x v="1"/>
    <x v="22"/>
    <x v="0"/>
    <x v="1"/>
    <x v="1"/>
    <x v="0"/>
    <x v="0"/>
    <x v="0"/>
  </r>
  <r>
    <x v="42"/>
    <x v="0"/>
    <x v="0"/>
    <x v="1"/>
    <x v="1"/>
    <x v="4"/>
    <x v="0"/>
    <x v="4"/>
    <x v="4"/>
    <x v="0"/>
    <x v="1"/>
    <x v="2"/>
    <x v="2"/>
    <x v="2"/>
    <x v="23"/>
    <x v="0"/>
    <x v="0"/>
    <x v="0"/>
    <x v="0"/>
    <x v="0"/>
    <x v="0"/>
  </r>
  <r>
    <x v="43"/>
    <x v="1"/>
    <x v="1"/>
    <x v="0"/>
    <x v="0"/>
    <x v="4"/>
    <x v="0"/>
    <x v="4"/>
    <x v="4"/>
    <x v="0"/>
    <x v="1"/>
    <x v="2"/>
    <x v="2"/>
    <x v="2"/>
    <x v="24"/>
    <x v="0"/>
    <x v="0"/>
    <x v="0"/>
    <x v="0"/>
    <x v="0"/>
    <x v="0"/>
  </r>
  <r>
    <x v="44"/>
    <x v="0"/>
    <x v="0"/>
    <x v="1"/>
    <x v="1"/>
    <x v="4"/>
    <x v="0"/>
    <x v="4"/>
    <x v="4"/>
    <x v="0"/>
    <x v="1"/>
    <x v="2"/>
    <x v="2"/>
    <x v="2"/>
    <x v="9"/>
    <x v="0"/>
    <x v="0"/>
    <x v="0"/>
    <x v="0"/>
    <x v="0"/>
    <x v="0"/>
  </r>
  <r>
    <x v="45"/>
    <x v="0"/>
    <x v="0"/>
    <x v="1"/>
    <x v="1"/>
    <x v="4"/>
    <x v="0"/>
    <x v="2"/>
    <x v="3"/>
    <x v="1"/>
    <x v="1"/>
    <x v="2"/>
    <x v="1"/>
    <x v="1"/>
    <x v="10"/>
    <x v="0"/>
    <x v="0"/>
    <x v="1"/>
    <x v="0"/>
    <x v="0"/>
    <x v="0"/>
  </r>
  <r>
    <x v="46"/>
    <x v="1"/>
    <x v="1"/>
    <x v="1"/>
    <x v="1"/>
    <x v="4"/>
    <x v="0"/>
    <x v="3"/>
    <x v="3"/>
    <x v="1"/>
    <x v="0"/>
    <x v="0"/>
    <x v="1"/>
    <x v="1"/>
    <x v="25"/>
    <x v="0"/>
    <x v="0"/>
    <x v="0"/>
    <x v="0"/>
    <x v="0"/>
    <x v="0"/>
  </r>
  <r>
    <x v="47"/>
    <x v="0"/>
    <x v="0"/>
    <x v="1"/>
    <x v="1"/>
    <x v="4"/>
    <x v="0"/>
    <x v="3"/>
    <x v="0"/>
    <x v="2"/>
    <x v="1"/>
    <x v="4"/>
    <x v="1"/>
    <x v="0"/>
    <x v="11"/>
    <x v="0"/>
    <x v="0"/>
    <x v="0"/>
    <x v="0"/>
    <x v="0"/>
    <x v="0"/>
  </r>
  <r>
    <x v="48"/>
    <x v="1"/>
    <x v="1"/>
    <x v="1"/>
    <x v="1"/>
    <x v="4"/>
    <x v="0"/>
    <x v="3"/>
    <x v="3"/>
    <x v="1"/>
    <x v="0"/>
    <x v="2"/>
    <x v="3"/>
    <x v="1"/>
    <x v="11"/>
    <x v="0"/>
    <x v="0"/>
    <x v="1"/>
    <x v="0"/>
    <x v="0"/>
    <x v="0"/>
  </r>
  <r>
    <x v="49"/>
    <x v="1"/>
    <x v="1"/>
    <x v="0"/>
    <x v="0"/>
    <x v="4"/>
    <x v="0"/>
    <x v="0"/>
    <x v="0"/>
    <x v="0"/>
    <x v="1"/>
    <x v="0"/>
    <x v="0"/>
    <x v="1"/>
    <x v="26"/>
    <x v="0"/>
    <x v="0"/>
    <x v="0"/>
    <x v="0"/>
    <x v="0"/>
    <x v="0"/>
  </r>
  <r>
    <x v="50"/>
    <x v="0"/>
    <x v="0"/>
    <x v="0"/>
    <x v="0"/>
    <x v="4"/>
    <x v="0"/>
    <x v="2"/>
    <x v="2"/>
    <x v="0"/>
    <x v="0"/>
    <x v="2"/>
    <x v="4"/>
    <x v="1"/>
    <x v="14"/>
    <x v="0"/>
    <x v="0"/>
    <x v="1"/>
    <x v="0"/>
    <x v="0"/>
    <x v="0"/>
  </r>
  <r>
    <x v="51"/>
    <x v="0"/>
    <x v="0"/>
    <x v="0"/>
    <x v="0"/>
    <x v="4"/>
    <x v="0"/>
    <x v="2"/>
    <x v="3"/>
    <x v="1"/>
    <x v="1"/>
    <x v="3"/>
    <x v="1"/>
    <x v="2"/>
    <x v="27"/>
    <x v="0"/>
    <x v="0"/>
    <x v="0"/>
    <x v="0"/>
    <x v="0"/>
    <x v="0"/>
  </r>
  <r>
    <x v="52"/>
    <x v="0"/>
    <x v="0"/>
    <x v="1"/>
    <x v="1"/>
    <x v="4"/>
    <x v="0"/>
    <x v="2"/>
    <x v="2"/>
    <x v="0"/>
    <x v="1"/>
    <x v="2"/>
    <x v="0"/>
    <x v="1"/>
    <x v="27"/>
    <x v="0"/>
    <x v="0"/>
    <x v="0"/>
    <x v="0"/>
    <x v="0"/>
    <x v="0"/>
  </r>
  <r>
    <x v="53"/>
    <x v="0"/>
    <x v="0"/>
    <x v="1"/>
    <x v="1"/>
    <x v="4"/>
    <x v="0"/>
    <x v="0"/>
    <x v="3"/>
    <x v="1"/>
    <x v="1"/>
    <x v="4"/>
    <x v="4"/>
    <x v="2"/>
    <x v="4"/>
    <x v="0"/>
    <x v="0"/>
    <x v="1"/>
    <x v="0"/>
    <x v="0"/>
    <x v="0"/>
  </r>
  <r>
    <x v="54"/>
    <x v="1"/>
    <x v="1"/>
    <x v="0"/>
    <x v="0"/>
    <x v="4"/>
    <x v="0"/>
    <x v="5"/>
    <x v="2"/>
    <x v="0"/>
    <x v="1"/>
    <x v="2"/>
    <x v="0"/>
    <x v="0"/>
    <x v="15"/>
    <x v="0"/>
    <x v="0"/>
    <x v="0"/>
    <x v="0"/>
    <x v="0"/>
    <x v="0"/>
  </r>
  <r>
    <x v="55"/>
    <x v="1"/>
    <x v="1"/>
    <x v="1"/>
    <x v="1"/>
    <x v="4"/>
    <x v="0"/>
    <x v="5"/>
    <x v="2"/>
    <x v="0"/>
    <x v="0"/>
    <x v="2"/>
    <x v="0"/>
    <x v="0"/>
    <x v="15"/>
    <x v="0"/>
    <x v="0"/>
    <x v="1"/>
    <x v="0"/>
    <x v="0"/>
    <x v="0"/>
  </r>
  <r>
    <x v="56"/>
    <x v="0"/>
    <x v="0"/>
    <x v="0"/>
    <x v="0"/>
    <x v="4"/>
    <x v="0"/>
    <x v="5"/>
    <x v="3"/>
    <x v="1"/>
    <x v="0"/>
    <x v="3"/>
    <x v="2"/>
    <x v="0"/>
    <x v="16"/>
    <x v="0"/>
    <x v="1"/>
    <x v="0"/>
    <x v="0"/>
    <x v="0"/>
    <x v="0"/>
  </r>
  <r>
    <x v="57"/>
    <x v="0"/>
    <x v="0"/>
    <x v="1"/>
    <x v="1"/>
    <x v="4"/>
    <x v="0"/>
    <x v="0"/>
    <x v="0"/>
    <x v="1"/>
    <x v="1"/>
    <x v="0"/>
    <x v="2"/>
    <x v="0"/>
    <x v="28"/>
    <x v="0"/>
    <x v="1"/>
    <x v="1"/>
    <x v="0"/>
    <x v="0"/>
    <x v="0"/>
  </r>
  <r>
    <x v="58"/>
    <x v="0"/>
    <x v="0"/>
    <x v="0"/>
    <x v="0"/>
    <x v="4"/>
    <x v="0"/>
    <x v="3"/>
    <x v="3"/>
    <x v="1"/>
    <x v="1"/>
    <x v="0"/>
    <x v="0"/>
    <x v="1"/>
    <x v="29"/>
    <x v="0"/>
    <x v="1"/>
    <x v="1"/>
    <x v="0"/>
    <x v="0"/>
    <x v="0"/>
  </r>
  <r>
    <x v="59"/>
    <x v="0"/>
    <x v="0"/>
    <x v="1"/>
    <x v="1"/>
    <x v="4"/>
    <x v="0"/>
    <x v="3"/>
    <x v="1"/>
    <x v="1"/>
    <x v="1"/>
    <x v="0"/>
    <x v="0"/>
    <x v="1"/>
    <x v="30"/>
    <x v="0"/>
    <x v="1"/>
    <x v="1"/>
    <x v="0"/>
    <x v="0"/>
    <x v="0"/>
  </r>
  <r>
    <x v="60"/>
    <x v="1"/>
    <x v="1"/>
    <x v="0"/>
    <x v="0"/>
    <x v="5"/>
    <x v="0"/>
    <x v="4"/>
    <x v="0"/>
    <x v="1"/>
    <x v="1"/>
    <x v="0"/>
    <x v="2"/>
    <x v="2"/>
    <x v="23"/>
    <x v="0"/>
    <x v="0"/>
    <x v="0"/>
    <x v="0"/>
    <x v="0"/>
    <x v="0"/>
  </r>
  <r>
    <x v="61"/>
    <x v="1"/>
    <x v="1"/>
    <x v="1"/>
    <x v="1"/>
    <x v="5"/>
    <x v="0"/>
    <x v="4"/>
    <x v="0"/>
    <x v="1"/>
    <x v="0"/>
    <x v="0"/>
    <x v="2"/>
    <x v="2"/>
    <x v="23"/>
    <x v="0"/>
    <x v="0"/>
    <x v="0"/>
    <x v="0"/>
    <x v="0"/>
    <x v="0"/>
  </r>
  <r>
    <x v="62"/>
    <x v="0"/>
    <x v="0"/>
    <x v="0"/>
    <x v="0"/>
    <x v="5"/>
    <x v="0"/>
    <x v="4"/>
    <x v="2"/>
    <x v="1"/>
    <x v="1"/>
    <x v="0"/>
    <x v="2"/>
    <x v="2"/>
    <x v="24"/>
    <x v="0"/>
    <x v="0"/>
    <x v="0"/>
    <x v="0"/>
    <x v="0"/>
    <x v="0"/>
  </r>
  <r>
    <x v="63"/>
    <x v="1"/>
    <x v="1"/>
    <x v="1"/>
    <x v="1"/>
    <x v="5"/>
    <x v="0"/>
    <x v="3"/>
    <x v="3"/>
    <x v="1"/>
    <x v="0"/>
    <x v="0"/>
    <x v="1"/>
    <x v="1"/>
    <x v="5"/>
    <x v="0"/>
    <x v="0"/>
    <x v="0"/>
    <x v="0"/>
    <x v="0"/>
    <x v="0"/>
  </r>
  <r>
    <x v="64"/>
    <x v="1"/>
    <x v="1"/>
    <x v="1"/>
    <x v="1"/>
    <x v="5"/>
    <x v="0"/>
    <x v="5"/>
    <x v="3"/>
    <x v="1"/>
    <x v="1"/>
    <x v="2"/>
    <x v="4"/>
    <x v="1"/>
    <x v="11"/>
    <x v="0"/>
    <x v="0"/>
    <x v="0"/>
    <x v="0"/>
    <x v="0"/>
    <x v="0"/>
  </r>
  <r>
    <x v="65"/>
    <x v="1"/>
    <x v="1"/>
    <x v="0"/>
    <x v="0"/>
    <x v="5"/>
    <x v="0"/>
    <x v="5"/>
    <x v="3"/>
    <x v="1"/>
    <x v="0"/>
    <x v="2"/>
    <x v="3"/>
    <x v="1"/>
    <x v="13"/>
    <x v="0"/>
    <x v="0"/>
    <x v="1"/>
    <x v="0"/>
    <x v="0"/>
    <x v="0"/>
  </r>
  <r>
    <x v="66"/>
    <x v="1"/>
    <x v="1"/>
    <x v="1"/>
    <x v="1"/>
    <x v="5"/>
    <x v="0"/>
    <x v="0"/>
    <x v="3"/>
    <x v="1"/>
    <x v="1"/>
    <x v="2"/>
    <x v="0"/>
    <x v="1"/>
    <x v="13"/>
    <x v="0"/>
    <x v="0"/>
    <x v="0"/>
    <x v="0"/>
    <x v="0"/>
    <x v="0"/>
  </r>
  <r>
    <x v="67"/>
    <x v="1"/>
    <x v="1"/>
    <x v="1"/>
    <x v="1"/>
    <x v="5"/>
    <x v="0"/>
    <x v="2"/>
    <x v="3"/>
    <x v="1"/>
    <x v="1"/>
    <x v="4"/>
    <x v="0"/>
    <x v="1"/>
    <x v="26"/>
    <x v="0"/>
    <x v="0"/>
    <x v="1"/>
    <x v="0"/>
    <x v="0"/>
    <x v="0"/>
  </r>
  <r>
    <x v="68"/>
    <x v="0"/>
    <x v="0"/>
    <x v="0"/>
    <x v="0"/>
    <x v="5"/>
    <x v="0"/>
    <x v="2"/>
    <x v="3"/>
    <x v="1"/>
    <x v="1"/>
    <x v="3"/>
    <x v="3"/>
    <x v="1"/>
    <x v="6"/>
    <x v="0"/>
    <x v="0"/>
    <x v="1"/>
    <x v="0"/>
    <x v="0"/>
    <x v="0"/>
  </r>
  <r>
    <x v="69"/>
    <x v="0"/>
    <x v="0"/>
    <x v="1"/>
    <x v="1"/>
    <x v="5"/>
    <x v="0"/>
    <x v="2"/>
    <x v="3"/>
    <x v="1"/>
    <x v="1"/>
    <x v="0"/>
    <x v="0"/>
    <x v="1"/>
    <x v="14"/>
    <x v="0"/>
    <x v="0"/>
    <x v="1"/>
    <x v="0"/>
    <x v="0"/>
    <x v="0"/>
  </r>
  <r>
    <x v="70"/>
    <x v="1"/>
    <x v="1"/>
    <x v="1"/>
    <x v="1"/>
    <x v="5"/>
    <x v="0"/>
    <x v="2"/>
    <x v="0"/>
    <x v="0"/>
    <x v="1"/>
    <x v="2"/>
    <x v="0"/>
    <x v="1"/>
    <x v="14"/>
    <x v="0"/>
    <x v="0"/>
    <x v="0"/>
    <x v="0"/>
    <x v="0"/>
    <x v="0"/>
  </r>
  <r>
    <x v="71"/>
    <x v="0"/>
    <x v="0"/>
    <x v="1"/>
    <x v="1"/>
    <x v="5"/>
    <x v="0"/>
    <x v="1"/>
    <x v="0"/>
    <x v="0"/>
    <x v="1"/>
    <x v="2"/>
    <x v="4"/>
    <x v="1"/>
    <x v="27"/>
    <x v="0"/>
    <x v="0"/>
    <x v="1"/>
    <x v="0"/>
    <x v="0"/>
    <x v="0"/>
  </r>
  <r>
    <x v="72"/>
    <x v="1"/>
    <x v="1"/>
    <x v="0"/>
    <x v="0"/>
    <x v="5"/>
    <x v="0"/>
    <x v="3"/>
    <x v="0"/>
    <x v="0"/>
    <x v="0"/>
    <x v="0"/>
    <x v="0"/>
    <x v="0"/>
    <x v="0"/>
    <x v="0"/>
    <x v="0"/>
    <x v="1"/>
    <x v="0"/>
    <x v="0"/>
    <x v="0"/>
  </r>
  <r>
    <x v="73"/>
    <x v="0"/>
    <x v="0"/>
    <x v="1"/>
    <x v="1"/>
    <x v="5"/>
    <x v="0"/>
    <x v="1"/>
    <x v="3"/>
    <x v="1"/>
    <x v="1"/>
    <x v="2"/>
    <x v="4"/>
    <x v="2"/>
    <x v="0"/>
    <x v="0"/>
    <x v="0"/>
    <x v="0"/>
    <x v="0"/>
    <x v="0"/>
    <x v="0"/>
  </r>
  <r>
    <x v="74"/>
    <x v="0"/>
    <x v="0"/>
    <x v="1"/>
    <x v="1"/>
    <x v="5"/>
    <x v="0"/>
    <x v="0"/>
    <x v="3"/>
    <x v="1"/>
    <x v="1"/>
    <x v="0"/>
    <x v="4"/>
    <x v="2"/>
    <x v="0"/>
    <x v="0"/>
    <x v="0"/>
    <x v="1"/>
    <x v="0"/>
    <x v="0"/>
    <x v="0"/>
  </r>
  <r>
    <x v="75"/>
    <x v="1"/>
    <x v="1"/>
    <x v="0"/>
    <x v="0"/>
    <x v="5"/>
    <x v="0"/>
    <x v="5"/>
    <x v="3"/>
    <x v="1"/>
    <x v="1"/>
    <x v="2"/>
    <x v="2"/>
    <x v="0"/>
    <x v="31"/>
    <x v="0"/>
    <x v="1"/>
    <x v="1"/>
    <x v="0"/>
    <x v="0"/>
    <x v="0"/>
  </r>
  <r>
    <x v="76"/>
    <x v="0"/>
    <x v="0"/>
    <x v="0"/>
    <x v="0"/>
    <x v="6"/>
    <x v="0"/>
    <x v="4"/>
    <x v="2"/>
    <x v="1"/>
    <x v="1"/>
    <x v="2"/>
    <x v="2"/>
    <x v="2"/>
    <x v="24"/>
    <x v="0"/>
    <x v="0"/>
    <x v="0"/>
    <x v="0"/>
    <x v="0"/>
    <x v="0"/>
  </r>
  <r>
    <x v="77"/>
    <x v="0"/>
    <x v="0"/>
    <x v="1"/>
    <x v="1"/>
    <x v="6"/>
    <x v="0"/>
    <x v="4"/>
    <x v="2"/>
    <x v="1"/>
    <x v="1"/>
    <x v="0"/>
    <x v="2"/>
    <x v="2"/>
    <x v="32"/>
    <x v="0"/>
    <x v="0"/>
    <x v="0"/>
    <x v="0"/>
    <x v="0"/>
    <x v="0"/>
  </r>
  <r>
    <x v="78"/>
    <x v="1"/>
    <x v="1"/>
    <x v="1"/>
    <x v="1"/>
    <x v="6"/>
    <x v="0"/>
    <x v="4"/>
    <x v="2"/>
    <x v="1"/>
    <x v="1"/>
    <x v="0"/>
    <x v="2"/>
    <x v="2"/>
    <x v="32"/>
    <x v="0"/>
    <x v="0"/>
    <x v="1"/>
    <x v="0"/>
    <x v="0"/>
    <x v="0"/>
  </r>
  <r>
    <x v="79"/>
    <x v="0"/>
    <x v="0"/>
    <x v="1"/>
    <x v="1"/>
    <x v="6"/>
    <x v="0"/>
    <x v="2"/>
    <x v="1"/>
    <x v="1"/>
    <x v="1"/>
    <x v="1"/>
    <x v="4"/>
    <x v="2"/>
    <x v="9"/>
    <x v="0"/>
    <x v="0"/>
    <x v="0"/>
    <x v="0"/>
    <x v="0"/>
    <x v="0"/>
  </r>
  <r>
    <x v="80"/>
    <x v="1"/>
    <x v="1"/>
    <x v="1"/>
    <x v="1"/>
    <x v="6"/>
    <x v="0"/>
    <x v="5"/>
    <x v="3"/>
    <x v="1"/>
    <x v="0"/>
    <x v="0"/>
    <x v="3"/>
    <x v="1"/>
    <x v="10"/>
    <x v="0"/>
    <x v="0"/>
    <x v="1"/>
    <x v="0"/>
    <x v="0"/>
    <x v="0"/>
  </r>
  <r>
    <x v="81"/>
    <x v="1"/>
    <x v="1"/>
    <x v="0"/>
    <x v="0"/>
    <x v="6"/>
    <x v="0"/>
    <x v="4"/>
    <x v="1"/>
    <x v="1"/>
    <x v="0"/>
    <x v="4"/>
    <x v="3"/>
    <x v="2"/>
    <x v="25"/>
    <x v="0"/>
    <x v="0"/>
    <x v="0"/>
    <x v="0"/>
    <x v="0"/>
    <x v="0"/>
  </r>
  <r>
    <x v="82"/>
    <x v="0"/>
    <x v="0"/>
    <x v="0"/>
    <x v="0"/>
    <x v="6"/>
    <x v="0"/>
    <x v="0"/>
    <x v="3"/>
    <x v="1"/>
    <x v="1"/>
    <x v="2"/>
    <x v="1"/>
    <x v="1"/>
    <x v="11"/>
    <x v="0"/>
    <x v="0"/>
    <x v="1"/>
    <x v="0"/>
    <x v="0"/>
    <x v="0"/>
  </r>
  <r>
    <x v="83"/>
    <x v="1"/>
    <x v="1"/>
    <x v="0"/>
    <x v="0"/>
    <x v="6"/>
    <x v="0"/>
    <x v="4"/>
    <x v="3"/>
    <x v="0"/>
    <x v="0"/>
    <x v="4"/>
    <x v="0"/>
    <x v="2"/>
    <x v="11"/>
    <x v="0"/>
    <x v="0"/>
    <x v="1"/>
    <x v="0"/>
    <x v="0"/>
    <x v="0"/>
  </r>
  <r>
    <x v="84"/>
    <x v="0"/>
    <x v="0"/>
    <x v="1"/>
    <x v="1"/>
    <x v="6"/>
    <x v="0"/>
    <x v="0"/>
    <x v="0"/>
    <x v="0"/>
    <x v="1"/>
    <x v="2"/>
    <x v="1"/>
    <x v="1"/>
    <x v="11"/>
    <x v="0"/>
    <x v="0"/>
    <x v="1"/>
    <x v="0"/>
    <x v="0"/>
    <x v="0"/>
  </r>
  <r>
    <x v="85"/>
    <x v="0"/>
    <x v="0"/>
    <x v="1"/>
    <x v="1"/>
    <x v="6"/>
    <x v="0"/>
    <x v="4"/>
    <x v="1"/>
    <x v="1"/>
    <x v="1"/>
    <x v="1"/>
    <x v="4"/>
    <x v="2"/>
    <x v="11"/>
    <x v="0"/>
    <x v="0"/>
    <x v="0"/>
    <x v="0"/>
    <x v="0"/>
    <x v="0"/>
  </r>
  <r>
    <x v="86"/>
    <x v="0"/>
    <x v="0"/>
    <x v="0"/>
    <x v="0"/>
    <x v="6"/>
    <x v="0"/>
    <x v="0"/>
    <x v="0"/>
    <x v="0"/>
    <x v="1"/>
    <x v="2"/>
    <x v="4"/>
    <x v="1"/>
    <x v="12"/>
    <x v="0"/>
    <x v="0"/>
    <x v="0"/>
    <x v="0"/>
    <x v="0"/>
    <x v="0"/>
  </r>
  <r>
    <x v="87"/>
    <x v="0"/>
    <x v="0"/>
    <x v="1"/>
    <x v="1"/>
    <x v="6"/>
    <x v="0"/>
    <x v="5"/>
    <x v="3"/>
    <x v="1"/>
    <x v="1"/>
    <x v="2"/>
    <x v="1"/>
    <x v="1"/>
    <x v="12"/>
    <x v="0"/>
    <x v="0"/>
    <x v="1"/>
    <x v="0"/>
    <x v="0"/>
    <x v="0"/>
  </r>
  <r>
    <x v="88"/>
    <x v="1"/>
    <x v="1"/>
    <x v="0"/>
    <x v="0"/>
    <x v="6"/>
    <x v="0"/>
    <x v="2"/>
    <x v="0"/>
    <x v="0"/>
    <x v="0"/>
    <x v="0"/>
    <x v="3"/>
    <x v="1"/>
    <x v="6"/>
    <x v="0"/>
    <x v="0"/>
    <x v="1"/>
    <x v="0"/>
    <x v="0"/>
    <x v="0"/>
  </r>
  <r>
    <x v="89"/>
    <x v="1"/>
    <x v="1"/>
    <x v="1"/>
    <x v="1"/>
    <x v="6"/>
    <x v="0"/>
    <x v="2"/>
    <x v="0"/>
    <x v="0"/>
    <x v="0"/>
    <x v="0"/>
    <x v="3"/>
    <x v="1"/>
    <x v="6"/>
    <x v="0"/>
    <x v="0"/>
    <x v="1"/>
    <x v="0"/>
    <x v="0"/>
    <x v="0"/>
  </r>
  <r>
    <x v="90"/>
    <x v="0"/>
    <x v="0"/>
    <x v="0"/>
    <x v="0"/>
    <x v="6"/>
    <x v="0"/>
    <x v="5"/>
    <x v="0"/>
    <x v="0"/>
    <x v="1"/>
    <x v="2"/>
    <x v="3"/>
    <x v="1"/>
    <x v="14"/>
    <x v="0"/>
    <x v="0"/>
    <x v="1"/>
    <x v="0"/>
    <x v="0"/>
    <x v="0"/>
  </r>
  <r>
    <x v="91"/>
    <x v="1"/>
    <x v="1"/>
    <x v="1"/>
    <x v="1"/>
    <x v="6"/>
    <x v="0"/>
    <x v="4"/>
    <x v="0"/>
    <x v="0"/>
    <x v="0"/>
    <x v="2"/>
    <x v="3"/>
    <x v="1"/>
    <x v="14"/>
    <x v="0"/>
    <x v="0"/>
    <x v="1"/>
    <x v="0"/>
    <x v="0"/>
    <x v="0"/>
  </r>
  <r>
    <x v="92"/>
    <x v="0"/>
    <x v="0"/>
    <x v="0"/>
    <x v="0"/>
    <x v="6"/>
    <x v="0"/>
    <x v="0"/>
    <x v="3"/>
    <x v="0"/>
    <x v="1"/>
    <x v="4"/>
    <x v="2"/>
    <x v="2"/>
    <x v="27"/>
    <x v="0"/>
    <x v="0"/>
    <x v="1"/>
    <x v="0"/>
    <x v="0"/>
    <x v="0"/>
  </r>
  <r>
    <x v="93"/>
    <x v="1"/>
    <x v="1"/>
    <x v="1"/>
    <x v="1"/>
    <x v="6"/>
    <x v="0"/>
    <x v="2"/>
    <x v="3"/>
    <x v="1"/>
    <x v="0"/>
    <x v="0"/>
    <x v="1"/>
    <x v="2"/>
    <x v="27"/>
    <x v="0"/>
    <x v="0"/>
    <x v="0"/>
    <x v="0"/>
    <x v="0"/>
    <x v="0"/>
  </r>
  <r>
    <x v="94"/>
    <x v="0"/>
    <x v="0"/>
    <x v="1"/>
    <x v="1"/>
    <x v="6"/>
    <x v="0"/>
    <x v="2"/>
    <x v="3"/>
    <x v="1"/>
    <x v="1"/>
    <x v="0"/>
    <x v="4"/>
    <x v="2"/>
    <x v="4"/>
    <x v="0"/>
    <x v="0"/>
    <x v="1"/>
    <x v="0"/>
    <x v="0"/>
    <x v="0"/>
  </r>
  <r>
    <x v="95"/>
    <x v="1"/>
    <x v="1"/>
    <x v="1"/>
    <x v="1"/>
    <x v="6"/>
    <x v="0"/>
    <x v="1"/>
    <x v="3"/>
    <x v="0"/>
    <x v="1"/>
    <x v="4"/>
    <x v="0"/>
    <x v="2"/>
    <x v="4"/>
    <x v="0"/>
    <x v="0"/>
    <x v="0"/>
    <x v="0"/>
    <x v="0"/>
    <x v="0"/>
  </r>
  <r>
    <x v="96"/>
    <x v="1"/>
    <x v="1"/>
    <x v="0"/>
    <x v="0"/>
    <x v="6"/>
    <x v="0"/>
    <x v="2"/>
    <x v="3"/>
    <x v="1"/>
    <x v="1"/>
    <x v="2"/>
    <x v="4"/>
    <x v="2"/>
    <x v="0"/>
    <x v="0"/>
    <x v="0"/>
    <x v="1"/>
    <x v="0"/>
    <x v="0"/>
    <x v="0"/>
  </r>
  <r>
    <x v="97"/>
    <x v="1"/>
    <x v="1"/>
    <x v="1"/>
    <x v="1"/>
    <x v="6"/>
    <x v="0"/>
    <x v="2"/>
    <x v="3"/>
    <x v="1"/>
    <x v="0"/>
    <x v="0"/>
    <x v="1"/>
    <x v="2"/>
    <x v="0"/>
    <x v="0"/>
    <x v="0"/>
    <x v="1"/>
    <x v="0"/>
    <x v="0"/>
    <x v="0"/>
  </r>
  <r>
    <x v="98"/>
    <x v="1"/>
    <x v="1"/>
    <x v="0"/>
    <x v="0"/>
    <x v="6"/>
    <x v="0"/>
    <x v="5"/>
    <x v="0"/>
    <x v="1"/>
    <x v="1"/>
    <x v="2"/>
    <x v="2"/>
    <x v="0"/>
    <x v="28"/>
    <x v="0"/>
    <x v="1"/>
    <x v="1"/>
    <x v="0"/>
    <x v="0"/>
    <x v="0"/>
  </r>
  <r>
    <x v="99"/>
    <x v="1"/>
    <x v="1"/>
    <x v="0"/>
    <x v="0"/>
    <x v="6"/>
    <x v="0"/>
    <x v="5"/>
    <x v="0"/>
    <x v="1"/>
    <x v="0"/>
    <x v="2"/>
    <x v="0"/>
    <x v="0"/>
    <x v="28"/>
    <x v="0"/>
    <x v="1"/>
    <x v="1"/>
    <x v="0"/>
    <x v="0"/>
    <x v="0"/>
  </r>
  <r>
    <x v="100"/>
    <x v="0"/>
    <x v="0"/>
    <x v="0"/>
    <x v="0"/>
    <x v="6"/>
    <x v="0"/>
    <x v="3"/>
    <x v="3"/>
    <x v="1"/>
    <x v="1"/>
    <x v="2"/>
    <x v="2"/>
    <x v="0"/>
    <x v="19"/>
    <x v="0"/>
    <x v="1"/>
    <x v="1"/>
    <x v="0"/>
    <x v="0"/>
    <x v="0"/>
  </r>
  <r>
    <x v="101"/>
    <x v="0"/>
    <x v="0"/>
    <x v="1"/>
    <x v="1"/>
    <x v="6"/>
    <x v="0"/>
    <x v="5"/>
    <x v="4"/>
    <x v="0"/>
    <x v="1"/>
    <x v="1"/>
    <x v="2"/>
    <x v="0"/>
    <x v="19"/>
    <x v="0"/>
    <x v="1"/>
    <x v="0"/>
    <x v="0"/>
    <x v="0"/>
    <x v="0"/>
  </r>
  <r>
    <x v="102"/>
    <x v="0"/>
    <x v="0"/>
    <x v="1"/>
    <x v="1"/>
    <x v="6"/>
    <x v="0"/>
    <x v="3"/>
    <x v="1"/>
    <x v="1"/>
    <x v="1"/>
    <x v="0"/>
    <x v="3"/>
    <x v="1"/>
    <x v="33"/>
    <x v="0"/>
    <x v="1"/>
    <x v="1"/>
    <x v="0"/>
    <x v="0"/>
    <x v="0"/>
  </r>
  <r>
    <x v="103"/>
    <x v="1"/>
    <x v="1"/>
    <x v="1"/>
    <x v="1"/>
    <x v="6"/>
    <x v="0"/>
    <x v="2"/>
    <x v="1"/>
    <x v="1"/>
    <x v="1"/>
    <x v="0"/>
    <x v="4"/>
    <x v="1"/>
    <x v="34"/>
    <x v="0"/>
    <x v="1"/>
    <x v="0"/>
    <x v="0"/>
    <x v="0"/>
    <x v="0"/>
  </r>
  <r>
    <x v="104"/>
    <x v="0"/>
    <x v="0"/>
    <x v="1"/>
    <x v="1"/>
    <x v="6"/>
    <x v="0"/>
    <x v="1"/>
    <x v="1"/>
    <x v="1"/>
    <x v="0"/>
    <x v="4"/>
    <x v="3"/>
    <x v="2"/>
    <x v="35"/>
    <x v="0"/>
    <x v="1"/>
    <x v="0"/>
    <x v="0"/>
    <x v="0"/>
    <x v="0"/>
  </r>
  <r>
    <x v="105"/>
    <x v="1"/>
    <x v="1"/>
    <x v="1"/>
    <x v="1"/>
    <x v="7"/>
    <x v="0"/>
    <x v="4"/>
    <x v="3"/>
    <x v="0"/>
    <x v="0"/>
    <x v="0"/>
    <x v="2"/>
    <x v="2"/>
    <x v="24"/>
    <x v="0"/>
    <x v="0"/>
    <x v="0"/>
    <x v="0"/>
    <x v="0"/>
    <x v="0"/>
  </r>
  <r>
    <x v="106"/>
    <x v="1"/>
    <x v="1"/>
    <x v="1"/>
    <x v="1"/>
    <x v="7"/>
    <x v="0"/>
    <x v="4"/>
    <x v="3"/>
    <x v="0"/>
    <x v="0"/>
    <x v="2"/>
    <x v="2"/>
    <x v="2"/>
    <x v="32"/>
    <x v="0"/>
    <x v="0"/>
    <x v="0"/>
    <x v="0"/>
    <x v="0"/>
    <x v="0"/>
  </r>
  <r>
    <x v="107"/>
    <x v="0"/>
    <x v="0"/>
    <x v="0"/>
    <x v="0"/>
    <x v="7"/>
    <x v="0"/>
    <x v="3"/>
    <x v="3"/>
    <x v="0"/>
    <x v="0"/>
    <x v="1"/>
    <x v="1"/>
    <x v="2"/>
    <x v="9"/>
    <x v="0"/>
    <x v="0"/>
    <x v="0"/>
    <x v="0"/>
    <x v="0"/>
    <x v="0"/>
  </r>
  <r>
    <x v="108"/>
    <x v="1"/>
    <x v="1"/>
    <x v="0"/>
    <x v="0"/>
    <x v="7"/>
    <x v="0"/>
    <x v="4"/>
    <x v="3"/>
    <x v="0"/>
    <x v="0"/>
    <x v="2"/>
    <x v="2"/>
    <x v="2"/>
    <x v="9"/>
    <x v="0"/>
    <x v="0"/>
    <x v="1"/>
    <x v="0"/>
    <x v="0"/>
    <x v="0"/>
  </r>
  <r>
    <x v="109"/>
    <x v="1"/>
    <x v="1"/>
    <x v="0"/>
    <x v="0"/>
    <x v="7"/>
    <x v="0"/>
    <x v="2"/>
    <x v="1"/>
    <x v="1"/>
    <x v="1"/>
    <x v="1"/>
    <x v="1"/>
    <x v="2"/>
    <x v="9"/>
    <x v="0"/>
    <x v="0"/>
    <x v="0"/>
    <x v="0"/>
    <x v="0"/>
    <x v="0"/>
  </r>
  <r>
    <x v="110"/>
    <x v="1"/>
    <x v="1"/>
    <x v="0"/>
    <x v="0"/>
    <x v="7"/>
    <x v="0"/>
    <x v="3"/>
    <x v="3"/>
    <x v="0"/>
    <x v="0"/>
    <x v="1"/>
    <x v="1"/>
    <x v="2"/>
    <x v="9"/>
    <x v="0"/>
    <x v="0"/>
    <x v="0"/>
    <x v="0"/>
    <x v="0"/>
    <x v="0"/>
  </r>
  <r>
    <x v="111"/>
    <x v="1"/>
    <x v="1"/>
    <x v="1"/>
    <x v="1"/>
    <x v="7"/>
    <x v="0"/>
    <x v="3"/>
    <x v="2"/>
    <x v="2"/>
    <x v="1"/>
    <x v="1"/>
    <x v="1"/>
    <x v="0"/>
    <x v="9"/>
    <x v="0"/>
    <x v="0"/>
    <x v="0"/>
    <x v="0"/>
    <x v="0"/>
    <x v="0"/>
  </r>
  <r>
    <x v="112"/>
    <x v="0"/>
    <x v="0"/>
    <x v="0"/>
    <x v="0"/>
    <x v="7"/>
    <x v="0"/>
    <x v="2"/>
    <x v="1"/>
    <x v="1"/>
    <x v="1"/>
    <x v="1"/>
    <x v="1"/>
    <x v="2"/>
    <x v="5"/>
    <x v="0"/>
    <x v="0"/>
    <x v="0"/>
    <x v="0"/>
    <x v="0"/>
    <x v="0"/>
  </r>
  <r>
    <x v="113"/>
    <x v="0"/>
    <x v="0"/>
    <x v="1"/>
    <x v="1"/>
    <x v="7"/>
    <x v="0"/>
    <x v="0"/>
    <x v="3"/>
    <x v="0"/>
    <x v="1"/>
    <x v="1"/>
    <x v="3"/>
    <x v="2"/>
    <x v="10"/>
    <x v="0"/>
    <x v="0"/>
    <x v="0"/>
    <x v="0"/>
    <x v="0"/>
    <x v="0"/>
  </r>
  <r>
    <x v="114"/>
    <x v="1"/>
    <x v="1"/>
    <x v="1"/>
    <x v="1"/>
    <x v="7"/>
    <x v="0"/>
    <x v="0"/>
    <x v="3"/>
    <x v="1"/>
    <x v="1"/>
    <x v="4"/>
    <x v="3"/>
    <x v="1"/>
    <x v="10"/>
    <x v="0"/>
    <x v="0"/>
    <x v="0"/>
    <x v="0"/>
    <x v="0"/>
    <x v="0"/>
  </r>
  <r>
    <x v="115"/>
    <x v="1"/>
    <x v="1"/>
    <x v="1"/>
    <x v="1"/>
    <x v="7"/>
    <x v="0"/>
    <x v="0"/>
    <x v="3"/>
    <x v="1"/>
    <x v="1"/>
    <x v="4"/>
    <x v="3"/>
    <x v="1"/>
    <x v="10"/>
    <x v="0"/>
    <x v="0"/>
    <x v="0"/>
    <x v="0"/>
    <x v="0"/>
    <x v="0"/>
  </r>
  <r>
    <x v="116"/>
    <x v="0"/>
    <x v="0"/>
    <x v="0"/>
    <x v="0"/>
    <x v="7"/>
    <x v="0"/>
    <x v="1"/>
    <x v="0"/>
    <x v="0"/>
    <x v="1"/>
    <x v="0"/>
    <x v="4"/>
    <x v="1"/>
    <x v="11"/>
    <x v="0"/>
    <x v="0"/>
    <x v="1"/>
    <x v="0"/>
    <x v="0"/>
    <x v="0"/>
  </r>
  <r>
    <x v="117"/>
    <x v="0"/>
    <x v="0"/>
    <x v="1"/>
    <x v="1"/>
    <x v="7"/>
    <x v="0"/>
    <x v="3"/>
    <x v="3"/>
    <x v="0"/>
    <x v="1"/>
    <x v="1"/>
    <x v="3"/>
    <x v="2"/>
    <x v="11"/>
    <x v="0"/>
    <x v="0"/>
    <x v="0"/>
    <x v="0"/>
    <x v="0"/>
    <x v="0"/>
  </r>
  <r>
    <x v="118"/>
    <x v="0"/>
    <x v="0"/>
    <x v="1"/>
    <x v="1"/>
    <x v="7"/>
    <x v="0"/>
    <x v="1"/>
    <x v="0"/>
    <x v="0"/>
    <x v="1"/>
    <x v="0"/>
    <x v="1"/>
    <x v="1"/>
    <x v="12"/>
    <x v="0"/>
    <x v="0"/>
    <x v="1"/>
    <x v="0"/>
    <x v="0"/>
    <x v="0"/>
  </r>
  <r>
    <x v="119"/>
    <x v="1"/>
    <x v="1"/>
    <x v="1"/>
    <x v="1"/>
    <x v="7"/>
    <x v="0"/>
    <x v="4"/>
    <x v="0"/>
    <x v="0"/>
    <x v="0"/>
    <x v="3"/>
    <x v="1"/>
    <x v="1"/>
    <x v="26"/>
    <x v="0"/>
    <x v="0"/>
    <x v="0"/>
    <x v="0"/>
    <x v="0"/>
    <x v="0"/>
  </r>
  <r>
    <x v="120"/>
    <x v="0"/>
    <x v="0"/>
    <x v="0"/>
    <x v="0"/>
    <x v="7"/>
    <x v="0"/>
    <x v="0"/>
    <x v="0"/>
    <x v="0"/>
    <x v="1"/>
    <x v="4"/>
    <x v="3"/>
    <x v="1"/>
    <x v="14"/>
    <x v="0"/>
    <x v="0"/>
    <x v="1"/>
    <x v="0"/>
    <x v="0"/>
    <x v="0"/>
  </r>
  <r>
    <x v="121"/>
    <x v="1"/>
    <x v="1"/>
    <x v="0"/>
    <x v="0"/>
    <x v="7"/>
    <x v="0"/>
    <x v="0"/>
    <x v="2"/>
    <x v="0"/>
    <x v="0"/>
    <x v="0"/>
    <x v="3"/>
    <x v="1"/>
    <x v="14"/>
    <x v="0"/>
    <x v="0"/>
    <x v="0"/>
    <x v="0"/>
    <x v="0"/>
    <x v="0"/>
  </r>
  <r>
    <x v="122"/>
    <x v="0"/>
    <x v="0"/>
    <x v="1"/>
    <x v="1"/>
    <x v="7"/>
    <x v="0"/>
    <x v="0"/>
    <x v="2"/>
    <x v="0"/>
    <x v="1"/>
    <x v="3"/>
    <x v="3"/>
    <x v="1"/>
    <x v="14"/>
    <x v="0"/>
    <x v="0"/>
    <x v="1"/>
    <x v="0"/>
    <x v="0"/>
    <x v="0"/>
  </r>
  <r>
    <x v="123"/>
    <x v="0"/>
    <x v="0"/>
    <x v="0"/>
    <x v="0"/>
    <x v="7"/>
    <x v="0"/>
    <x v="2"/>
    <x v="3"/>
    <x v="0"/>
    <x v="1"/>
    <x v="4"/>
    <x v="0"/>
    <x v="2"/>
    <x v="27"/>
    <x v="0"/>
    <x v="0"/>
    <x v="1"/>
    <x v="0"/>
    <x v="0"/>
    <x v="0"/>
  </r>
  <r>
    <x v="124"/>
    <x v="0"/>
    <x v="0"/>
    <x v="0"/>
    <x v="0"/>
    <x v="7"/>
    <x v="0"/>
    <x v="2"/>
    <x v="3"/>
    <x v="0"/>
    <x v="1"/>
    <x v="4"/>
    <x v="4"/>
    <x v="2"/>
    <x v="4"/>
    <x v="0"/>
    <x v="0"/>
    <x v="0"/>
    <x v="0"/>
    <x v="0"/>
    <x v="0"/>
  </r>
  <r>
    <x v="125"/>
    <x v="0"/>
    <x v="0"/>
    <x v="1"/>
    <x v="1"/>
    <x v="7"/>
    <x v="0"/>
    <x v="1"/>
    <x v="1"/>
    <x v="0"/>
    <x v="1"/>
    <x v="1"/>
    <x v="1"/>
    <x v="1"/>
    <x v="4"/>
    <x v="0"/>
    <x v="0"/>
    <x v="0"/>
    <x v="0"/>
    <x v="0"/>
    <x v="0"/>
  </r>
  <r>
    <x v="126"/>
    <x v="0"/>
    <x v="0"/>
    <x v="1"/>
    <x v="1"/>
    <x v="7"/>
    <x v="0"/>
    <x v="3"/>
    <x v="3"/>
    <x v="0"/>
    <x v="1"/>
    <x v="4"/>
    <x v="0"/>
    <x v="2"/>
    <x v="4"/>
    <x v="0"/>
    <x v="0"/>
    <x v="1"/>
    <x v="0"/>
    <x v="0"/>
    <x v="0"/>
  </r>
  <r>
    <x v="127"/>
    <x v="1"/>
    <x v="1"/>
    <x v="1"/>
    <x v="1"/>
    <x v="7"/>
    <x v="0"/>
    <x v="2"/>
    <x v="3"/>
    <x v="0"/>
    <x v="1"/>
    <x v="4"/>
    <x v="4"/>
    <x v="2"/>
    <x v="4"/>
    <x v="0"/>
    <x v="0"/>
    <x v="0"/>
    <x v="0"/>
    <x v="0"/>
    <x v="0"/>
  </r>
  <r>
    <x v="128"/>
    <x v="1"/>
    <x v="1"/>
    <x v="1"/>
    <x v="1"/>
    <x v="7"/>
    <x v="0"/>
    <x v="3"/>
    <x v="0"/>
    <x v="0"/>
    <x v="1"/>
    <x v="4"/>
    <x v="4"/>
    <x v="1"/>
    <x v="0"/>
    <x v="0"/>
    <x v="0"/>
    <x v="0"/>
    <x v="0"/>
    <x v="0"/>
    <x v="0"/>
  </r>
  <r>
    <x v="129"/>
    <x v="0"/>
    <x v="0"/>
    <x v="1"/>
    <x v="1"/>
    <x v="7"/>
    <x v="0"/>
    <x v="3"/>
    <x v="0"/>
    <x v="0"/>
    <x v="0"/>
    <x v="1"/>
    <x v="0"/>
    <x v="1"/>
    <x v="36"/>
    <x v="0"/>
    <x v="0"/>
    <x v="0"/>
    <x v="0"/>
    <x v="0"/>
    <x v="0"/>
  </r>
  <r>
    <x v="130"/>
    <x v="0"/>
    <x v="0"/>
    <x v="0"/>
    <x v="0"/>
    <x v="7"/>
    <x v="0"/>
    <x v="3"/>
    <x v="2"/>
    <x v="0"/>
    <x v="1"/>
    <x v="4"/>
    <x v="2"/>
    <x v="1"/>
    <x v="7"/>
    <x v="0"/>
    <x v="1"/>
    <x v="0"/>
    <x v="0"/>
    <x v="0"/>
    <x v="0"/>
  </r>
  <r>
    <x v="131"/>
    <x v="1"/>
    <x v="1"/>
    <x v="0"/>
    <x v="0"/>
    <x v="7"/>
    <x v="0"/>
    <x v="5"/>
    <x v="2"/>
    <x v="0"/>
    <x v="0"/>
    <x v="4"/>
    <x v="4"/>
    <x v="0"/>
    <x v="7"/>
    <x v="0"/>
    <x v="1"/>
    <x v="1"/>
    <x v="0"/>
    <x v="0"/>
    <x v="0"/>
  </r>
  <r>
    <x v="132"/>
    <x v="0"/>
    <x v="0"/>
    <x v="0"/>
    <x v="0"/>
    <x v="7"/>
    <x v="0"/>
    <x v="0"/>
    <x v="2"/>
    <x v="0"/>
    <x v="0"/>
    <x v="3"/>
    <x v="4"/>
    <x v="0"/>
    <x v="17"/>
    <x v="0"/>
    <x v="1"/>
    <x v="0"/>
    <x v="0"/>
    <x v="0"/>
    <x v="0"/>
  </r>
  <r>
    <x v="133"/>
    <x v="1"/>
    <x v="1"/>
    <x v="0"/>
    <x v="0"/>
    <x v="7"/>
    <x v="0"/>
    <x v="0"/>
    <x v="2"/>
    <x v="1"/>
    <x v="0"/>
    <x v="0"/>
    <x v="0"/>
    <x v="0"/>
    <x v="28"/>
    <x v="0"/>
    <x v="1"/>
    <x v="1"/>
    <x v="0"/>
    <x v="0"/>
    <x v="0"/>
  </r>
  <r>
    <x v="134"/>
    <x v="0"/>
    <x v="0"/>
    <x v="1"/>
    <x v="1"/>
    <x v="7"/>
    <x v="0"/>
    <x v="0"/>
    <x v="2"/>
    <x v="1"/>
    <x v="1"/>
    <x v="0"/>
    <x v="0"/>
    <x v="0"/>
    <x v="28"/>
    <x v="0"/>
    <x v="1"/>
    <x v="0"/>
    <x v="0"/>
    <x v="0"/>
    <x v="0"/>
  </r>
  <r>
    <x v="135"/>
    <x v="0"/>
    <x v="0"/>
    <x v="0"/>
    <x v="0"/>
    <x v="7"/>
    <x v="0"/>
    <x v="0"/>
    <x v="4"/>
    <x v="3"/>
    <x v="1"/>
    <x v="2"/>
    <x v="2"/>
    <x v="0"/>
    <x v="18"/>
    <x v="0"/>
    <x v="1"/>
    <x v="1"/>
    <x v="0"/>
    <x v="0"/>
    <x v="0"/>
  </r>
  <r>
    <x v="136"/>
    <x v="0"/>
    <x v="0"/>
    <x v="1"/>
    <x v="1"/>
    <x v="7"/>
    <x v="0"/>
    <x v="0"/>
    <x v="2"/>
    <x v="1"/>
    <x v="1"/>
    <x v="0"/>
    <x v="0"/>
    <x v="0"/>
    <x v="18"/>
    <x v="0"/>
    <x v="1"/>
    <x v="0"/>
    <x v="0"/>
    <x v="0"/>
    <x v="0"/>
  </r>
  <r>
    <x v="137"/>
    <x v="0"/>
    <x v="0"/>
    <x v="0"/>
    <x v="0"/>
    <x v="7"/>
    <x v="0"/>
    <x v="1"/>
    <x v="4"/>
    <x v="3"/>
    <x v="1"/>
    <x v="3"/>
    <x v="2"/>
    <x v="0"/>
    <x v="19"/>
    <x v="0"/>
    <x v="1"/>
    <x v="1"/>
    <x v="0"/>
    <x v="0"/>
    <x v="0"/>
  </r>
  <r>
    <x v="138"/>
    <x v="1"/>
    <x v="1"/>
    <x v="0"/>
    <x v="0"/>
    <x v="7"/>
    <x v="0"/>
    <x v="1"/>
    <x v="0"/>
    <x v="0"/>
    <x v="1"/>
    <x v="3"/>
    <x v="2"/>
    <x v="0"/>
    <x v="29"/>
    <x v="0"/>
    <x v="1"/>
    <x v="1"/>
    <x v="0"/>
    <x v="0"/>
    <x v="0"/>
  </r>
  <r>
    <x v="139"/>
    <x v="1"/>
    <x v="1"/>
    <x v="1"/>
    <x v="1"/>
    <x v="7"/>
    <x v="0"/>
    <x v="1"/>
    <x v="0"/>
    <x v="0"/>
    <x v="0"/>
    <x v="3"/>
    <x v="2"/>
    <x v="0"/>
    <x v="29"/>
    <x v="0"/>
    <x v="1"/>
    <x v="1"/>
    <x v="0"/>
    <x v="0"/>
    <x v="0"/>
  </r>
  <r>
    <x v="140"/>
    <x v="1"/>
    <x v="1"/>
    <x v="1"/>
    <x v="1"/>
    <x v="7"/>
    <x v="0"/>
    <x v="1"/>
    <x v="0"/>
    <x v="0"/>
    <x v="0"/>
    <x v="3"/>
    <x v="4"/>
    <x v="0"/>
    <x v="29"/>
    <x v="0"/>
    <x v="1"/>
    <x v="0"/>
    <x v="0"/>
    <x v="0"/>
    <x v="0"/>
  </r>
  <r>
    <x v="141"/>
    <x v="0"/>
    <x v="0"/>
    <x v="0"/>
    <x v="0"/>
    <x v="7"/>
    <x v="0"/>
    <x v="1"/>
    <x v="3"/>
    <x v="1"/>
    <x v="1"/>
    <x v="3"/>
    <x v="3"/>
    <x v="1"/>
    <x v="37"/>
    <x v="0"/>
    <x v="1"/>
    <x v="0"/>
    <x v="0"/>
    <x v="0"/>
    <x v="0"/>
  </r>
  <r>
    <x v="142"/>
    <x v="0"/>
    <x v="0"/>
    <x v="0"/>
    <x v="0"/>
    <x v="7"/>
    <x v="0"/>
    <x v="1"/>
    <x v="3"/>
    <x v="1"/>
    <x v="1"/>
    <x v="3"/>
    <x v="3"/>
    <x v="1"/>
    <x v="2"/>
    <x v="0"/>
    <x v="1"/>
    <x v="0"/>
    <x v="0"/>
    <x v="0"/>
    <x v="0"/>
  </r>
  <r>
    <x v="143"/>
    <x v="1"/>
    <x v="1"/>
    <x v="1"/>
    <x v="1"/>
    <x v="7"/>
    <x v="0"/>
    <x v="0"/>
    <x v="1"/>
    <x v="1"/>
    <x v="1"/>
    <x v="4"/>
    <x v="0"/>
    <x v="1"/>
    <x v="34"/>
    <x v="0"/>
    <x v="1"/>
    <x v="1"/>
    <x v="0"/>
    <x v="0"/>
    <x v="0"/>
  </r>
  <r>
    <x v="144"/>
    <x v="0"/>
    <x v="0"/>
    <x v="1"/>
    <x v="1"/>
    <x v="8"/>
    <x v="0"/>
    <x v="4"/>
    <x v="3"/>
    <x v="0"/>
    <x v="1"/>
    <x v="3"/>
    <x v="2"/>
    <x v="2"/>
    <x v="38"/>
    <x v="0"/>
    <x v="2"/>
    <x v="0"/>
    <x v="0"/>
    <x v="0"/>
    <x v="0"/>
  </r>
  <r>
    <x v="145"/>
    <x v="0"/>
    <x v="0"/>
    <x v="1"/>
    <x v="1"/>
    <x v="8"/>
    <x v="0"/>
    <x v="4"/>
    <x v="3"/>
    <x v="0"/>
    <x v="1"/>
    <x v="0"/>
    <x v="2"/>
    <x v="2"/>
    <x v="39"/>
    <x v="0"/>
    <x v="0"/>
    <x v="1"/>
    <x v="0"/>
    <x v="0"/>
    <x v="0"/>
  </r>
  <r>
    <x v="146"/>
    <x v="1"/>
    <x v="1"/>
    <x v="0"/>
    <x v="0"/>
    <x v="8"/>
    <x v="0"/>
    <x v="4"/>
    <x v="3"/>
    <x v="0"/>
    <x v="0"/>
    <x v="0"/>
    <x v="2"/>
    <x v="2"/>
    <x v="8"/>
    <x v="0"/>
    <x v="0"/>
    <x v="1"/>
    <x v="0"/>
    <x v="0"/>
    <x v="0"/>
  </r>
  <r>
    <x v="147"/>
    <x v="0"/>
    <x v="0"/>
    <x v="0"/>
    <x v="0"/>
    <x v="8"/>
    <x v="0"/>
    <x v="4"/>
    <x v="3"/>
    <x v="0"/>
    <x v="1"/>
    <x v="0"/>
    <x v="2"/>
    <x v="2"/>
    <x v="23"/>
    <x v="0"/>
    <x v="0"/>
    <x v="1"/>
    <x v="0"/>
    <x v="0"/>
    <x v="0"/>
  </r>
  <r>
    <x v="148"/>
    <x v="1"/>
    <x v="1"/>
    <x v="0"/>
    <x v="0"/>
    <x v="8"/>
    <x v="0"/>
    <x v="4"/>
    <x v="3"/>
    <x v="0"/>
    <x v="1"/>
    <x v="0"/>
    <x v="2"/>
    <x v="2"/>
    <x v="23"/>
    <x v="0"/>
    <x v="0"/>
    <x v="1"/>
    <x v="0"/>
    <x v="0"/>
    <x v="0"/>
  </r>
  <r>
    <x v="149"/>
    <x v="1"/>
    <x v="1"/>
    <x v="1"/>
    <x v="1"/>
    <x v="8"/>
    <x v="0"/>
    <x v="4"/>
    <x v="3"/>
    <x v="0"/>
    <x v="1"/>
    <x v="0"/>
    <x v="2"/>
    <x v="2"/>
    <x v="23"/>
    <x v="0"/>
    <x v="0"/>
    <x v="1"/>
    <x v="0"/>
    <x v="0"/>
    <x v="0"/>
  </r>
  <r>
    <x v="150"/>
    <x v="1"/>
    <x v="1"/>
    <x v="0"/>
    <x v="0"/>
    <x v="8"/>
    <x v="0"/>
    <x v="4"/>
    <x v="3"/>
    <x v="0"/>
    <x v="0"/>
    <x v="0"/>
    <x v="2"/>
    <x v="2"/>
    <x v="3"/>
    <x v="0"/>
    <x v="0"/>
    <x v="1"/>
    <x v="0"/>
    <x v="0"/>
    <x v="0"/>
  </r>
  <r>
    <x v="151"/>
    <x v="1"/>
    <x v="1"/>
    <x v="1"/>
    <x v="1"/>
    <x v="8"/>
    <x v="0"/>
    <x v="4"/>
    <x v="3"/>
    <x v="0"/>
    <x v="0"/>
    <x v="0"/>
    <x v="2"/>
    <x v="2"/>
    <x v="3"/>
    <x v="0"/>
    <x v="0"/>
    <x v="0"/>
    <x v="0"/>
    <x v="0"/>
    <x v="0"/>
  </r>
  <r>
    <x v="152"/>
    <x v="0"/>
    <x v="0"/>
    <x v="0"/>
    <x v="0"/>
    <x v="8"/>
    <x v="0"/>
    <x v="4"/>
    <x v="3"/>
    <x v="1"/>
    <x v="1"/>
    <x v="4"/>
    <x v="3"/>
    <x v="1"/>
    <x v="24"/>
    <x v="0"/>
    <x v="0"/>
    <x v="0"/>
    <x v="0"/>
    <x v="0"/>
    <x v="0"/>
  </r>
  <r>
    <x v="153"/>
    <x v="0"/>
    <x v="0"/>
    <x v="0"/>
    <x v="0"/>
    <x v="8"/>
    <x v="0"/>
    <x v="4"/>
    <x v="3"/>
    <x v="1"/>
    <x v="1"/>
    <x v="4"/>
    <x v="3"/>
    <x v="1"/>
    <x v="24"/>
    <x v="0"/>
    <x v="0"/>
    <x v="0"/>
    <x v="0"/>
    <x v="0"/>
    <x v="0"/>
  </r>
  <r>
    <x v="154"/>
    <x v="1"/>
    <x v="1"/>
    <x v="0"/>
    <x v="0"/>
    <x v="8"/>
    <x v="0"/>
    <x v="4"/>
    <x v="3"/>
    <x v="1"/>
    <x v="1"/>
    <x v="4"/>
    <x v="3"/>
    <x v="1"/>
    <x v="24"/>
    <x v="0"/>
    <x v="0"/>
    <x v="0"/>
    <x v="0"/>
    <x v="0"/>
    <x v="0"/>
  </r>
  <r>
    <x v="155"/>
    <x v="1"/>
    <x v="1"/>
    <x v="0"/>
    <x v="0"/>
    <x v="8"/>
    <x v="0"/>
    <x v="4"/>
    <x v="3"/>
    <x v="0"/>
    <x v="1"/>
    <x v="2"/>
    <x v="2"/>
    <x v="2"/>
    <x v="32"/>
    <x v="0"/>
    <x v="0"/>
    <x v="1"/>
    <x v="0"/>
    <x v="0"/>
    <x v="0"/>
  </r>
  <r>
    <x v="156"/>
    <x v="1"/>
    <x v="1"/>
    <x v="1"/>
    <x v="1"/>
    <x v="8"/>
    <x v="0"/>
    <x v="4"/>
    <x v="3"/>
    <x v="0"/>
    <x v="0"/>
    <x v="2"/>
    <x v="2"/>
    <x v="2"/>
    <x v="32"/>
    <x v="0"/>
    <x v="0"/>
    <x v="1"/>
    <x v="0"/>
    <x v="0"/>
    <x v="0"/>
  </r>
  <r>
    <x v="157"/>
    <x v="0"/>
    <x v="0"/>
    <x v="0"/>
    <x v="0"/>
    <x v="8"/>
    <x v="0"/>
    <x v="5"/>
    <x v="1"/>
    <x v="0"/>
    <x v="1"/>
    <x v="1"/>
    <x v="1"/>
    <x v="1"/>
    <x v="9"/>
    <x v="0"/>
    <x v="0"/>
    <x v="0"/>
    <x v="0"/>
    <x v="0"/>
    <x v="0"/>
  </r>
  <r>
    <x v="158"/>
    <x v="0"/>
    <x v="0"/>
    <x v="0"/>
    <x v="0"/>
    <x v="8"/>
    <x v="0"/>
    <x v="0"/>
    <x v="1"/>
    <x v="1"/>
    <x v="1"/>
    <x v="4"/>
    <x v="1"/>
    <x v="2"/>
    <x v="9"/>
    <x v="0"/>
    <x v="0"/>
    <x v="1"/>
    <x v="0"/>
    <x v="0"/>
    <x v="0"/>
  </r>
  <r>
    <x v="159"/>
    <x v="1"/>
    <x v="1"/>
    <x v="0"/>
    <x v="0"/>
    <x v="8"/>
    <x v="0"/>
    <x v="5"/>
    <x v="1"/>
    <x v="0"/>
    <x v="0"/>
    <x v="1"/>
    <x v="1"/>
    <x v="1"/>
    <x v="9"/>
    <x v="0"/>
    <x v="0"/>
    <x v="0"/>
    <x v="0"/>
    <x v="0"/>
    <x v="0"/>
  </r>
  <r>
    <x v="160"/>
    <x v="0"/>
    <x v="0"/>
    <x v="1"/>
    <x v="1"/>
    <x v="8"/>
    <x v="0"/>
    <x v="0"/>
    <x v="1"/>
    <x v="1"/>
    <x v="1"/>
    <x v="4"/>
    <x v="1"/>
    <x v="2"/>
    <x v="9"/>
    <x v="0"/>
    <x v="0"/>
    <x v="0"/>
    <x v="0"/>
    <x v="0"/>
    <x v="0"/>
  </r>
  <r>
    <x v="161"/>
    <x v="1"/>
    <x v="1"/>
    <x v="1"/>
    <x v="1"/>
    <x v="8"/>
    <x v="0"/>
    <x v="0"/>
    <x v="1"/>
    <x v="1"/>
    <x v="1"/>
    <x v="1"/>
    <x v="1"/>
    <x v="2"/>
    <x v="9"/>
    <x v="0"/>
    <x v="0"/>
    <x v="0"/>
    <x v="0"/>
    <x v="0"/>
    <x v="0"/>
  </r>
  <r>
    <x v="162"/>
    <x v="1"/>
    <x v="1"/>
    <x v="0"/>
    <x v="0"/>
    <x v="8"/>
    <x v="0"/>
    <x v="5"/>
    <x v="1"/>
    <x v="0"/>
    <x v="1"/>
    <x v="1"/>
    <x v="1"/>
    <x v="1"/>
    <x v="5"/>
    <x v="0"/>
    <x v="0"/>
    <x v="0"/>
    <x v="0"/>
    <x v="0"/>
    <x v="0"/>
  </r>
  <r>
    <x v="163"/>
    <x v="0"/>
    <x v="0"/>
    <x v="1"/>
    <x v="1"/>
    <x v="8"/>
    <x v="0"/>
    <x v="3"/>
    <x v="1"/>
    <x v="0"/>
    <x v="1"/>
    <x v="1"/>
    <x v="1"/>
    <x v="1"/>
    <x v="5"/>
    <x v="0"/>
    <x v="0"/>
    <x v="0"/>
    <x v="0"/>
    <x v="0"/>
    <x v="0"/>
  </r>
  <r>
    <x v="164"/>
    <x v="1"/>
    <x v="1"/>
    <x v="0"/>
    <x v="0"/>
    <x v="8"/>
    <x v="0"/>
    <x v="1"/>
    <x v="3"/>
    <x v="0"/>
    <x v="1"/>
    <x v="2"/>
    <x v="3"/>
    <x v="2"/>
    <x v="10"/>
    <x v="0"/>
    <x v="0"/>
    <x v="1"/>
    <x v="0"/>
    <x v="0"/>
    <x v="0"/>
  </r>
  <r>
    <x v="165"/>
    <x v="1"/>
    <x v="1"/>
    <x v="0"/>
    <x v="0"/>
    <x v="8"/>
    <x v="0"/>
    <x v="4"/>
    <x v="3"/>
    <x v="1"/>
    <x v="0"/>
    <x v="4"/>
    <x v="1"/>
    <x v="1"/>
    <x v="10"/>
    <x v="0"/>
    <x v="0"/>
    <x v="0"/>
    <x v="0"/>
    <x v="0"/>
    <x v="0"/>
  </r>
  <r>
    <x v="166"/>
    <x v="1"/>
    <x v="1"/>
    <x v="1"/>
    <x v="1"/>
    <x v="8"/>
    <x v="0"/>
    <x v="4"/>
    <x v="3"/>
    <x v="1"/>
    <x v="0"/>
    <x v="4"/>
    <x v="1"/>
    <x v="1"/>
    <x v="10"/>
    <x v="0"/>
    <x v="0"/>
    <x v="0"/>
    <x v="0"/>
    <x v="0"/>
    <x v="0"/>
  </r>
  <r>
    <x v="167"/>
    <x v="0"/>
    <x v="0"/>
    <x v="1"/>
    <x v="1"/>
    <x v="8"/>
    <x v="0"/>
    <x v="1"/>
    <x v="1"/>
    <x v="1"/>
    <x v="0"/>
    <x v="3"/>
    <x v="1"/>
    <x v="2"/>
    <x v="25"/>
    <x v="0"/>
    <x v="0"/>
    <x v="1"/>
    <x v="0"/>
    <x v="0"/>
    <x v="0"/>
  </r>
  <r>
    <x v="168"/>
    <x v="0"/>
    <x v="0"/>
    <x v="0"/>
    <x v="0"/>
    <x v="8"/>
    <x v="0"/>
    <x v="1"/>
    <x v="1"/>
    <x v="1"/>
    <x v="1"/>
    <x v="0"/>
    <x v="1"/>
    <x v="2"/>
    <x v="11"/>
    <x v="0"/>
    <x v="0"/>
    <x v="1"/>
    <x v="0"/>
    <x v="0"/>
    <x v="0"/>
  </r>
  <r>
    <x v="169"/>
    <x v="0"/>
    <x v="0"/>
    <x v="0"/>
    <x v="0"/>
    <x v="8"/>
    <x v="0"/>
    <x v="1"/>
    <x v="1"/>
    <x v="1"/>
    <x v="1"/>
    <x v="0"/>
    <x v="1"/>
    <x v="2"/>
    <x v="11"/>
    <x v="0"/>
    <x v="0"/>
    <x v="1"/>
    <x v="0"/>
    <x v="0"/>
    <x v="0"/>
  </r>
  <r>
    <x v="170"/>
    <x v="0"/>
    <x v="0"/>
    <x v="0"/>
    <x v="0"/>
    <x v="8"/>
    <x v="0"/>
    <x v="4"/>
    <x v="1"/>
    <x v="3"/>
    <x v="1"/>
    <x v="1"/>
    <x v="3"/>
    <x v="1"/>
    <x v="11"/>
    <x v="0"/>
    <x v="0"/>
    <x v="0"/>
    <x v="0"/>
    <x v="0"/>
    <x v="0"/>
  </r>
  <r>
    <x v="171"/>
    <x v="1"/>
    <x v="1"/>
    <x v="0"/>
    <x v="0"/>
    <x v="8"/>
    <x v="0"/>
    <x v="5"/>
    <x v="3"/>
    <x v="3"/>
    <x v="1"/>
    <x v="0"/>
    <x v="2"/>
    <x v="1"/>
    <x v="11"/>
    <x v="0"/>
    <x v="0"/>
    <x v="0"/>
    <x v="0"/>
    <x v="0"/>
    <x v="0"/>
  </r>
  <r>
    <x v="172"/>
    <x v="1"/>
    <x v="1"/>
    <x v="0"/>
    <x v="0"/>
    <x v="8"/>
    <x v="0"/>
    <x v="4"/>
    <x v="1"/>
    <x v="3"/>
    <x v="0"/>
    <x v="1"/>
    <x v="1"/>
    <x v="0"/>
    <x v="11"/>
    <x v="0"/>
    <x v="0"/>
    <x v="0"/>
    <x v="0"/>
    <x v="0"/>
    <x v="0"/>
  </r>
  <r>
    <x v="173"/>
    <x v="1"/>
    <x v="1"/>
    <x v="0"/>
    <x v="0"/>
    <x v="8"/>
    <x v="0"/>
    <x v="4"/>
    <x v="1"/>
    <x v="3"/>
    <x v="0"/>
    <x v="1"/>
    <x v="1"/>
    <x v="1"/>
    <x v="11"/>
    <x v="0"/>
    <x v="0"/>
    <x v="1"/>
    <x v="0"/>
    <x v="0"/>
    <x v="0"/>
  </r>
  <r>
    <x v="174"/>
    <x v="0"/>
    <x v="0"/>
    <x v="1"/>
    <x v="1"/>
    <x v="8"/>
    <x v="0"/>
    <x v="1"/>
    <x v="3"/>
    <x v="0"/>
    <x v="1"/>
    <x v="2"/>
    <x v="3"/>
    <x v="2"/>
    <x v="11"/>
    <x v="0"/>
    <x v="0"/>
    <x v="1"/>
    <x v="0"/>
    <x v="0"/>
    <x v="0"/>
  </r>
  <r>
    <x v="175"/>
    <x v="0"/>
    <x v="0"/>
    <x v="1"/>
    <x v="1"/>
    <x v="8"/>
    <x v="0"/>
    <x v="1"/>
    <x v="3"/>
    <x v="0"/>
    <x v="1"/>
    <x v="2"/>
    <x v="3"/>
    <x v="2"/>
    <x v="11"/>
    <x v="0"/>
    <x v="0"/>
    <x v="1"/>
    <x v="0"/>
    <x v="0"/>
    <x v="0"/>
  </r>
  <r>
    <x v="176"/>
    <x v="1"/>
    <x v="1"/>
    <x v="1"/>
    <x v="1"/>
    <x v="8"/>
    <x v="0"/>
    <x v="1"/>
    <x v="1"/>
    <x v="1"/>
    <x v="1"/>
    <x v="0"/>
    <x v="1"/>
    <x v="2"/>
    <x v="11"/>
    <x v="0"/>
    <x v="0"/>
    <x v="1"/>
    <x v="0"/>
    <x v="0"/>
    <x v="0"/>
  </r>
  <r>
    <x v="177"/>
    <x v="1"/>
    <x v="1"/>
    <x v="1"/>
    <x v="1"/>
    <x v="8"/>
    <x v="0"/>
    <x v="5"/>
    <x v="3"/>
    <x v="3"/>
    <x v="1"/>
    <x v="1"/>
    <x v="4"/>
    <x v="1"/>
    <x v="11"/>
    <x v="0"/>
    <x v="0"/>
    <x v="1"/>
    <x v="0"/>
    <x v="0"/>
    <x v="0"/>
  </r>
  <r>
    <x v="178"/>
    <x v="0"/>
    <x v="0"/>
    <x v="0"/>
    <x v="0"/>
    <x v="8"/>
    <x v="0"/>
    <x v="4"/>
    <x v="3"/>
    <x v="0"/>
    <x v="1"/>
    <x v="4"/>
    <x v="3"/>
    <x v="2"/>
    <x v="12"/>
    <x v="0"/>
    <x v="0"/>
    <x v="0"/>
    <x v="0"/>
    <x v="0"/>
    <x v="0"/>
  </r>
  <r>
    <x v="179"/>
    <x v="1"/>
    <x v="1"/>
    <x v="0"/>
    <x v="0"/>
    <x v="8"/>
    <x v="0"/>
    <x v="5"/>
    <x v="3"/>
    <x v="3"/>
    <x v="1"/>
    <x v="4"/>
    <x v="1"/>
    <x v="1"/>
    <x v="12"/>
    <x v="0"/>
    <x v="0"/>
    <x v="0"/>
    <x v="0"/>
    <x v="0"/>
    <x v="0"/>
  </r>
  <r>
    <x v="180"/>
    <x v="1"/>
    <x v="1"/>
    <x v="0"/>
    <x v="0"/>
    <x v="8"/>
    <x v="0"/>
    <x v="5"/>
    <x v="3"/>
    <x v="3"/>
    <x v="1"/>
    <x v="3"/>
    <x v="4"/>
    <x v="1"/>
    <x v="12"/>
    <x v="0"/>
    <x v="0"/>
    <x v="0"/>
    <x v="0"/>
    <x v="0"/>
    <x v="0"/>
  </r>
  <r>
    <x v="181"/>
    <x v="1"/>
    <x v="1"/>
    <x v="0"/>
    <x v="0"/>
    <x v="8"/>
    <x v="0"/>
    <x v="5"/>
    <x v="3"/>
    <x v="3"/>
    <x v="1"/>
    <x v="3"/>
    <x v="4"/>
    <x v="1"/>
    <x v="12"/>
    <x v="0"/>
    <x v="0"/>
    <x v="0"/>
    <x v="0"/>
    <x v="0"/>
    <x v="0"/>
  </r>
  <r>
    <x v="182"/>
    <x v="0"/>
    <x v="0"/>
    <x v="0"/>
    <x v="0"/>
    <x v="8"/>
    <x v="0"/>
    <x v="0"/>
    <x v="3"/>
    <x v="1"/>
    <x v="1"/>
    <x v="1"/>
    <x v="1"/>
    <x v="1"/>
    <x v="13"/>
    <x v="0"/>
    <x v="0"/>
    <x v="1"/>
    <x v="0"/>
    <x v="0"/>
    <x v="0"/>
  </r>
  <r>
    <x v="183"/>
    <x v="0"/>
    <x v="0"/>
    <x v="1"/>
    <x v="1"/>
    <x v="8"/>
    <x v="0"/>
    <x v="0"/>
    <x v="3"/>
    <x v="1"/>
    <x v="1"/>
    <x v="1"/>
    <x v="3"/>
    <x v="1"/>
    <x v="13"/>
    <x v="0"/>
    <x v="0"/>
    <x v="1"/>
    <x v="0"/>
    <x v="0"/>
    <x v="0"/>
  </r>
  <r>
    <x v="184"/>
    <x v="0"/>
    <x v="0"/>
    <x v="1"/>
    <x v="1"/>
    <x v="8"/>
    <x v="0"/>
    <x v="0"/>
    <x v="3"/>
    <x v="1"/>
    <x v="1"/>
    <x v="1"/>
    <x v="1"/>
    <x v="1"/>
    <x v="26"/>
    <x v="0"/>
    <x v="0"/>
    <x v="1"/>
    <x v="0"/>
    <x v="0"/>
    <x v="0"/>
  </r>
  <r>
    <x v="185"/>
    <x v="1"/>
    <x v="1"/>
    <x v="1"/>
    <x v="1"/>
    <x v="8"/>
    <x v="0"/>
    <x v="0"/>
    <x v="0"/>
    <x v="0"/>
    <x v="0"/>
    <x v="3"/>
    <x v="1"/>
    <x v="1"/>
    <x v="26"/>
    <x v="0"/>
    <x v="0"/>
    <x v="1"/>
    <x v="0"/>
    <x v="0"/>
    <x v="0"/>
  </r>
  <r>
    <x v="186"/>
    <x v="1"/>
    <x v="1"/>
    <x v="0"/>
    <x v="0"/>
    <x v="8"/>
    <x v="0"/>
    <x v="1"/>
    <x v="0"/>
    <x v="0"/>
    <x v="1"/>
    <x v="3"/>
    <x v="0"/>
    <x v="1"/>
    <x v="6"/>
    <x v="0"/>
    <x v="0"/>
    <x v="1"/>
    <x v="0"/>
    <x v="0"/>
    <x v="0"/>
  </r>
  <r>
    <x v="187"/>
    <x v="0"/>
    <x v="0"/>
    <x v="1"/>
    <x v="1"/>
    <x v="8"/>
    <x v="0"/>
    <x v="1"/>
    <x v="0"/>
    <x v="0"/>
    <x v="1"/>
    <x v="3"/>
    <x v="1"/>
    <x v="1"/>
    <x v="6"/>
    <x v="0"/>
    <x v="0"/>
    <x v="1"/>
    <x v="0"/>
    <x v="0"/>
    <x v="0"/>
  </r>
  <r>
    <x v="188"/>
    <x v="0"/>
    <x v="0"/>
    <x v="1"/>
    <x v="1"/>
    <x v="8"/>
    <x v="0"/>
    <x v="1"/>
    <x v="0"/>
    <x v="0"/>
    <x v="1"/>
    <x v="0"/>
    <x v="0"/>
    <x v="1"/>
    <x v="14"/>
    <x v="0"/>
    <x v="0"/>
    <x v="1"/>
    <x v="0"/>
    <x v="0"/>
    <x v="0"/>
  </r>
  <r>
    <x v="189"/>
    <x v="0"/>
    <x v="0"/>
    <x v="1"/>
    <x v="1"/>
    <x v="8"/>
    <x v="0"/>
    <x v="1"/>
    <x v="0"/>
    <x v="0"/>
    <x v="1"/>
    <x v="0"/>
    <x v="3"/>
    <x v="1"/>
    <x v="27"/>
    <x v="0"/>
    <x v="0"/>
    <x v="1"/>
    <x v="0"/>
    <x v="0"/>
    <x v="0"/>
  </r>
  <r>
    <x v="190"/>
    <x v="1"/>
    <x v="1"/>
    <x v="0"/>
    <x v="0"/>
    <x v="8"/>
    <x v="0"/>
    <x v="0"/>
    <x v="1"/>
    <x v="3"/>
    <x v="1"/>
    <x v="1"/>
    <x v="3"/>
    <x v="1"/>
    <x v="4"/>
    <x v="0"/>
    <x v="0"/>
    <x v="1"/>
    <x v="0"/>
    <x v="0"/>
    <x v="0"/>
  </r>
  <r>
    <x v="191"/>
    <x v="1"/>
    <x v="1"/>
    <x v="0"/>
    <x v="0"/>
    <x v="8"/>
    <x v="0"/>
    <x v="0"/>
    <x v="1"/>
    <x v="3"/>
    <x v="0"/>
    <x v="1"/>
    <x v="1"/>
    <x v="1"/>
    <x v="4"/>
    <x v="0"/>
    <x v="0"/>
    <x v="1"/>
    <x v="0"/>
    <x v="0"/>
    <x v="0"/>
  </r>
  <r>
    <x v="192"/>
    <x v="1"/>
    <x v="1"/>
    <x v="0"/>
    <x v="0"/>
    <x v="8"/>
    <x v="0"/>
    <x v="1"/>
    <x v="1"/>
    <x v="3"/>
    <x v="0"/>
    <x v="1"/>
    <x v="1"/>
    <x v="1"/>
    <x v="4"/>
    <x v="0"/>
    <x v="0"/>
    <x v="1"/>
    <x v="0"/>
    <x v="0"/>
    <x v="0"/>
  </r>
  <r>
    <x v="193"/>
    <x v="0"/>
    <x v="0"/>
    <x v="1"/>
    <x v="1"/>
    <x v="8"/>
    <x v="0"/>
    <x v="0"/>
    <x v="1"/>
    <x v="3"/>
    <x v="1"/>
    <x v="1"/>
    <x v="3"/>
    <x v="1"/>
    <x v="4"/>
    <x v="0"/>
    <x v="0"/>
    <x v="1"/>
    <x v="0"/>
    <x v="0"/>
    <x v="0"/>
  </r>
  <r>
    <x v="194"/>
    <x v="0"/>
    <x v="0"/>
    <x v="1"/>
    <x v="1"/>
    <x v="8"/>
    <x v="0"/>
    <x v="2"/>
    <x v="0"/>
    <x v="3"/>
    <x v="0"/>
    <x v="4"/>
    <x v="1"/>
    <x v="1"/>
    <x v="4"/>
    <x v="0"/>
    <x v="0"/>
    <x v="0"/>
    <x v="0"/>
    <x v="0"/>
    <x v="0"/>
  </r>
  <r>
    <x v="195"/>
    <x v="0"/>
    <x v="0"/>
    <x v="1"/>
    <x v="1"/>
    <x v="8"/>
    <x v="0"/>
    <x v="1"/>
    <x v="3"/>
    <x v="0"/>
    <x v="0"/>
    <x v="4"/>
    <x v="1"/>
    <x v="2"/>
    <x v="4"/>
    <x v="0"/>
    <x v="0"/>
    <x v="0"/>
    <x v="0"/>
    <x v="0"/>
    <x v="0"/>
  </r>
  <r>
    <x v="196"/>
    <x v="1"/>
    <x v="1"/>
    <x v="1"/>
    <x v="1"/>
    <x v="8"/>
    <x v="0"/>
    <x v="1"/>
    <x v="1"/>
    <x v="3"/>
    <x v="0"/>
    <x v="1"/>
    <x v="1"/>
    <x v="1"/>
    <x v="4"/>
    <x v="0"/>
    <x v="0"/>
    <x v="1"/>
    <x v="0"/>
    <x v="0"/>
    <x v="0"/>
  </r>
  <r>
    <x v="197"/>
    <x v="1"/>
    <x v="1"/>
    <x v="0"/>
    <x v="0"/>
    <x v="8"/>
    <x v="0"/>
    <x v="0"/>
    <x v="1"/>
    <x v="3"/>
    <x v="1"/>
    <x v="1"/>
    <x v="3"/>
    <x v="1"/>
    <x v="0"/>
    <x v="0"/>
    <x v="0"/>
    <x v="1"/>
    <x v="0"/>
    <x v="0"/>
    <x v="0"/>
  </r>
  <r>
    <x v="198"/>
    <x v="1"/>
    <x v="1"/>
    <x v="0"/>
    <x v="0"/>
    <x v="8"/>
    <x v="0"/>
    <x v="0"/>
    <x v="1"/>
    <x v="3"/>
    <x v="0"/>
    <x v="1"/>
    <x v="1"/>
    <x v="1"/>
    <x v="0"/>
    <x v="0"/>
    <x v="0"/>
    <x v="1"/>
    <x v="0"/>
    <x v="0"/>
    <x v="0"/>
  </r>
  <r>
    <x v="199"/>
    <x v="0"/>
    <x v="0"/>
    <x v="1"/>
    <x v="1"/>
    <x v="8"/>
    <x v="0"/>
    <x v="5"/>
    <x v="3"/>
    <x v="0"/>
    <x v="1"/>
    <x v="4"/>
    <x v="4"/>
    <x v="1"/>
    <x v="0"/>
    <x v="0"/>
    <x v="0"/>
    <x v="0"/>
    <x v="0"/>
    <x v="0"/>
    <x v="0"/>
  </r>
  <r>
    <x v="200"/>
    <x v="0"/>
    <x v="0"/>
    <x v="1"/>
    <x v="1"/>
    <x v="8"/>
    <x v="0"/>
    <x v="2"/>
    <x v="0"/>
    <x v="3"/>
    <x v="1"/>
    <x v="4"/>
    <x v="4"/>
    <x v="1"/>
    <x v="0"/>
    <x v="0"/>
    <x v="0"/>
    <x v="0"/>
    <x v="0"/>
    <x v="0"/>
    <x v="0"/>
  </r>
  <r>
    <x v="201"/>
    <x v="1"/>
    <x v="1"/>
    <x v="0"/>
    <x v="0"/>
    <x v="8"/>
    <x v="0"/>
    <x v="3"/>
    <x v="4"/>
    <x v="3"/>
    <x v="1"/>
    <x v="3"/>
    <x v="0"/>
    <x v="1"/>
    <x v="36"/>
    <x v="0"/>
    <x v="0"/>
    <x v="1"/>
    <x v="0"/>
    <x v="0"/>
    <x v="0"/>
  </r>
  <r>
    <x v="202"/>
    <x v="0"/>
    <x v="0"/>
    <x v="1"/>
    <x v="1"/>
    <x v="8"/>
    <x v="0"/>
    <x v="5"/>
    <x v="0"/>
    <x v="0"/>
    <x v="0"/>
    <x v="3"/>
    <x v="1"/>
    <x v="1"/>
    <x v="36"/>
    <x v="0"/>
    <x v="0"/>
    <x v="0"/>
    <x v="0"/>
    <x v="0"/>
    <x v="0"/>
  </r>
  <r>
    <x v="203"/>
    <x v="0"/>
    <x v="0"/>
    <x v="0"/>
    <x v="0"/>
    <x v="8"/>
    <x v="0"/>
    <x v="3"/>
    <x v="2"/>
    <x v="3"/>
    <x v="1"/>
    <x v="3"/>
    <x v="0"/>
    <x v="2"/>
    <x v="15"/>
    <x v="0"/>
    <x v="0"/>
    <x v="0"/>
    <x v="0"/>
    <x v="0"/>
    <x v="0"/>
  </r>
  <r>
    <x v="204"/>
    <x v="1"/>
    <x v="1"/>
    <x v="0"/>
    <x v="0"/>
    <x v="8"/>
    <x v="0"/>
    <x v="3"/>
    <x v="4"/>
    <x v="3"/>
    <x v="0"/>
    <x v="3"/>
    <x v="3"/>
    <x v="1"/>
    <x v="15"/>
    <x v="0"/>
    <x v="0"/>
    <x v="1"/>
    <x v="0"/>
    <x v="0"/>
    <x v="0"/>
  </r>
  <r>
    <x v="205"/>
    <x v="0"/>
    <x v="0"/>
    <x v="1"/>
    <x v="1"/>
    <x v="8"/>
    <x v="0"/>
    <x v="5"/>
    <x v="0"/>
    <x v="0"/>
    <x v="0"/>
    <x v="3"/>
    <x v="4"/>
    <x v="1"/>
    <x v="15"/>
    <x v="0"/>
    <x v="0"/>
    <x v="0"/>
    <x v="0"/>
    <x v="0"/>
    <x v="0"/>
  </r>
  <r>
    <x v="206"/>
    <x v="0"/>
    <x v="0"/>
    <x v="1"/>
    <x v="1"/>
    <x v="8"/>
    <x v="0"/>
    <x v="3"/>
    <x v="2"/>
    <x v="3"/>
    <x v="0"/>
    <x v="3"/>
    <x v="3"/>
    <x v="2"/>
    <x v="15"/>
    <x v="0"/>
    <x v="0"/>
    <x v="0"/>
    <x v="0"/>
    <x v="0"/>
    <x v="0"/>
  </r>
  <r>
    <x v="207"/>
    <x v="1"/>
    <x v="1"/>
    <x v="1"/>
    <x v="1"/>
    <x v="8"/>
    <x v="0"/>
    <x v="3"/>
    <x v="2"/>
    <x v="3"/>
    <x v="0"/>
    <x v="3"/>
    <x v="3"/>
    <x v="2"/>
    <x v="15"/>
    <x v="0"/>
    <x v="0"/>
    <x v="0"/>
    <x v="0"/>
    <x v="0"/>
    <x v="0"/>
  </r>
  <r>
    <x v="208"/>
    <x v="1"/>
    <x v="1"/>
    <x v="1"/>
    <x v="1"/>
    <x v="8"/>
    <x v="0"/>
    <x v="1"/>
    <x v="1"/>
    <x v="1"/>
    <x v="1"/>
    <x v="0"/>
    <x v="1"/>
    <x v="2"/>
    <x v="15"/>
    <x v="0"/>
    <x v="0"/>
    <x v="1"/>
    <x v="0"/>
    <x v="0"/>
    <x v="0"/>
  </r>
  <r>
    <x v="209"/>
    <x v="1"/>
    <x v="1"/>
    <x v="1"/>
    <x v="1"/>
    <x v="8"/>
    <x v="0"/>
    <x v="3"/>
    <x v="4"/>
    <x v="3"/>
    <x v="0"/>
    <x v="3"/>
    <x v="3"/>
    <x v="1"/>
    <x v="15"/>
    <x v="0"/>
    <x v="0"/>
    <x v="1"/>
    <x v="0"/>
    <x v="0"/>
    <x v="0"/>
  </r>
  <r>
    <x v="210"/>
    <x v="1"/>
    <x v="1"/>
    <x v="1"/>
    <x v="1"/>
    <x v="8"/>
    <x v="0"/>
    <x v="5"/>
    <x v="0"/>
    <x v="0"/>
    <x v="0"/>
    <x v="4"/>
    <x v="3"/>
    <x v="1"/>
    <x v="7"/>
    <x v="0"/>
    <x v="1"/>
    <x v="0"/>
    <x v="0"/>
    <x v="0"/>
    <x v="0"/>
  </r>
  <r>
    <x v="211"/>
    <x v="1"/>
    <x v="1"/>
    <x v="0"/>
    <x v="0"/>
    <x v="8"/>
    <x v="0"/>
    <x v="3"/>
    <x v="0"/>
    <x v="3"/>
    <x v="1"/>
    <x v="3"/>
    <x v="0"/>
    <x v="2"/>
    <x v="16"/>
    <x v="0"/>
    <x v="1"/>
    <x v="0"/>
    <x v="0"/>
    <x v="0"/>
    <x v="0"/>
  </r>
  <r>
    <x v="212"/>
    <x v="1"/>
    <x v="1"/>
    <x v="1"/>
    <x v="1"/>
    <x v="8"/>
    <x v="0"/>
    <x v="3"/>
    <x v="4"/>
    <x v="3"/>
    <x v="0"/>
    <x v="3"/>
    <x v="3"/>
    <x v="1"/>
    <x v="16"/>
    <x v="0"/>
    <x v="1"/>
    <x v="1"/>
    <x v="0"/>
    <x v="0"/>
    <x v="0"/>
  </r>
  <r>
    <x v="213"/>
    <x v="0"/>
    <x v="0"/>
    <x v="0"/>
    <x v="0"/>
    <x v="8"/>
    <x v="0"/>
    <x v="0"/>
    <x v="0"/>
    <x v="0"/>
    <x v="0"/>
    <x v="4"/>
    <x v="4"/>
    <x v="0"/>
    <x v="31"/>
    <x v="0"/>
    <x v="1"/>
    <x v="0"/>
    <x v="0"/>
    <x v="0"/>
    <x v="0"/>
  </r>
  <r>
    <x v="214"/>
    <x v="0"/>
    <x v="0"/>
    <x v="0"/>
    <x v="0"/>
    <x v="8"/>
    <x v="0"/>
    <x v="0"/>
    <x v="0"/>
    <x v="0"/>
    <x v="1"/>
    <x v="3"/>
    <x v="4"/>
    <x v="0"/>
    <x v="31"/>
    <x v="0"/>
    <x v="1"/>
    <x v="1"/>
    <x v="0"/>
    <x v="0"/>
    <x v="0"/>
  </r>
  <r>
    <x v="215"/>
    <x v="0"/>
    <x v="0"/>
    <x v="1"/>
    <x v="1"/>
    <x v="8"/>
    <x v="0"/>
    <x v="0"/>
    <x v="0"/>
    <x v="0"/>
    <x v="1"/>
    <x v="3"/>
    <x v="2"/>
    <x v="0"/>
    <x v="31"/>
    <x v="0"/>
    <x v="1"/>
    <x v="1"/>
    <x v="0"/>
    <x v="0"/>
    <x v="0"/>
  </r>
  <r>
    <x v="216"/>
    <x v="0"/>
    <x v="0"/>
    <x v="1"/>
    <x v="1"/>
    <x v="8"/>
    <x v="0"/>
    <x v="0"/>
    <x v="2"/>
    <x v="0"/>
    <x v="1"/>
    <x v="3"/>
    <x v="2"/>
    <x v="0"/>
    <x v="17"/>
    <x v="0"/>
    <x v="1"/>
    <x v="1"/>
    <x v="0"/>
    <x v="0"/>
    <x v="0"/>
  </r>
  <r>
    <x v="217"/>
    <x v="1"/>
    <x v="1"/>
    <x v="1"/>
    <x v="1"/>
    <x v="8"/>
    <x v="0"/>
    <x v="0"/>
    <x v="0"/>
    <x v="0"/>
    <x v="0"/>
    <x v="3"/>
    <x v="4"/>
    <x v="0"/>
    <x v="17"/>
    <x v="0"/>
    <x v="1"/>
    <x v="0"/>
    <x v="0"/>
    <x v="0"/>
    <x v="0"/>
  </r>
  <r>
    <x v="218"/>
    <x v="0"/>
    <x v="0"/>
    <x v="0"/>
    <x v="0"/>
    <x v="8"/>
    <x v="0"/>
    <x v="1"/>
    <x v="2"/>
    <x v="1"/>
    <x v="0"/>
    <x v="0"/>
    <x v="0"/>
    <x v="0"/>
    <x v="28"/>
    <x v="0"/>
    <x v="1"/>
    <x v="1"/>
    <x v="0"/>
    <x v="0"/>
    <x v="0"/>
  </r>
  <r>
    <x v="219"/>
    <x v="0"/>
    <x v="0"/>
    <x v="1"/>
    <x v="1"/>
    <x v="8"/>
    <x v="0"/>
    <x v="5"/>
    <x v="3"/>
    <x v="1"/>
    <x v="1"/>
    <x v="4"/>
    <x v="3"/>
    <x v="1"/>
    <x v="28"/>
    <x v="0"/>
    <x v="1"/>
    <x v="1"/>
    <x v="0"/>
    <x v="0"/>
    <x v="0"/>
  </r>
  <r>
    <x v="220"/>
    <x v="1"/>
    <x v="1"/>
    <x v="1"/>
    <x v="1"/>
    <x v="8"/>
    <x v="0"/>
    <x v="1"/>
    <x v="2"/>
    <x v="1"/>
    <x v="1"/>
    <x v="0"/>
    <x v="2"/>
    <x v="0"/>
    <x v="40"/>
    <x v="0"/>
    <x v="1"/>
    <x v="1"/>
    <x v="0"/>
    <x v="0"/>
    <x v="0"/>
  </r>
  <r>
    <x v="221"/>
    <x v="1"/>
    <x v="1"/>
    <x v="1"/>
    <x v="1"/>
    <x v="8"/>
    <x v="0"/>
    <x v="1"/>
    <x v="0"/>
    <x v="0"/>
    <x v="0"/>
    <x v="3"/>
    <x v="2"/>
    <x v="0"/>
    <x v="19"/>
    <x v="0"/>
    <x v="1"/>
    <x v="1"/>
    <x v="0"/>
    <x v="0"/>
    <x v="0"/>
  </r>
  <r>
    <x v="222"/>
    <x v="0"/>
    <x v="0"/>
    <x v="1"/>
    <x v="1"/>
    <x v="8"/>
    <x v="0"/>
    <x v="1"/>
    <x v="0"/>
    <x v="0"/>
    <x v="0"/>
    <x v="3"/>
    <x v="4"/>
    <x v="0"/>
    <x v="41"/>
    <x v="0"/>
    <x v="1"/>
    <x v="1"/>
    <x v="0"/>
    <x v="0"/>
    <x v="0"/>
  </r>
  <r>
    <x v="223"/>
    <x v="0"/>
    <x v="0"/>
    <x v="0"/>
    <x v="0"/>
    <x v="8"/>
    <x v="0"/>
    <x v="1"/>
    <x v="3"/>
    <x v="1"/>
    <x v="1"/>
    <x v="3"/>
    <x v="4"/>
    <x v="0"/>
    <x v="20"/>
    <x v="0"/>
    <x v="1"/>
    <x v="1"/>
    <x v="0"/>
    <x v="0"/>
    <x v="0"/>
  </r>
  <r>
    <x v="224"/>
    <x v="1"/>
    <x v="1"/>
    <x v="0"/>
    <x v="0"/>
    <x v="8"/>
    <x v="0"/>
    <x v="1"/>
    <x v="3"/>
    <x v="1"/>
    <x v="1"/>
    <x v="3"/>
    <x v="2"/>
    <x v="0"/>
    <x v="29"/>
    <x v="0"/>
    <x v="1"/>
    <x v="1"/>
    <x v="0"/>
    <x v="0"/>
    <x v="0"/>
  </r>
  <r>
    <x v="225"/>
    <x v="0"/>
    <x v="0"/>
    <x v="1"/>
    <x v="1"/>
    <x v="8"/>
    <x v="0"/>
    <x v="1"/>
    <x v="3"/>
    <x v="1"/>
    <x v="0"/>
    <x v="3"/>
    <x v="4"/>
    <x v="0"/>
    <x v="29"/>
    <x v="0"/>
    <x v="1"/>
    <x v="1"/>
    <x v="0"/>
    <x v="0"/>
    <x v="0"/>
  </r>
  <r>
    <x v="226"/>
    <x v="0"/>
    <x v="0"/>
    <x v="1"/>
    <x v="1"/>
    <x v="8"/>
    <x v="0"/>
    <x v="1"/>
    <x v="3"/>
    <x v="1"/>
    <x v="1"/>
    <x v="3"/>
    <x v="4"/>
    <x v="0"/>
    <x v="29"/>
    <x v="0"/>
    <x v="1"/>
    <x v="1"/>
    <x v="0"/>
    <x v="0"/>
    <x v="0"/>
  </r>
  <r>
    <x v="227"/>
    <x v="0"/>
    <x v="0"/>
    <x v="0"/>
    <x v="0"/>
    <x v="8"/>
    <x v="0"/>
    <x v="1"/>
    <x v="3"/>
    <x v="1"/>
    <x v="1"/>
    <x v="3"/>
    <x v="0"/>
    <x v="1"/>
    <x v="30"/>
    <x v="0"/>
    <x v="1"/>
    <x v="1"/>
    <x v="0"/>
    <x v="0"/>
    <x v="0"/>
  </r>
  <r>
    <x v="228"/>
    <x v="0"/>
    <x v="0"/>
    <x v="1"/>
    <x v="1"/>
    <x v="8"/>
    <x v="0"/>
    <x v="1"/>
    <x v="3"/>
    <x v="1"/>
    <x v="1"/>
    <x v="3"/>
    <x v="3"/>
    <x v="1"/>
    <x v="30"/>
    <x v="0"/>
    <x v="1"/>
    <x v="1"/>
    <x v="0"/>
    <x v="0"/>
    <x v="0"/>
  </r>
  <r>
    <x v="229"/>
    <x v="1"/>
    <x v="1"/>
    <x v="0"/>
    <x v="0"/>
    <x v="8"/>
    <x v="0"/>
    <x v="0"/>
    <x v="1"/>
    <x v="1"/>
    <x v="1"/>
    <x v="3"/>
    <x v="0"/>
    <x v="1"/>
    <x v="33"/>
    <x v="0"/>
    <x v="1"/>
    <x v="1"/>
    <x v="0"/>
    <x v="0"/>
    <x v="0"/>
  </r>
  <r>
    <x v="230"/>
    <x v="1"/>
    <x v="1"/>
    <x v="1"/>
    <x v="1"/>
    <x v="8"/>
    <x v="0"/>
    <x v="0"/>
    <x v="3"/>
    <x v="1"/>
    <x v="1"/>
    <x v="1"/>
    <x v="0"/>
    <x v="1"/>
    <x v="2"/>
    <x v="0"/>
    <x v="1"/>
    <x v="0"/>
    <x v="0"/>
    <x v="0"/>
    <x v="0"/>
  </r>
  <r>
    <x v="231"/>
    <x v="1"/>
    <x v="1"/>
    <x v="0"/>
    <x v="0"/>
    <x v="8"/>
    <x v="0"/>
    <x v="0"/>
    <x v="1"/>
    <x v="1"/>
    <x v="1"/>
    <x v="3"/>
    <x v="0"/>
    <x v="1"/>
    <x v="21"/>
    <x v="0"/>
    <x v="1"/>
    <x v="1"/>
    <x v="0"/>
    <x v="0"/>
    <x v="0"/>
  </r>
  <r>
    <x v="232"/>
    <x v="0"/>
    <x v="0"/>
    <x v="1"/>
    <x v="1"/>
    <x v="8"/>
    <x v="0"/>
    <x v="0"/>
    <x v="1"/>
    <x v="1"/>
    <x v="1"/>
    <x v="3"/>
    <x v="0"/>
    <x v="1"/>
    <x v="42"/>
    <x v="0"/>
    <x v="1"/>
    <x v="1"/>
    <x v="0"/>
    <x v="0"/>
    <x v="0"/>
  </r>
  <r>
    <x v="233"/>
    <x v="0"/>
    <x v="0"/>
    <x v="1"/>
    <x v="1"/>
    <x v="8"/>
    <x v="0"/>
    <x v="0"/>
    <x v="1"/>
    <x v="1"/>
    <x v="1"/>
    <x v="3"/>
    <x v="0"/>
    <x v="1"/>
    <x v="43"/>
    <x v="0"/>
    <x v="1"/>
    <x v="1"/>
    <x v="0"/>
    <x v="0"/>
    <x v="0"/>
  </r>
  <r>
    <x v="234"/>
    <x v="0"/>
    <x v="0"/>
    <x v="0"/>
    <x v="0"/>
    <x v="8"/>
    <x v="0"/>
    <x v="0"/>
    <x v="1"/>
    <x v="1"/>
    <x v="1"/>
    <x v="3"/>
    <x v="1"/>
    <x v="1"/>
    <x v="44"/>
    <x v="0"/>
    <x v="1"/>
    <x v="0"/>
    <x v="0"/>
    <x v="0"/>
    <x v="0"/>
  </r>
  <r>
    <x v="235"/>
    <x v="1"/>
    <x v="1"/>
    <x v="0"/>
    <x v="0"/>
    <x v="9"/>
    <x v="0"/>
    <x v="4"/>
    <x v="0"/>
    <x v="3"/>
    <x v="0"/>
    <x v="3"/>
    <x v="1"/>
    <x v="1"/>
    <x v="45"/>
    <x v="0"/>
    <x v="2"/>
    <x v="0"/>
    <x v="0"/>
    <x v="0"/>
    <x v="0"/>
  </r>
  <r>
    <x v="236"/>
    <x v="1"/>
    <x v="1"/>
    <x v="1"/>
    <x v="1"/>
    <x v="9"/>
    <x v="0"/>
    <x v="4"/>
    <x v="3"/>
    <x v="0"/>
    <x v="0"/>
    <x v="0"/>
    <x v="2"/>
    <x v="2"/>
    <x v="39"/>
    <x v="0"/>
    <x v="0"/>
    <x v="0"/>
    <x v="0"/>
    <x v="0"/>
    <x v="0"/>
  </r>
  <r>
    <x v="237"/>
    <x v="1"/>
    <x v="1"/>
    <x v="1"/>
    <x v="1"/>
    <x v="9"/>
    <x v="0"/>
    <x v="4"/>
    <x v="3"/>
    <x v="0"/>
    <x v="0"/>
    <x v="2"/>
    <x v="2"/>
    <x v="2"/>
    <x v="8"/>
    <x v="0"/>
    <x v="0"/>
    <x v="0"/>
    <x v="0"/>
    <x v="0"/>
    <x v="0"/>
  </r>
  <r>
    <x v="238"/>
    <x v="0"/>
    <x v="0"/>
    <x v="0"/>
    <x v="0"/>
    <x v="9"/>
    <x v="0"/>
    <x v="4"/>
    <x v="3"/>
    <x v="0"/>
    <x v="1"/>
    <x v="2"/>
    <x v="2"/>
    <x v="2"/>
    <x v="23"/>
    <x v="0"/>
    <x v="0"/>
    <x v="0"/>
    <x v="0"/>
    <x v="0"/>
    <x v="0"/>
  </r>
  <r>
    <x v="239"/>
    <x v="0"/>
    <x v="0"/>
    <x v="0"/>
    <x v="0"/>
    <x v="9"/>
    <x v="0"/>
    <x v="3"/>
    <x v="1"/>
    <x v="0"/>
    <x v="1"/>
    <x v="1"/>
    <x v="4"/>
    <x v="1"/>
    <x v="24"/>
    <x v="0"/>
    <x v="0"/>
    <x v="0"/>
    <x v="0"/>
    <x v="0"/>
    <x v="0"/>
  </r>
  <r>
    <x v="240"/>
    <x v="0"/>
    <x v="0"/>
    <x v="0"/>
    <x v="0"/>
    <x v="9"/>
    <x v="0"/>
    <x v="4"/>
    <x v="0"/>
    <x v="3"/>
    <x v="1"/>
    <x v="3"/>
    <x v="0"/>
    <x v="1"/>
    <x v="24"/>
    <x v="0"/>
    <x v="0"/>
    <x v="0"/>
    <x v="0"/>
    <x v="0"/>
    <x v="0"/>
  </r>
  <r>
    <x v="241"/>
    <x v="1"/>
    <x v="1"/>
    <x v="0"/>
    <x v="0"/>
    <x v="9"/>
    <x v="0"/>
    <x v="2"/>
    <x v="1"/>
    <x v="0"/>
    <x v="1"/>
    <x v="1"/>
    <x v="4"/>
    <x v="1"/>
    <x v="24"/>
    <x v="0"/>
    <x v="0"/>
    <x v="1"/>
    <x v="0"/>
    <x v="0"/>
    <x v="0"/>
  </r>
  <r>
    <x v="242"/>
    <x v="1"/>
    <x v="1"/>
    <x v="0"/>
    <x v="0"/>
    <x v="9"/>
    <x v="0"/>
    <x v="2"/>
    <x v="1"/>
    <x v="0"/>
    <x v="1"/>
    <x v="1"/>
    <x v="4"/>
    <x v="1"/>
    <x v="24"/>
    <x v="0"/>
    <x v="0"/>
    <x v="0"/>
    <x v="0"/>
    <x v="0"/>
    <x v="0"/>
  </r>
  <r>
    <x v="243"/>
    <x v="1"/>
    <x v="1"/>
    <x v="0"/>
    <x v="0"/>
    <x v="9"/>
    <x v="0"/>
    <x v="4"/>
    <x v="0"/>
    <x v="3"/>
    <x v="1"/>
    <x v="3"/>
    <x v="0"/>
    <x v="1"/>
    <x v="24"/>
    <x v="0"/>
    <x v="0"/>
    <x v="0"/>
    <x v="0"/>
    <x v="0"/>
    <x v="0"/>
  </r>
  <r>
    <x v="244"/>
    <x v="0"/>
    <x v="0"/>
    <x v="1"/>
    <x v="1"/>
    <x v="9"/>
    <x v="0"/>
    <x v="5"/>
    <x v="1"/>
    <x v="0"/>
    <x v="1"/>
    <x v="1"/>
    <x v="4"/>
    <x v="1"/>
    <x v="24"/>
    <x v="0"/>
    <x v="0"/>
    <x v="1"/>
    <x v="0"/>
    <x v="0"/>
    <x v="0"/>
  </r>
  <r>
    <x v="245"/>
    <x v="0"/>
    <x v="0"/>
    <x v="0"/>
    <x v="0"/>
    <x v="9"/>
    <x v="0"/>
    <x v="0"/>
    <x v="1"/>
    <x v="0"/>
    <x v="1"/>
    <x v="1"/>
    <x v="4"/>
    <x v="1"/>
    <x v="32"/>
    <x v="0"/>
    <x v="0"/>
    <x v="0"/>
    <x v="0"/>
    <x v="0"/>
    <x v="0"/>
  </r>
  <r>
    <x v="246"/>
    <x v="0"/>
    <x v="0"/>
    <x v="0"/>
    <x v="0"/>
    <x v="9"/>
    <x v="0"/>
    <x v="5"/>
    <x v="1"/>
    <x v="0"/>
    <x v="1"/>
    <x v="1"/>
    <x v="4"/>
    <x v="1"/>
    <x v="32"/>
    <x v="0"/>
    <x v="0"/>
    <x v="0"/>
    <x v="0"/>
    <x v="0"/>
    <x v="0"/>
  </r>
  <r>
    <x v="247"/>
    <x v="0"/>
    <x v="0"/>
    <x v="0"/>
    <x v="0"/>
    <x v="9"/>
    <x v="0"/>
    <x v="2"/>
    <x v="1"/>
    <x v="3"/>
    <x v="1"/>
    <x v="1"/>
    <x v="1"/>
    <x v="1"/>
    <x v="32"/>
    <x v="0"/>
    <x v="0"/>
    <x v="0"/>
    <x v="0"/>
    <x v="0"/>
    <x v="0"/>
  </r>
  <r>
    <x v="248"/>
    <x v="1"/>
    <x v="1"/>
    <x v="0"/>
    <x v="0"/>
    <x v="9"/>
    <x v="0"/>
    <x v="0"/>
    <x v="1"/>
    <x v="0"/>
    <x v="1"/>
    <x v="1"/>
    <x v="4"/>
    <x v="1"/>
    <x v="32"/>
    <x v="0"/>
    <x v="0"/>
    <x v="0"/>
    <x v="0"/>
    <x v="0"/>
    <x v="0"/>
  </r>
  <r>
    <x v="249"/>
    <x v="0"/>
    <x v="0"/>
    <x v="1"/>
    <x v="1"/>
    <x v="9"/>
    <x v="0"/>
    <x v="5"/>
    <x v="1"/>
    <x v="0"/>
    <x v="1"/>
    <x v="1"/>
    <x v="1"/>
    <x v="1"/>
    <x v="32"/>
    <x v="0"/>
    <x v="0"/>
    <x v="0"/>
    <x v="0"/>
    <x v="0"/>
    <x v="0"/>
  </r>
  <r>
    <x v="250"/>
    <x v="0"/>
    <x v="0"/>
    <x v="1"/>
    <x v="1"/>
    <x v="9"/>
    <x v="0"/>
    <x v="5"/>
    <x v="1"/>
    <x v="0"/>
    <x v="1"/>
    <x v="1"/>
    <x v="1"/>
    <x v="1"/>
    <x v="32"/>
    <x v="0"/>
    <x v="0"/>
    <x v="0"/>
    <x v="0"/>
    <x v="0"/>
    <x v="0"/>
  </r>
  <r>
    <x v="251"/>
    <x v="1"/>
    <x v="1"/>
    <x v="1"/>
    <x v="1"/>
    <x v="9"/>
    <x v="0"/>
    <x v="5"/>
    <x v="1"/>
    <x v="0"/>
    <x v="0"/>
    <x v="1"/>
    <x v="1"/>
    <x v="1"/>
    <x v="32"/>
    <x v="0"/>
    <x v="0"/>
    <x v="0"/>
    <x v="0"/>
    <x v="0"/>
    <x v="0"/>
  </r>
  <r>
    <x v="252"/>
    <x v="1"/>
    <x v="1"/>
    <x v="1"/>
    <x v="1"/>
    <x v="9"/>
    <x v="0"/>
    <x v="0"/>
    <x v="1"/>
    <x v="0"/>
    <x v="1"/>
    <x v="1"/>
    <x v="4"/>
    <x v="1"/>
    <x v="32"/>
    <x v="0"/>
    <x v="0"/>
    <x v="0"/>
    <x v="0"/>
    <x v="0"/>
    <x v="0"/>
  </r>
  <r>
    <x v="253"/>
    <x v="0"/>
    <x v="0"/>
    <x v="1"/>
    <x v="1"/>
    <x v="9"/>
    <x v="0"/>
    <x v="0"/>
    <x v="1"/>
    <x v="0"/>
    <x v="1"/>
    <x v="1"/>
    <x v="1"/>
    <x v="1"/>
    <x v="9"/>
    <x v="0"/>
    <x v="0"/>
    <x v="0"/>
    <x v="0"/>
    <x v="0"/>
    <x v="0"/>
  </r>
  <r>
    <x v="254"/>
    <x v="0"/>
    <x v="0"/>
    <x v="1"/>
    <x v="1"/>
    <x v="9"/>
    <x v="0"/>
    <x v="0"/>
    <x v="1"/>
    <x v="0"/>
    <x v="1"/>
    <x v="1"/>
    <x v="4"/>
    <x v="1"/>
    <x v="9"/>
    <x v="0"/>
    <x v="0"/>
    <x v="0"/>
    <x v="0"/>
    <x v="0"/>
    <x v="0"/>
  </r>
  <r>
    <x v="255"/>
    <x v="0"/>
    <x v="0"/>
    <x v="1"/>
    <x v="1"/>
    <x v="9"/>
    <x v="0"/>
    <x v="0"/>
    <x v="1"/>
    <x v="0"/>
    <x v="1"/>
    <x v="1"/>
    <x v="4"/>
    <x v="1"/>
    <x v="9"/>
    <x v="0"/>
    <x v="0"/>
    <x v="0"/>
    <x v="0"/>
    <x v="0"/>
    <x v="0"/>
  </r>
  <r>
    <x v="256"/>
    <x v="0"/>
    <x v="0"/>
    <x v="0"/>
    <x v="0"/>
    <x v="9"/>
    <x v="0"/>
    <x v="1"/>
    <x v="1"/>
    <x v="0"/>
    <x v="1"/>
    <x v="3"/>
    <x v="1"/>
    <x v="1"/>
    <x v="5"/>
    <x v="0"/>
    <x v="0"/>
    <x v="1"/>
    <x v="0"/>
    <x v="0"/>
    <x v="0"/>
  </r>
  <r>
    <x v="257"/>
    <x v="1"/>
    <x v="1"/>
    <x v="0"/>
    <x v="0"/>
    <x v="9"/>
    <x v="0"/>
    <x v="4"/>
    <x v="3"/>
    <x v="0"/>
    <x v="0"/>
    <x v="4"/>
    <x v="4"/>
    <x v="1"/>
    <x v="5"/>
    <x v="0"/>
    <x v="0"/>
    <x v="0"/>
    <x v="0"/>
    <x v="0"/>
    <x v="0"/>
  </r>
  <r>
    <x v="258"/>
    <x v="1"/>
    <x v="1"/>
    <x v="0"/>
    <x v="0"/>
    <x v="9"/>
    <x v="0"/>
    <x v="4"/>
    <x v="3"/>
    <x v="0"/>
    <x v="0"/>
    <x v="4"/>
    <x v="1"/>
    <x v="1"/>
    <x v="5"/>
    <x v="0"/>
    <x v="0"/>
    <x v="0"/>
    <x v="0"/>
    <x v="0"/>
    <x v="0"/>
  </r>
  <r>
    <x v="259"/>
    <x v="1"/>
    <x v="1"/>
    <x v="1"/>
    <x v="1"/>
    <x v="9"/>
    <x v="0"/>
    <x v="4"/>
    <x v="3"/>
    <x v="0"/>
    <x v="0"/>
    <x v="4"/>
    <x v="4"/>
    <x v="1"/>
    <x v="5"/>
    <x v="0"/>
    <x v="0"/>
    <x v="0"/>
    <x v="0"/>
    <x v="0"/>
    <x v="0"/>
  </r>
  <r>
    <x v="260"/>
    <x v="1"/>
    <x v="1"/>
    <x v="1"/>
    <x v="1"/>
    <x v="9"/>
    <x v="0"/>
    <x v="4"/>
    <x v="3"/>
    <x v="0"/>
    <x v="1"/>
    <x v="4"/>
    <x v="0"/>
    <x v="2"/>
    <x v="5"/>
    <x v="0"/>
    <x v="0"/>
    <x v="0"/>
    <x v="0"/>
    <x v="0"/>
    <x v="0"/>
  </r>
  <r>
    <x v="261"/>
    <x v="1"/>
    <x v="1"/>
    <x v="1"/>
    <x v="1"/>
    <x v="9"/>
    <x v="0"/>
    <x v="3"/>
    <x v="3"/>
    <x v="3"/>
    <x v="0"/>
    <x v="4"/>
    <x v="1"/>
    <x v="1"/>
    <x v="5"/>
    <x v="0"/>
    <x v="0"/>
    <x v="0"/>
    <x v="0"/>
    <x v="0"/>
    <x v="0"/>
  </r>
  <r>
    <x v="262"/>
    <x v="1"/>
    <x v="1"/>
    <x v="0"/>
    <x v="0"/>
    <x v="9"/>
    <x v="0"/>
    <x v="3"/>
    <x v="3"/>
    <x v="3"/>
    <x v="1"/>
    <x v="4"/>
    <x v="4"/>
    <x v="1"/>
    <x v="10"/>
    <x v="0"/>
    <x v="0"/>
    <x v="1"/>
    <x v="0"/>
    <x v="0"/>
    <x v="0"/>
  </r>
  <r>
    <x v="263"/>
    <x v="1"/>
    <x v="1"/>
    <x v="0"/>
    <x v="0"/>
    <x v="9"/>
    <x v="0"/>
    <x v="4"/>
    <x v="3"/>
    <x v="0"/>
    <x v="0"/>
    <x v="4"/>
    <x v="0"/>
    <x v="2"/>
    <x v="10"/>
    <x v="0"/>
    <x v="0"/>
    <x v="1"/>
    <x v="0"/>
    <x v="0"/>
    <x v="0"/>
  </r>
  <r>
    <x v="264"/>
    <x v="1"/>
    <x v="1"/>
    <x v="0"/>
    <x v="0"/>
    <x v="9"/>
    <x v="0"/>
    <x v="4"/>
    <x v="3"/>
    <x v="0"/>
    <x v="0"/>
    <x v="4"/>
    <x v="4"/>
    <x v="1"/>
    <x v="10"/>
    <x v="0"/>
    <x v="0"/>
    <x v="0"/>
    <x v="0"/>
    <x v="0"/>
    <x v="0"/>
  </r>
  <r>
    <x v="265"/>
    <x v="1"/>
    <x v="1"/>
    <x v="0"/>
    <x v="0"/>
    <x v="9"/>
    <x v="0"/>
    <x v="3"/>
    <x v="3"/>
    <x v="3"/>
    <x v="1"/>
    <x v="1"/>
    <x v="4"/>
    <x v="1"/>
    <x v="10"/>
    <x v="0"/>
    <x v="0"/>
    <x v="0"/>
    <x v="0"/>
    <x v="0"/>
    <x v="0"/>
  </r>
  <r>
    <x v="266"/>
    <x v="0"/>
    <x v="0"/>
    <x v="1"/>
    <x v="1"/>
    <x v="9"/>
    <x v="0"/>
    <x v="4"/>
    <x v="3"/>
    <x v="0"/>
    <x v="0"/>
    <x v="4"/>
    <x v="1"/>
    <x v="1"/>
    <x v="10"/>
    <x v="0"/>
    <x v="0"/>
    <x v="1"/>
    <x v="0"/>
    <x v="0"/>
    <x v="0"/>
  </r>
  <r>
    <x v="267"/>
    <x v="0"/>
    <x v="0"/>
    <x v="1"/>
    <x v="1"/>
    <x v="9"/>
    <x v="0"/>
    <x v="3"/>
    <x v="3"/>
    <x v="3"/>
    <x v="1"/>
    <x v="4"/>
    <x v="4"/>
    <x v="1"/>
    <x v="10"/>
    <x v="0"/>
    <x v="0"/>
    <x v="0"/>
    <x v="0"/>
    <x v="0"/>
    <x v="0"/>
  </r>
  <r>
    <x v="268"/>
    <x v="1"/>
    <x v="1"/>
    <x v="1"/>
    <x v="1"/>
    <x v="9"/>
    <x v="0"/>
    <x v="4"/>
    <x v="3"/>
    <x v="0"/>
    <x v="0"/>
    <x v="4"/>
    <x v="0"/>
    <x v="2"/>
    <x v="10"/>
    <x v="0"/>
    <x v="0"/>
    <x v="1"/>
    <x v="0"/>
    <x v="0"/>
    <x v="0"/>
  </r>
  <r>
    <x v="269"/>
    <x v="0"/>
    <x v="0"/>
    <x v="0"/>
    <x v="0"/>
    <x v="9"/>
    <x v="0"/>
    <x v="4"/>
    <x v="1"/>
    <x v="0"/>
    <x v="1"/>
    <x v="1"/>
    <x v="4"/>
    <x v="1"/>
    <x v="25"/>
    <x v="0"/>
    <x v="0"/>
    <x v="1"/>
    <x v="0"/>
    <x v="0"/>
    <x v="0"/>
  </r>
  <r>
    <x v="270"/>
    <x v="1"/>
    <x v="1"/>
    <x v="0"/>
    <x v="0"/>
    <x v="9"/>
    <x v="0"/>
    <x v="1"/>
    <x v="3"/>
    <x v="0"/>
    <x v="1"/>
    <x v="2"/>
    <x v="2"/>
    <x v="2"/>
    <x v="25"/>
    <x v="0"/>
    <x v="0"/>
    <x v="1"/>
    <x v="0"/>
    <x v="0"/>
    <x v="0"/>
  </r>
  <r>
    <x v="271"/>
    <x v="1"/>
    <x v="1"/>
    <x v="0"/>
    <x v="0"/>
    <x v="9"/>
    <x v="0"/>
    <x v="1"/>
    <x v="3"/>
    <x v="0"/>
    <x v="1"/>
    <x v="0"/>
    <x v="2"/>
    <x v="2"/>
    <x v="25"/>
    <x v="0"/>
    <x v="0"/>
    <x v="1"/>
    <x v="0"/>
    <x v="0"/>
    <x v="0"/>
  </r>
  <r>
    <x v="272"/>
    <x v="0"/>
    <x v="0"/>
    <x v="0"/>
    <x v="0"/>
    <x v="9"/>
    <x v="0"/>
    <x v="1"/>
    <x v="3"/>
    <x v="0"/>
    <x v="1"/>
    <x v="2"/>
    <x v="2"/>
    <x v="2"/>
    <x v="12"/>
    <x v="0"/>
    <x v="0"/>
    <x v="1"/>
    <x v="0"/>
    <x v="0"/>
    <x v="0"/>
  </r>
  <r>
    <x v="273"/>
    <x v="1"/>
    <x v="1"/>
    <x v="0"/>
    <x v="0"/>
    <x v="9"/>
    <x v="0"/>
    <x v="4"/>
    <x v="3"/>
    <x v="0"/>
    <x v="0"/>
    <x v="4"/>
    <x v="1"/>
    <x v="2"/>
    <x v="12"/>
    <x v="0"/>
    <x v="0"/>
    <x v="0"/>
    <x v="0"/>
    <x v="0"/>
    <x v="0"/>
  </r>
  <r>
    <x v="274"/>
    <x v="1"/>
    <x v="1"/>
    <x v="1"/>
    <x v="1"/>
    <x v="9"/>
    <x v="0"/>
    <x v="4"/>
    <x v="3"/>
    <x v="0"/>
    <x v="0"/>
    <x v="4"/>
    <x v="0"/>
    <x v="2"/>
    <x v="12"/>
    <x v="0"/>
    <x v="0"/>
    <x v="0"/>
    <x v="0"/>
    <x v="0"/>
    <x v="0"/>
  </r>
  <r>
    <x v="275"/>
    <x v="1"/>
    <x v="1"/>
    <x v="1"/>
    <x v="1"/>
    <x v="9"/>
    <x v="0"/>
    <x v="4"/>
    <x v="3"/>
    <x v="0"/>
    <x v="0"/>
    <x v="4"/>
    <x v="0"/>
    <x v="2"/>
    <x v="12"/>
    <x v="0"/>
    <x v="0"/>
    <x v="1"/>
    <x v="0"/>
    <x v="0"/>
    <x v="0"/>
  </r>
  <r>
    <x v="276"/>
    <x v="1"/>
    <x v="1"/>
    <x v="1"/>
    <x v="1"/>
    <x v="9"/>
    <x v="0"/>
    <x v="4"/>
    <x v="3"/>
    <x v="0"/>
    <x v="1"/>
    <x v="4"/>
    <x v="0"/>
    <x v="2"/>
    <x v="12"/>
    <x v="0"/>
    <x v="0"/>
    <x v="0"/>
    <x v="0"/>
    <x v="0"/>
    <x v="0"/>
  </r>
  <r>
    <x v="277"/>
    <x v="0"/>
    <x v="0"/>
    <x v="0"/>
    <x v="0"/>
    <x v="9"/>
    <x v="0"/>
    <x v="0"/>
    <x v="3"/>
    <x v="0"/>
    <x v="1"/>
    <x v="3"/>
    <x v="4"/>
    <x v="1"/>
    <x v="13"/>
    <x v="0"/>
    <x v="0"/>
    <x v="0"/>
    <x v="0"/>
    <x v="0"/>
    <x v="0"/>
  </r>
  <r>
    <x v="278"/>
    <x v="1"/>
    <x v="1"/>
    <x v="0"/>
    <x v="0"/>
    <x v="9"/>
    <x v="0"/>
    <x v="4"/>
    <x v="3"/>
    <x v="0"/>
    <x v="0"/>
    <x v="4"/>
    <x v="1"/>
    <x v="2"/>
    <x v="13"/>
    <x v="0"/>
    <x v="0"/>
    <x v="0"/>
    <x v="0"/>
    <x v="0"/>
    <x v="0"/>
  </r>
  <r>
    <x v="279"/>
    <x v="1"/>
    <x v="1"/>
    <x v="0"/>
    <x v="0"/>
    <x v="9"/>
    <x v="0"/>
    <x v="4"/>
    <x v="3"/>
    <x v="0"/>
    <x v="0"/>
    <x v="4"/>
    <x v="0"/>
    <x v="2"/>
    <x v="13"/>
    <x v="0"/>
    <x v="0"/>
    <x v="1"/>
    <x v="0"/>
    <x v="0"/>
    <x v="0"/>
  </r>
  <r>
    <x v="280"/>
    <x v="1"/>
    <x v="1"/>
    <x v="0"/>
    <x v="0"/>
    <x v="9"/>
    <x v="0"/>
    <x v="4"/>
    <x v="3"/>
    <x v="0"/>
    <x v="1"/>
    <x v="4"/>
    <x v="0"/>
    <x v="2"/>
    <x v="13"/>
    <x v="0"/>
    <x v="0"/>
    <x v="0"/>
    <x v="0"/>
    <x v="0"/>
    <x v="0"/>
  </r>
  <r>
    <x v="281"/>
    <x v="0"/>
    <x v="0"/>
    <x v="0"/>
    <x v="0"/>
    <x v="9"/>
    <x v="0"/>
    <x v="0"/>
    <x v="3"/>
    <x v="0"/>
    <x v="1"/>
    <x v="3"/>
    <x v="1"/>
    <x v="1"/>
    <x v="26"/>
    <x v="0"/>
    <x v="0"/>
    <x v="0"/>
    <x v="0"/>
    <x v="0"/>
    <x v="0"/>
  </r>
  <r>
    <x v="282"/>
    <x v="1"/>
    <x v="1"/>
    <x v="0"/>
    <x v="0"/>
    <x v="9"/>
    <x v="0"/>
    <x v="0"/>
    <x v="3"/>
    <x v="3"/>
    <x v="1"/>
    <x v="3"/>
    <x v="4"/>
    <x v="1"/>
    <x v="26"/>
    <x v="0"/>
    <x v="0"/>
    <x v="0"/>
    <x v="0"/>
    <x v="0"/>
    <x v="0"/>
  </r>
  <r>
    <x v="283"/>
    <x v="0"/>
    <x v="0"/>
    <x v="1"/>
    <x v="1"/>
    <x v="9"/>
    <x v="0"/>
    <x v="1"/>
    <x v="0"/>
    <x v="3"/>
    <x v="1"/>
    <x v="3"/>
    <x v="0"/>
    <x v="2"/>
    <x v="26"/>
    <x v="0"/>
    <x v="0"/>
    <x v="1"/>
    <x v="0"/>
    <x v="0"/>
    <x v="0"/>
  </r>
  <r>
    <x v="284"/>
    <x v="0"/>
    <x v="0"/>
    <x v="1"/>
    <x v="1"/>
    <x v="9"/>
    <x v="0"/>
    <x v="4"/>
    <x v="3"/>
    <x v="0"/>
    <x v="0"/>
    <x v="4"/>
    <x v="1"/>
    <x v="1"/>
    <x v="26"/>
    <x v="0"/>
    <x v="0"/>
    <x v="1"/>
    <x v="0"/>
    <x v="0"/>
    <x v="0"/>
  </r>
  <r>
    <x v="285"/>
    <x v="1"/>
    <x v="1"/>
    <x v="1"/>
    <x v="1"/>
    <x v="9"/>
    <x v="0"/>
    <x v="0"/>
    <x v="3"/>
    <x v="0"/>
    <x v="1"/>
    <x v="3"/>
    <x v="4"/>
    <x v="1"/>
    <x v="26"/>
    <x v="0"/>
    <x v="0"/>
    <x v="0"/>
    <x v="0"/>
    <x v="0"/>
    <x v="0"/>
  </r>
  <r>
    <x v="286"/>
    <x v="1"/>
    <x v="1"/>
    <x v="1"/>
    <x v="1"/>
    <x v="9"/>
    <x v="0"/>
    <x v="4"/>
    <x v="3"/>
    <x v="0"/>
    <x v="0"/>
    <x v="3"/>
    <x v="0"/>
    <x v="2"/>
    <x v="26"/>
    <x v="0"/>
    <x v="0"/>
    <x v="0"/>
    <x v="0"/>
    <x v="0"/>
    <x v="0"/>
  </r>
  <r>
    <x v="287"/>
    <x v="0"/>
    <x v="0"/>
    <x v="0"/>
    <x v="0"/>
    <x v="9"/>
    <x v="0"/>
    <x v="2"/>
    <x v="0"/>
    <x v="3"/>
    <x v="1"/>
    <x v="4"/>
    <x v="1"/>
    <x v="1"/>
    <x v="6"/>
    <x v="0"/>
    <x v="0"/>
    <x v="0"/>
    <x v="0"/>
    <x v="0"/>
    <x v="0"/>
  </r>
  <r>
    <x v="288"/>
    <x v="1"/>
    <x v="1"/>
    <x v="0"/>
    <x v="0"/>
    <x v="9"/>
    <x v="0"/>
    <x v="2"/>
    <x v="3"/>
    <x v="0"/>
    <x v="0"/>
    <x v="4"/>
    <x v="1"/>
    <x v="1"/>
    <x v="6"/>
    <x v="0"/>
    <x v="0"/>
    <x v="1"/>
    <x v="0"/>
    <x v="0"/>
    <x v="0"/>
  </r>
  <r>
    <x v="289"/>
    <x v="0"/>
    <x v="0"/>
    <x v="1"/>
    <x v="1"/>
    <x v="9"/>
    <x v="0"/>
    <x v="1"/>
    <x v="0"/>
    <x v="3"/>
    <x v="1"/>
    <x v="3"/>
    <x v="0"/>
    <x v="2"/>
    <x v="6"/>
    <x v="0"/>
    <x v="0"/>
    <x v="1"/>
    <x v="0"/>
    <x v="0"/>
    <x v="0"/>
  </r>
  <r>
    <x v="290"/>
    <x v="0"/>
    <x v="0"/>
    <x v="1"/>
    <x v="1"/>
    <x v="9"/>
    <x v="0"/>
    <x v="2"/>
    <x v="0"/>
    <x v="3"/>
    <x v="1"/>
    <x v="4"/>
    <x v="1"/>
    <x v="1"/>
    <x v="6"/>
    <x v="0"/>
    <x v="0"/>
    <x v="1"/>
    <x v="0"/>
    <x v="0"/>
    <x v="0"/>
  </r>
  <r>
    <x v="291"/>
    <x v="0"/>
    <x v="0"/>
    <x v="1"/>
    <x v="1"/>
    <x v="9"/>
    <x v="0"/>
    <x v="1"/>
    <x v="0"/>
    <x v="3"/>
    <x v="1"/>
    <x v="3"/>
    <x v="1"/>
    <x v="2"/>
    <x v="6"/>
    <x v="0"/>
    <x v="0"/>
    <x v="1"/>
    <x v="0"/>
    <x v="0"/>
    <x v="0"/>
  </r>
  <r>
    <x v="292"/>
    <x v="0"/>
    <x v="0"/>
    <x v="1"/>
    <x v="1"/>
    <x v="9"/>
    <x v="0"/>
    <x v="2"/>
    <x v="3"/>
    <x v="0"/>
    <x v="1"/>
    <x v="4"/>
    <x v="4"/>
    <x v="1"/>
    <x v="6"/>
    <x v="0"/>
    <x v="0"/>
    <x v="0"/>
    <x v="0"/>
    <x v="0"/>
    <x v="0"/>
  </r>
  <r>
    <x v="293"/>
    <x v="0"/>
    <x v="0"/>
    <x v="1"/>
    <x v="1"/>
    <x v="9"/>
    <x v="0"/>
    <x v="2"/>
    <x v="0"/>
    <x v="3"/>
    <x v="1"/>
    <x v="4"/>
    <x v="4"/>
    <x v="1"/>
    <x v="6"/>
    <x v="0"/>
    <x v="0"/>
    <x v="0"/>
    <x v="0"/>
    <x v="0"/>
    <x v="0"/>
  </r>
  <r>
    <x v="294"/>
    <x v="1"/>
    <x v="1"/>
    <x v="1"/>
    <x v="1"/>
    <x v="9"/>
    <x v="0"/>
    <x v="1"/>
    <x v="0"/>
    <x v="0"/>
    <x v="1"/>
    <x v="0"/>
    <x v="4"/>
    <x v="1"/>
    <x v="6"/>
    <x v="0"/>
    <x v="0"/>
    <x v="1"/>
    <x v="0"/>
    <x v="0"/>
    <x v="0"/>
  </r>
  <r>
    <x v="295"/>
    <x v="1"/>
    <x v="1"/>
    <x v="0"/>
    <x v="0"/>
    <x v="9"/>
    <x v="0"/>
    <x v="1"/>
    <x v="0"/>
    <x v="3"/>
    <x v="1"/>
    <x v="3"/>
    <x v="0"/>
    <x v="2"/>
    <x v="14"/>
    <x v="0"/>
    <x v="0"/>
    <x v="1"/>
    <x v="0"/>
    <x v="0"/>
    <x v="0"/>
  </r>
  <r>
    <x v="296"/>
    <x v="0"/>
    <x v="0"/>
    <x v="1"/>
    <x v="1"/>
    <x v="9"/>
    <x v="0"/>
    <x v="1"/>
    <x v="0"/>
    <x v="0"/>
    <x v="0"/>
    <x v="0"/>
    <x v="0"/>
    <x v="1"/>
    <x v="14"/>
    <x v="0"/>
    <x v="0"/>
    <x v="1"/>
    <x v="0"/>
    <x v="0"/>
    <x v="0"/>
  </r>
  <r>
    <x v="297"/>
    <x v="0"/>
    <x v="0"/>
    <x v="1"/>
    <x v="1"/>
    <x v="9"/>
    <x v="0"/>
    <x v="1"/>
    <x v="0"/>
    <x v="3"/>
    <x v="1"/>
    <x v="0"/>
    <x v="0"/>
    <x v="2"/>
    <x v="14"/>
    <x v="0"/>
    <x v="0"/>
    <x v="1"/>
    <x v="0"/>
    <x v="0"/>
    <x v="0"/>
  </r>
  <r>
    <x v="298"/>
    <x v="0"/>
    <x v="0"/>
    <x v="0"/>
    <x v="0"/>
    <x v="9"/>
    <x v="0"/>
    <x v="1"/>
    <x v="0"/>
    <x v="3"/>
    <x v="0"/>
    <x v="0"/>
    <x v="0"/>
    <x v="2"/>
    <x v="27"/>
    <x v="0"/>
    <x v="0"/>
    <x v="1"/>
    <x v="0"/>
    <x v="0"/>
    <x v="0"/>
  </r>
  <r>
    <x v="299"/>
    <x v="0"/>
    <x v="0"/>
    <x v="0"/>
    <x v="0"/>
    <x v="9"/>
    <x v="0"/>
    <x v="1"/>
    <x v="1"/>
    <x v="0"/>
    <x v="1"/>
    <x v="0"/>
    <x v="2"/>
    <x v="1"/>
    <x v="27"/>
    <x v="0"/>
    <x v="0"/>
    <x v="1"/>
    <x v="0"/>
    <x v="0"/>
    <x v="0"/>
  </r>
  <r>
    <x v="300"/>
    <x v="1"/>
    <x v="1"/>
    <x v="0"/>
    <x v="0"/>
    <x v="9"/>
    <x v="0"/>
    <x v="1"/>
    <x v="1"/>
    <x v="0"/>
    <x v="1"/>
    <x v="0"/>
    <x v="2"/>
    <x v="1"/>
    <x v="27"/>
    <x v="0"/>
    <x v="0"/>
    <x v="0"/>
    <x v="0"/>
    <x v="0"/>
    <x v="0"/>
  </r>
  <r>
    <x v="301"/>
    <x v="0"/>
    <x v="0"/>
    <x v="1"/>
    <x v="1"/>
    <x v="9"/>
    <x v="0"/>
    <x v="2"/>
    <x v="1"/>
    <x v="0"/>
    <x v="1"/>
    <x v="4"/>
    <x v="1"/>
    <x v="1"/>
    <x v="27"/>
    <x v="0"/>
    <x v="0"/>
    <x v="0"/>
    <x v="0"/>
    <x v="0"/>
    <x v="0"/>
  </r>
  <r>
    <x v="302"/>
    <x v="0"/>
    <x v="0"/>
    <x v="1"/>
    <x v="1"/>
    <x v="9"/>
    <x v="0"/>
    <x v="1"/>
    <x v="0"/>
    <x v="3"/>
    <x v="1"/>
    <x v="0"/>
    <x v="0"/>
    <x v="2"/>
    <x v="27"/>
    <x v="0"/>
    <x v="0"/>
    <x v="1"/>
    <x v="0"/>
    <x v="0"/>
    <x v="0"/>
  </r>
  <r>
    <x v="303"/>
    <x v="0"/>
    <x v="0"/>
    <x v="0"/>
    <x v="0"/>
    <x v="9"/>
    <x v="0"/>
    <x v="1"/>
    <x v="1"/>
    <x v="0"/>
    <x v="1"/>
    <x v="4"/>
    <x v="1"/>
    <x v="1"/>
    <x v="4"/>
    <x v="0"/>
    <x v="0"/>
    <x v="1"/>
    <x v="0"/>
    <x v="0"/>
    <x v="0"/>
  </r>
  <r>
    <x v="304"/>
    <x v="0"/>
    <x v="0"/>
    <x v="0"/>
    <x v="0"/>
    <x v="9"/>
    <x v="0"/>
    <x v="1"/>
    <x v="3"/>
    <x v="0"/>
    <x v="1"/>
    <x v="3"/>
    <x v="4"/>
    <x v="1"/>
    <x v="4"/>
    <x v="0"/>
    <x v="0"/>
    <x v="1"/>
    <x v="0"/>
    <x v="0"/>
    <x v="0"/>
  </r>
  <r>
    <x v="305"/>
    <x v="0"/>
    <x v="0"/>
    <x v="1"/>
    <x v="1"/>
    <x v="9"/>
    <x v="0"/>
    <x v="1"/>
    <x v="1"/>
    <x v="0"/>
    <x v="0"/>
    <x v="0"/>
    <x v="2"/>
    <x v="1"/>
    <x v="4"/>
    <x v="0"/>
    <x v="0"/>
    <x v="1"/>
    <x v="0"/>
    <x v="0"/>
    <x v="0"/>
  </r>
  <r>
    <x v="306"/>
    <x v="0"/>
    <x v="0"/>
    <x v="1"/>
    <x v="1"/>
    <x v="9"/>
    <x v="0"/>
    <x v="3"/>
    <x v="4"/>
    <x v="3"/>
    <x v="1"/>
    <x v="3"/>
    <x v="0"/>
    <x v="1"/>
    <x v="0"/>
    <x v="0"/>
    <x v="0"/>
    <x v="1"/>
    <x v="0"/>
    <x v="0"/>
    <x v="0"/>
  </r>
  <r>
    <x v="307"/>
    <x v="1"/>
    <x v="1"/>
    <x v="0"/>
    <x v="0"/>
    <x v="9"/>
    <x v="0"/>
    <x v="5"/>
    <x v="0"/>
    <x v="0"/>
    <x v="1"/>
    <x v="4"/>
    <x v="0"/>
    <x v="1"/>
    <x v="36"/>
    <x v="0"/>
    <x v="0"/>
    <x v="0"/>
    <x v="0"/>
    <x v="0"/>
    <x v="0"/>
  </r>
  <r>
    <x v="308"/>
    <x v="1"/>
    <x v="1"/>
    <x v="0"/>
    <x v="0"/>
    <x v="9"/>
    <x v="0"/>
    <x v="3"/>
    <x v="2"/>
    <x v="0"/>
    <x v="1"/>
    <x v="3"/>
    <x v="0"/>
    <x v="2"/>
    <x v="36"/>
    <x v="0"/>
    <x v="0"/>
    <x v="0"/>
    <x v="0"/>
    <x v="0"/>
    <x v="0"/>
  </r>
  <r>
    <x v="309"/>
    <x v="1"/>
    <x v="1"/>
    <x v="0"/>
    <x v="0"/>
    <x v="9"/>
    <x v="0"/>
    <x v="3"/>
    <x v="0"/>
    <x v="0"/>
    <x v="1"/>
    <x v="1"/>
    <x v="0"/>
    <x v="1"/>
    <x v="36"/>
    <x v="0"/>
    <x v="0"/>
    <x v="0"/>
    <x v="0"/>
    <x v="0"/>
    <x v="0"/>
  </r>
  <r>
    <x v="310"/>
    <x v="0"/>
    <x v="0"/>
    <x v="1"/>
    <x v="1"/>
    <x v="9"/>
    <x v="0"/>
    <x v="3"/>
    <x v="4"/>
    <x v="3"/>
    <x v="0"/>
    <x v="3"/>
    <x v="3"/>
    <x v="1"/>
    <x v="36"/>
    <x v="0"/>
    <x v="0"/>
    <x v="1"/>
    <x v="0"/>
    <x v="0"/>
    <x v="0"/>
  </r>
  <r>
    <x v="311"/>
    <x v="0"/>
    <x v="0"/>
    <x v="1"/>
    <x v="1"/>
    <x v="9"/>
    <x v="0"/>
    <x v="5"/>
    <x v="0"/>
    <x v="0"/>
    <x v="1"/>
    <x v="4"/>
    <x v="0"/>
    <x v="1"/>
    <x v="36"/>
    <x v="0"/>
    <x v="0"/>
    <x v="1"/>
    <x v="0"/>
    <x v="0"/>
    <x v="0"/>
  </r>
  <r>
    <x v="312"/>
    <x v="0"/>
    <x v="0"/>
    <x v="0"/>
    <x v="0"/>
    <x v="9"/>
    <x v="0"/>
    <x v="5"/>
    <x v="0"/>
    <x v="0"/>
    <x v="1"/>
    <x v="3"/>
    <x v="0"/>
    <x v="1"/>
    <x v="15"/>
    <x v="0"/>
    <x v="0"/>
    <x v="0"/>
    <x v="0"/>
    <x v="0"/>
    <x v="0"/>
  </r>
  <r>
    <x v="313"/>
    <x v="1"/>
    <x v="1"/>
    <x v="0"/>
    <x v="0"/>
    <x v="9"/>
    <x v="0"/>
    <x v="0"/>
    <x v="2"/>
    <x v="0"/>
    <x v="1"/>
    <x v="1"/>
    <x v="0"/>
    <x v="1"/>
    <x v="15"/>
    <x v="0"/>
    <x v="0"/>
    <x v="0"/>
    <x v="0"/>
    <x v="0"/>
    <x v="0"/>
  </r>
  <r>
    <x v="314"/>
    <x v="0"/>
    <x v="0"/>
    <x v="1"/>
    <x v="1"/>
    <x v="9"/>
    <x v="0"/>
    <x v="3"/>
    <x v="2"/>
    <x v="3"/>
    <x v="0"/>
    <x v="3"/>
    <x v="3"/>
    <x v="2"/>
    <x v="15"/>
    <x v="0"/>
    <x v="0"/>
    <x v="0"/>
    <x v="0"/>
    <x v="0"/>
    <x v="0"/>
  </r>
  <r>
    <x v="315"/>
    <x v="0"/>
    <x v="0"/>
    <x v="1"/>
    <x v="1"/>
    <x v="9"/>
    <x v="0"/>
    <x v="0"/>
    <x v="2"/>
    <x v="0"/>
    <x v="1"/>
    <x v="1"/>
    <x v="0"/>
    <x v="1"/>
    <x v="7"/>
    <x v="0"/>
    <x v="1"/>
    <x v="1"/>
    <x v="0"/>
    <x v="0"/>
    <x v="0"/>
  </r>
  <r>
    <x v="316"/>
    <x v="1"/>
    <x v="1"/>
    <x v="0"/>
    <x v="0"/>
    <x v="9"/>
    <x v="0"/>
    <x v="5"/>
    <x v="1"/>
    <x v="1"/>
    <x v="1"/>
    <x v="3"/>
    <x v="3"/>
    <x v="1"/>
    <x v="16"/>
    <x v="0"/>
    <x v="1"/>
    <x v="1"/>
    <x v="0"/>
    <x v="0"/>
    <x v="0"/>
  </r>
  <r>
    <x v="317"/>
    <x v="1"/>
    <x v="1"/>
    <x v="0"/>
    <x v="0"/>
    <x v="9"/>
    <x v="0"/>
    <x v="5"/>
    <x v="1"/>
    <x v="1"/>
    <x v="1"/>
    <x v="3"/>
    <x v="0"/>
    <x v="1"/>
    <x v="16"/>
    <x v="0"/>
    <x v="1"/>
    <x v="0"/>
    <x v="0"/>
    <x v="0"/>
    <x v="0"/>
  </r>
  <r>
    <x v="318"/>
    <x v="0"/>
    <x v="0"/>
    <x v="1"/>
    <x v="1"/>
    <x v="9"/>
    <x v="0"/>
    <x v="3"/>
    <x v="0"/>
    <x v="3"/>
    <x v="1"/>
    <x v="3"/>
    <x v="0"/>
    <x v="2"/>
    <x v="16"/>
    <x v="0"/>
    <x v="1"/>
    <x v="0"/>
    <x v="0"/>
    <x v="0"/>
    <x v="0"/>
  </r>
  <r>
    <x v="319"/>
    <x v="0"/>
    <x v="0"/>
    <x v="1"/>
    <x v="1"/>
    <x v="9"/>
    <x v="0"/>
    <x v="5"/>
    <x v="4"/>
    <x v="3"/>
    <x v="1"/>
    <x v="3"/>
    <x v="0"/>
    <x v="1"/>
    <x v="16"/>
    <x v="0"/>
    <x v="1"/>
    <x v="1"/>
    <x v="0"/>
    <x v="0"/>
    <x v="0"/>
  </r>
  <r>
    <x v="320"/>
    <x v="0"/>
    <x v="0"/>
    <x v="1"/>
    <x v="1"/>
    <x v="9"/>
    <x v="0"/>
    <x v="3"/>
    <x v="0"/>
    <x v="3"/>
    <x v="1"/>
    <x v="3"/>
    <x v="0"/>
    <x v="2"/>
    <x v="16"/>
    <x v="0"/>
    <x v="1"/>
    <x v="0"/>
    <x v="0"/>
    <x v="0"/>
    <x v="0"/>
  </r>
  <r>
    <x v="321"/>
    <x v="0"/>
    <x v="0"/>
    <x v="1"/>
    <x v="1"/>
    <x v="9"/>
    <x v="0"/>
    <x v="5"/>
    <x v="2"/>
    <x v="0"/>
    <x v="0"/>
    <x v="4"/>
    <x v="3"/>
    <x v="1"/>
    <x v="16"/>
    <x v="0"/>
    <x v="1"/>
    <x v="0"/>
    <x v="0"/>
    <x v="0"/>
    <x v="0"/>
  </r>
  <r>
    <x v="322"/>
    <x v="1"/>
    <x v="1"/>
    <x v="1"/>
    <x v="1"/>
    <x v="9"/>
    <x v="0"/>
    <x v="5"/>
    <x v="2"/>
    <x v="0"/>
    <x v="1"/>
    <x v="1"/>
    <x v="0"/>
    <x v="1"/>
    <x v="16"/>
    <x v="0"/>
    <x v="1"/>
    <x v="0"/>
    <x v="0"/>
    <x v="0"/>
    <x v="0"/>
  </r>
  <r>
    <x v="323"/>
    <x v="0"/>
    <x v="0"/>
    <x v="0"/>
    <x v="0"/>
    <x v="9"/>
    <x v="0"/>
    <x v="3"/>
    <x v="2"/>
    <x v="0"/>
    <x v="1"/>
    <x v="3"/>
    <x v="4"/>
    <x v="1"/>
    <x v="31"/>
    <x v="0"/>
    <x v="1"/>
    <x v="1"/>
    <x v="0"/>
    <x v="0"/>
    <x v="0"/>
  </r>
  <r>
    <x v="324"/>
    <x v="0"/>
    <x v="0"/>
    <x v="0"/>
    <x v="0"/>
    <x v="9"/>
    <x v="0"/>
    <x v="3"/>
    <x v="2"/>
    <x v="0"/>
    <x v="1"/>
    <x v="3"/>
    <x v="2"/>
    <x v="1"/>
    <x v="31"/>
    <x v="0"/>
    <x v="1"/>
    <x v="1"/>
    <x v="0"/>
    <x v="0"/>
    <x v="0"/>
  </r>
  <r>
    <x v="325"/>
    <x v="1"/>
    <x v="1"/>
    <x v="0"/>
    <x v="0"/>
    <x v="9"/>
    <x v="0"/>
    <x v="5"/>
    <x v="1"/>
    <x v="1"/>
    <x v="0"/>
    <x v="3"/>
    <x v="3"/>
    <x v="1"/>
    <x v="31"/>
    <x v="0"/>
    <x v="1"/>
    <x v="1"/>
    <x v="0"/>
    <x v="0"/>
    <x v="0"/>
  </r>
  <r>
    <x v="326"/>
    <x v="1"/>
    <x v="1"/>
    <x v="0"/>
    <x v="0"/>
    <x v="9"/>
    <x v="0"/>
    <x v="5"/>
    <x v="1"/>
    <x v="1"/>
    <x v="1"/>
    <x v="3"/>
    <x v="0"/>
    <x v="1"/>
    <x v="31"/>
    <x v="0"/>
    <x v="1"/>
    <x v="0"/>
    <x v="0"/>
    <x v="0"/>
    <x v="0"/>
  </r>
  <r>
    <x v="327"/>
    <x v="0"/>
    <x v="0"/>
    <x v="1"/>
    <x v="1"/>
    <x v="9"/>
    <x v="0"/>
    <x v="0"/>
    <x v="0"/>
    <x v="0"/>
    <x v="1"/>
    <x v="3"/>
    <x v="2"/>
    <x v="1"/>
    <x v="31"/>
    <x v="0"/>
    <x v="1"/>
    <x v="1"/>
    <x v="0"/>
    <x v="0"/>
    <x v="0"/>
  </r>
  <r>
    <x v="328"/>
    <x v="0"/>
    <x v="0"/>
    <x v="1"/>
    <x v="1"/>
    <x v="9"/>
    <x v="0"/>
    <x v="5"/>
    <x v="1"/>
    <x v="1"/>
    <x v="1"/>
    <x v="3"/>
    <x v="0"/>
    <x v="1"/>
    <x v="31"/>
    <x v="0"/>
    <x v="1"/>
    <x v="0"/>
    <x v="0"/>
    <x v="0"/>
    <x v="0"/>
  </r>
  <r>
    <x v="329"/>
    <x v="0"/>
    <x v="0"/>
    <x v="1"/>
    <x v="1"/>
    <x v="9"/>
    <x v="0"/>
    <x v="3"/>
    <x v="4"/>
    <x v="3"/>
    <x v="1"/>
    <x v="3"/>
    <x v="2"/>
    <x v="1"/>
    <x v="31"/>
    <x v="0"/>
    <x v="1"/>
    <x v="1"/>
    <x v="0"/>
    <x v="0"/>
    <x v="0"/>
  </r>
  <r>
    <x v="330"/>
    <x v="1"/>
    <x v="1"/>
    <x v="1"/>
    <x v="1"/>
    <x v="9"/>
    <x v="0"/>
    <x v="5"/>
    <x v="1"/>
    <x v="1"/>
    <x v="0"/>
    <x v="3"/>
    <x v="3"/>
    <x v="1"/>
    <x v="31"/>
    <x v="0"/>
    <x v="1"/>
    <x v="0"/>
    <x v="0"/>
    <x v="0"/>
    <x v="0"/>
  </r>
  <r>
    <x v="331"/>
    <x v="1"/>
    <x v="1"/>
    <x v="0"/>
    <x v="0"/>
    <x v="9"/>
    <x v="0"/>
    <x v="3"/>
    <x v="4"/>
    <x v="3"/>
    <x v="0"/>
    <x v="3"/>
    <x v="4"/>
    <x v="1"/>
    <x v="17"/>
    <x v="0"/>
    <x v="1"/>
    <x v="0"/>
    <x v="0"/>
    <x v="0"/>
    <x v="0"/>
  </r>
  <r>
    <x v="332"/>
    <x v="0"/>
    <x v="0"/>
    <x v="1"/>
    <x v="1"/>
    <x v="9"/>
    <x v="0"/>
    <x v="3"/>
    <x v="4"/>
    <x v="3"/>
    <x v="1"/>
    <x v="3"/>
    <x v="2"/>
    <x v="1"/>
    <x v="17"/>
    <x v="0"/>
    <x v="1"/>
    <x v="1"/>
    <x v="0"/>
    <x v="0"/>
    <x v="0"/>
  </r>
  <r>
    <x v="333"/>
    <x v="0"/>
    <x v="0"/>
    <x v="0"/>
    <x v="0"/>
    <x v="9"/>
    <x v="0"/>
    <x v="0"/>
    <x v="0"/>
    <x v="0"/>
    <x v="1"/>
    <x v="4"/>
    <x v="3"/>
    <x v="1"/>
    <x v="1"/>
    <x v="0"/>
    <x v="1"/>
    <x v="1"/>
    <x v="0"/>
    <x v="0"/>
    <x v="0"/>
  </r>
  <r>
    <x v="334"/>
    <x v="0"/>
    <x v="0"/>
    <x v="0"/>
    <x v="0"/>
    <x v="9"/>
    <x v="0"/>
    <x v="0"/>
    <x v="0"/>
    <x v="0"/>
    <x v="0"/>
    <x v="4"/>
    <x v="3"/>
    <x v="1"/>
    <x v="28"/>
    <x v="0"/>
    <x v="1"/>
    <x v="1"/>
    <x v="0"/>
    <x v="0"/>
    <x v="0"/>
  </r>
  <r>
    <x v="335"/>
    <x v="0"/>
    <x v="0"/>
    <x v="0"/>
    <x v="0"/>
    <x v="9"/>
    <x v="0"/>
    <x v="0"/>
    <x v="0"/>
    <x v="0"/>
    <x v="1"/>
    <x v="4"/>
    <x v="2"/>
    <x v="1"/>
    <x v="28"/>
    <x v="0"/>
    <x v="1"/>
    <x v="1"/>
    <x v="0"/>
    <x v="0"/>
    <x v="0"/>
  </r>
  <r>
    <x v="336"/>
    <x v="1"/>
    <x v="1"/>
    <x v="1"/>
    <x v="1"/>
    <x v="9"/>
    <x v="0"/>
    <x v="0"/>
    <x v="0"/>
    <x v="0"/>
    <x v="1"/>
    <x v="4"/>
    <x v="2"/>
    <x v="1"/>
    <x v="28"/>
    <x v="0"/>
    <x v="1"/>
    <x v="1"/>
    <x v="0"/>
    <x v="0"/>
    <x v="0"/>
  </r>
  <r>
    <x v="337"/>
    <x v="0"/>
    <x v="0"/>
    <x v="1"/>
    <x v="1"/>
    <x v="9"/>
    <x v="0"/>
    <x v="1"/>
    <x v="0"/>
    <x v="0"/>
    <x v="1"/>
    <x v="3"/>
    <x v="3"/>
    <x v="1"/>
    <x v="40"/>
    <x v="0"/>
    <x v="1"/>
    <x v="0"/>
    <x v="0"/>
    <x v="0"/>
    <x v="0"/>
  </r>
  <r>
    <x v="338"/>
    <x v="0"/>
    <x v="0"/>
    <x v="0"/>
    <x v="0"/>
    <x v="9"/>
    <x v="0"/>
    <x v="3"/>
    <x v="0"/>
    <x v="0"/>
    <x v="1"/>
    <x v="4"/>
    <x v="2"/>
    <x v="1"/>
    <x v="18"/>
    <x v="0"/>
    <x v="1"/>
    <x v="1"/>
    <x v="0"/>
    <x v="0"/>
    <x v="0"/>
  </r>
  <r>
    <x v="339"/>
    <x v="1"/>
    <x v="1"/>
    <x v="0"/>
    <x v="0"/>
    <x v="9"/>
    <x v="0"/>
    <x v="3"/>
    <x v="3"/>
    <x v="1"/>
    <x v="0"/>
    <x v="4"/>
    <x v="4"/>
    <x v="1"/>
    <x v="18"/>
    <x v="0"/>
    <x v="1"/>
    <x v="0"/>
    <x v="0"/>
    <x v="0"/>
    <x v="0"/>
  </r>
  <r>
    <x v="340"/>
    <x v="0"/>
    <x v="0"/>
    <x v="1"/>
    <x v="1"/>
    <x v="9"/>
    <x v="0"/>
    <x v="0"/>
    <x v="3"/>
    <x v="1"/>
    <x v="1"/>
    <x v="4"/>
    <x v="3"/>
    <x v="1"/>
    <x v="18"/>
    <x v="0"/>
    <x v="1"/>
    <x v="1"/>
    <x v="0"/>
    <x v="0"/>
    <x v="0"/>
  </r>
  <r>
    <x v="341"/>
    <x v="0"/>
    <x v="0"/>
    <x v="0"/>
    <x v="0"/>
    <x v="9"/>
    <x v="0"/>
    <x v="0"/>
    <x v="3"/>
    <x v="1"/>
    <x v="1"/>
    <x v="4"/>
    <x v="2"/>
    <x v="1"/>
    <x v="19"/>
    <x v="0"/>
    <x v="1"/>
    <x v="1"/>
    <x v="0"/>
    <x v="0"/>
    <x v="0"/>
  </r>
  <r>
    <x v="342"/>
    <x v="0"/>
    <x v="0"/>
    <x v="0"/>
    <x v="0"/>
    <x v="9"/>
    <x v="0"/>
    <x v="0"/>
    <x v="3"/>
    <x v="1"/>
    <x v="0"/>
    <x v="4"/>
    <x v="3"/>
    <x v="1"/>
    <x v="19"/>
    <x v="0"/>
    <x v="1"/>
    <x v="1"/>
    <x v="0"/>
    <x v="0"/>
    <x v="0"/>
  </r>
  <r>
    <x v="343"/>
    <x v="0"/>
    <x v="0"/>
    <x v="0"/>
    <x v="0"/>
    <x v="9"/>
    <x v="0"/>
    <x v="0"/>
    <x v="3"/>
    <x v="1"/>
    <x v="1"/>
    <x v="4"/>
    <x v="3"/>
    <x v="1"/>
    <x v="19"/>
    <x v="0"/>
    <x v="1"/>
    <x v="1"/>
    <x v="0"/>
    <x v="0"/>
    <x v="0"/>
  </r>
  <r>
    <x v="344"/>
    <x v="0"/>
    <x v="0"/>
    <x v="0"/>
    <x v="0"/>
    <x v="9"/>
    <x v="0"/>
    <x v="3"/>
    <x v="0"/>
    <x v="0"/>
    <x v="1"/>
    <x v="4"/>
    <x v="4"/>
    <x v="1"/>
    <x v="19"/>
    <x v="0"/>
    <x v="1"/>
    <x v="1"/>
    <x v="0"/>
    <x v="0"/>
    <x v="0"/>
  </r>
  <r>
    <x v="345"/>
    <x v="1"/>
    <x v="1"/>
    <x v="0"/>
    <x v="0"/>
    <x v="9"/>
    <x v="0"/>
    <x v="3"/>
    <x v="3"/>
    <x v="1"/>
    <x v="1"/>
    <x v="4"/>
    <x v="2"/>
    <x v="1"/>
    <x v="19"/>
    <x v="0"/>
    <x v="1"/>
    <x v="1"/>
    <x v="0"/>
    <x v="0"/>
    <x v="0"/>
  </r>
  <r>
    <x v="346"/>
    <x v="1"/>
    <x v="1"/>
    <x v="0"/>
    <x v="0"/>
    <x v="9"/>
    <x v="0"/>
    <x v="3"/>
    <x v="3"/>
    <x v="1"/>
    <x v="0"/>
    <x v="4"/>
    <x v="4"/>
    <x v="1"/>
    <x v="19"/>
    <x v="0"/>
    <x v="1"/>
    <x v="0"/>
    <x v="0"/>
    <x v="0"/>
    <x v="0"/>
  </r>
  <r>
    <x v="347"/>
    <x v="0"/>
    <x v="0"/>
    <x v="1"/>
    <x v="1"/>
    <x v="9"/>
    <x v="0"/>
    <x v="3"/>
    <x v="0"/>
    <x v="0"/>
    <x v="1"/>
    <x v="4"/>
    <x v="2"/>
    <x v="1"/>
    <x v="19"/>
    <x v="0"/>
    <x v="1"/>
    <x v="1"/>
    <x v="0"/>
    <x v="0"/>
    <x v="0"/>
  </r>
  <r>
    <x v="348"/>
    <x v="1"/>
    <x v="1"/>
    <x v="1"/>
    <x v="1"/>
    <x v="9"/>
    <x v="0"/>
    <x v="3"/>
    <x v="3"/>
    <x v="1"/>
    <x v="0"/>
    <x v="4"/>
    <x v="4"/>
    <x v="1"/>
    <x v="19"/>
    <x v="0"/>
    <x v="1"/>
    <x v="0"/>
    <x v="0"/>
    <x v="0"/>
    <x v="0"/>
  </r>
  <r>
    <x v="349"/>
    <x v="0"/>
    <x v="0"/>
    <x v="1"/>
    <x v="1"/>
    <x v="9"/>
    <x v="0"/>
    <x v="1"/>
    <x v="3"/>
    <x v="1"/>
    <x v="1"/>
    <x v="2"/>
    <x v="2"/>
    <x v="1"/>
    <x v="41"/>
    <x v="0"/>
    <x v="1"/>
    <x v="1"/>
    <x v="0"/>
    <x v="0"/>
    <x v="0"/>
  </r>
  <r>
    <x v="350"/>
    <x v="1"/>
    <x v="1"/>
    <x v="1"/>
    <x v="1"/>
    <x v="9"/>
    <x v="0"/>
    <x v="1"/>
    <x v="3"/>
    <x v="1"/>
    <x v="1"/>
    <x v="0"/>
    <x v="2"/>
    <x v="1"/>
    <x v="41"/>
    <x v="0"/>
    <x v="1"/>
    <x v="0"/>
    <x v="0"/>
    <x v="0"/>
    <x v="0"/>
  </r>
  <r>
    <x v="351"/>
    <x v="1"/>
    <x v="1"/>
    <x v="1"/>
    <x v="1"/>
    <x v="9"/>
    <x v="0"/>
    <x v="1"/>
    <x v="3"/>
    <x v="1"/>
    <x v="1"/>
    <x v="0"/>
    <x v="2"/>
    <x v="1"/>
    <x v="41"/>
    <x v="0"/>
    <x v="1"/>
    <x v="0"/>
    <x v="0"/>
    <x v="0"/>
    <x v="0"/>
  </r>
  <r>
    <x v="352"/>
    <x v="1"/>
    <x v="1"/>
    <x v="0"/>
    <x v="0"/>
    <x v="9"/>
    <x v="0"/>
    <x v="0"/>
    <x v="3"/>
    <x v="1"/>
    <x v="1"/>
    <x v="3"/>
    <x v="2"/>
    <x v="1"/>
    <x v="20"/>
    <x v="0"/>
    <x v="1"/>
    <x v="1"/>
    <x v="0"/>
    <x v="0"/>
    <x v="0"/>
  </r>
  <r>
    <x v="353"/>
    <x v="0"/>
    <x v="0"/>
    <x v="1"/>
    <x v="1"/>
    <x v="9"/>
    <x v="0"/>
    <x v="1"/>
    <x v="3"/>
    <x v="1"/>
    <x v="1"/>
    <x v="3"/>
    <x v="4"/>
    <x v="1"/>
    <x v="20"/>
    <x v="0"/>
    <x v="1"/>
    <x v="1"/>
    <x v="0"/>
    <x v="0"/>
    <x v="0"/>
  </r>
  <r>
    <x v="354"/>
    <x v="1"/>
    <x v="1"/>
    <x v="0"/>
    <x v="0"/>
    <x v="9"/>
    <x v="0"/>
    <x v="0"/>
    <x v="3"/>
    <x v="1"/>
    <x v="1"/>
    <x v="3"/>
    <x v="3"/>
    <x v="1"/>
    <x v="29"/>
    <x v="0"/>
    <x v="1"/>
    <x v="0"/>
    <x v="0"/>
    <x v="0"/>
    <x v="0"/>
  </r>
  <r>
    <x v="355"/>
    <x v="0"/>
    <x v="0"/>
    <x v="1"/>
    <x v="1"/>
    <x v="9"/>
    <x v="0"/>
    <x v="1"/>
    <x v="3"/>
    <x v="1"/>
    <x v="1"/>
    <x v="3"/>
    <x v="2"/>
    <x v="1"/>
    <x v="37"/>
    <x v="0"/>
    <x v="1"/>
    <x v="1"/>
    <x v="0"/>
    <x v="0"/>
    <x v="0"/>
  </r>
  <r>
    <x v="356"/>
    <x v="1"/>
    <x v="1"/>
    <x v="0"/>
    <x v="0"/>
    <x v="9"/>
    <x v="0"/>
    <x v="1"/>
    <x v="1"/>
    <x v="1"/>
    <x v="1"/>
    <x v="3"/>
    <x v="2"/>
    <x v="1"/>
    <x v="21"/>
    <x v="0"/>
    <x v="1"/>
    <x v="0"/>
    <x v="0"/>
    <x v="0"/>
    <x v="0"/>
  </r>
  <r>
    <x v="357"/>
    <x v="0"/>
    <x v="0"/>
    <x v="1"/>
    <x v="1"/>
    <x v="9"/>
    <x v="0"/>
    <x v="0"/>
    <x v="1"/>
    <x v="1"/>
    <x v="1"/>
    <x v="3"/>
    <x v="0"/>
    <x v="1"/>
    <x v="34"/>
    <x v="0"/>
    <x v="1"/>
    <x v="1"/>
    <x v="0"/>
    <x v="0"/>
    <x v="0"/>
  </r>
  <r>
    <x v="358"/>
    <x v="1"/>
    <x v="1"/>
    <x v="1"/>
    <x v="1"/>
    <x v="9"/>
    <x v="0"/>
    <x v="4"/>
    <x v="1"/>
    <x v="1"/>
    <x v="1"/>
    <x v="3"/>
    <x v="0"/>
    <x v="1"/>
    <x v="46"/>
    <x v="0"/>
    <x v="1"/>
    <x v="0"/>
    <x v="0"/>
    <x v="0"/>
    <x v="0"/>
  </r>
  <r>
    <x v="359"/>
    <x v="0"/>
    <x v="0"/>
    <x v="0"/>
    <x v="0"/>
    <x v="10"/>
    <x v="0"/>
    <x v="4"/>
    <x v="0"/>
    <x v="3"/>
    <x v="0"/>
    <x v="4"/>
    <x v="3"/>
    <x v="1"/>
    <x v="45"/>
    <x v="0"/>
    <x v="2"/>
    <x v="1"/>
    <x v="0"/>
    <x v="0"/>
    <x v="0"/>
  </r>
  <r>
    <x v="360"/>
    <x v="0"/>
    <x v="0"/>
    <x v="1"/>
    <x v="1"/>
    <x v="10"/>
    <x v="0"/>
    <x v="4"/>
    <x v="0"/>
    <x v="3"/>
    <x v="1"/>
    <x v="4"/>
    <x v="0"/>
    <x v="1"/>
    <x v="45"/>
    <x v="0"/>
    <x v="2"/>
    <x v="0"/>
    <x v="0"/>
    <x v="0"/>
    <x v="0"/>
  </r>
  <r>
    <x v="361"/>
    <x v="1"/>
    <x v="1"/>
    <x v="1"/>
    <x v="1"/>
    <x v="10"/>
    <x v="0"/>
    <x v="4"/>
    <x v="0"/>
    <x v="3"/>
    <x v="1"/>
    <x v="4"/>
    <x v="0"/>
    <x v="1"/>
    <x v="45"/>
    <x v="0"/>
    <x v="2"/>
    <x v="0"/>
    <x v="0"/>
    <x v="0"/>
    <x v="0"/>
  </r>
  <r>
    <x v="362"/>
    <x v="0"/>
    <x v="0"/>
    <x v="0"/>
    <x v="0"/>
    <x v="10"/>
    <x v="0"/>
    <x v="4"/>
    <x v="0"/>
    <x v="3"/>
    <x v="1"/>
    <x v="3"/>
    <x v="0"/>
    <x v="1"/>
    <x v="38"/>
    <x v="0"/>
    <x v="2"/>
    <x v="1"/>
    <x v="0"/>
    <x v="0"/>
    <x v="0"/>
  </r>
  <r>
    <x v="363"/>
    <x v="0"/>
    <x v="0"/>
    <x v="1"/>
    <x v="1"/>
    <x v="10"/>
    <x v="0"/>
    <x v="4"/>
    <x v="0"/>
    <x v="3"/>
    <x v="0"/>
    <x v="3"/>
    <x v="3"/>
    <x v="1"/>
    <x v="38"/>
    <x v="0"/>
    <x v="2"/>
    <x v="1"/>
    <x v="0"/>
    <x v="0"/>
    <x v="0"/>
  </r>
  <r>
    <x v="364"/>
    <x v="1"/>
    <x v="1"/>
    <x v="1"/>
    <x v="1"/>
    <x v="10"/>
    <x v="0"/>
    <x v="4"/>
    <x v="0"/>
    <x v="3"/>
    <x v="1"/>
    <x v="1"/>
    <x v="0"/>
    <x v="1"/>
    <x v="38"/>
    <x v="0"/>
    <x v="2"/>
    <x v="1"/>
    <x v="0"/>
    <x v="0"/>
    <x v="0"/>
  </r>
  <r>
    <x v="365"/>
    <x v="1"/>
    <x v="1"/>
    <x v="1"/>
    <x v="1"/>
    <x v="10"/>
    <x v="0"/>
    <x v="4"/>
    <x v="0"/>
    <x v="3"/>
    <x v="0"/>
    <x v="3"/>
    <x v="3"/>
    <x v="1"/>
    <x v="38"/>
    <x v="0"/>
    <x v="2"/>
    <x v="1"/>
    <x v="0"/>
    <x v="0"/>
    <x v="0"/>
  </r>
  <r>
    <x v="366"/>
    <x v="0"/>
    <x v="0"/>
    <x v="0"/>
    <x v="0"/>
    <x v="10"/>
    <x v="0"/>
    <x v="4"/>
    <x v="0"/>
    <x v="0"/>
    <x v="1"/>
    <x v="3"/>
    <x v="0"/>
    <x v="1"/>
    <x v="39"/>
    <x v="0"/>
    <x v="0"/>
    <x v="1"/>
    <x v="0"/>
    <x v="0"/>
    <x v="0"/>
  </r>
  <r>
    <x v="367"/>
    <x v="1"/>
    <x v="1"/>
    <x v="1"/>
    <x v="1"/>
    <x v="10"/>
    <x v="0"/>
    <x v="4"/>
    <x v="3"/>
    <x v="3"/>
    <x v="0"/>
    <x v="3"/>
    <x v="1"/>
    <x v="1"/>
    <x v="39"/>
    <x v="0"/>
    <x v="0"/>
    <x v="1"/>
    <x v="0"/>
    <x v="0"/>
    <x v="0"/>
  </r>
  <r>
    <x v="368"/>
    <x v="1"/>
    <x v="1"/>
    <x v="1"/>
    <x v="1"/>
    <x v="10"/>
    <x v="0"/>
    <x v="4"/>
    <x v="0"/>
    <x v="0"/>
    <x v="0"/>
    <x v="3"/>
    <x v="3"/>
    <x v="1"/>
    <x v="39"/>
    <x v="0"/>
    <x v="0"/>
    <x v="1"/>
    <x v="0"/>
    <x v="0"/>
    <x v="0"/>
  </r>
  <r>
    <x v="369"/>
    <x v="0"/>
    <x v="0"/>
    <x v="0"/>
    <x v="0"/>
    <x v="10"/>
    <x v="0"/>
    <x v="4"/>
    <x v="0"/>
    <x v="3"/>
    <x v="1"/>
    <x v="3"/>
    <x v="0"/>
    <x v="1"/>
    <x v="8"/>
    <x v="0"/>
    <x v="0"/>
    <x v="1"/>
    <x v="0"/>
    <x v="0"/>
    <x v="0"/>
  </r>
  <r>
    <x v="370"/>
    <x v="0"/>
    <x v="0"/>
    <x v="1"/>
    <x v="1"/>
    <x v="10"/>
    <x v="0"/>
    <x v="4"/>
    <x v="0"/>
    <x v="3"/>
    <x v="0"/>
    <x v="3"/>
    <x v="3"/>
    <x v="1"/>
    <x v="8"/>
    <x v="0"/>
    <x v="0"/>
    <x v="1"/>
    <x v="0"/>
    <x v="0"/>
    <x v="0"/>
  </r>
  <r>
    <x v="371"/>
    <x v="1"/>
    <x v="1"/>
    <x v="1"/>
    <x v="1"/>
    <x v="10"/>
    <x v="0"/>
    <x v="4"/>
    <x v="3"/>
    <x v="0"/>
    <x v="0"/>
    <x v="2"/>
    <x v="4"/>
    <x v="2"/>
    <x v="8"/>
    <x v="0"/>
    <x v="0"/>
    <x v="1"/>
    <x v="0"/>
    <x v="0"/>
    <x v="0"/>
  </r>
  <r>
    <x v="372"/>
    <x v="1"/>
    <x v="1"/>
    <x v="1"/>
    <x v="1"/>
    <x v="10"/>
    <x v="0"/>
    <x v="4"/>
    <x v="3"/>
    <x v="0"/>
    <x v="0"/>
    <x v="0"/>
    <x v="4"/>
    <x v="2"/>
    <x v="8"/>
    <x v="0"/>
    <x v="0"/>
    <x v="1"/>
    <x v="0"/>
    <x v="0"/>
    <x v="0"/>
  </r>
  <r>
    <x v="373"/>
    <x v="0"/>
    <x v="0"/>
    <x v="0"/>
    <x v="0"/>
    <x v="10"/>
    <x v="0"/>
    <x v="4"/>
    <x v="0"/>
    <x v="0"/>
    <x v="1"/>
    <x v="3"/>
    <x v="0"/>
    <x v="1"/>
    <x v="23"/>
    <x v="0"/>
    <x v="0"/>
    <x v="1"/>
    <x v="0"/>
    <x v="0"/>
    <x v="0"/>
  </r>
  <r>
    <x v="374"/>
    <x v="1"/>
    <x v="1"/>
    <x v="0"/>
    <x v="0"/>
    <x v="10"/>
    <x v="0"/>
    <x v="4"/>
    <x v="0"/>
    <x v="0"/>
    <x v="0"/>
    <x v="3"/>
    <x v="3"/>
    <x v="1"/>
    <x v="23"/>
    <x v="0"/>
    <x v="0"/>
    <x v="0"/>
    <x v="0"/>
    <x v="0"/>
    <x v="0"/>
  </r>
  <r>
    <x v="375"/>
    <x v="0"/>
    <x v="0"/>
    <x v="1"/>
    <x v="1"/>
    <x v="10"/>
    <x v="0"/>
    <x v="4"/>
    <x v="0"/>
    <x v="3"/>
    <x v="1"/>
    <x v="4"/>
    <x v="0"/>
    <x v="1"/>
    <x v="23"/>
    <x v="0"/>
    <x v="0"/>
    <x v="0"/>
    <x v="0"/>
    <x v="0"/>
    <x v="0"/>
  </r>
  <r>
    <x v="376"/>
    <x v="0"/>
    <x v="0"/>
    <x v="1"/>
    <x v="1"/>
    <x v="10"/>
    <x v="0"/>
    <x v="4"/>
    <x v="0"/>
    <x v="0"/>
    <x v="1"/>
    <x v="3"/>
    <x v="0"/>
    <x v="1"/>
    <x v="23"/>
    <x v="0"/>
    <x v="0"/>
    <x v="1"/>
    <x v="0"/>
    <x v="0"/>
    <x v="0"/>
  </r>
  <r>
    <x v="377"/>
    <x v="0"/>
    <x v="0"/>
    <x v="1"/>
    <x v="1"/>
    <x v="10"/>
    <x v="0"/>
    <x v="4"/>
    <x v="2"/>
    <x v="0"/>
    <x v="1"/>
    <x v="3"/>
    <x v="0"/>
    <x v="1"/>
    <x v="23"/>
    <x v="0"/>
    <x v="0"/>
    <x v="0"/>
    <x v="0"/>
    <x v="0"/>
    <x v="0"/>
  </r>
  <r>
    <x v="378"/>
    <x v="1"/>
    <x v="1"/>
    <x v="1"/>
    <x v="1"/>
    <x v="10"/>
    <x v="0"/>
    <x v="4"/>
    <x v="0"/>
    <x v="0"/>
    <x v="0"/>
    <x v="3"/>
    <x v="3"/>
    <x v="1"/>
    <x v="23"/>
    <x v="0"/>
    <x v="0"/>
    <x v="0"/>
    <x v="0"/>
    <x v="0"/>
    <x v="0"/>
  </r>
  <r>
    <x v="379"/>
    <x v="0"/>
    <x v="0"/>
    <x v="0"/>
    <x v="0"/>
    <x v="10"/>
    <x v="0"/>
    <x v="4"/>
    <x v="0"/>
    <x v="3"/>
    <x v="0"/>
    <x v="4"/>
    <x v="3"/>
    <x v="1"/>
    <x v="3"/>
    <x v="0"/>
    <x v="0"/>
    <x v="1"/>
    <x v="0"/>
    <x v="0"/>
    <x v="0"/>
  </r>
  <r>
    <x v="380"/>
    <x v="1"/>
    <x v="1"/>
    <x v="0"/>
    <x v="0"/>
    <x v="10"/>
    <x v="0"/>
    <x v="4"/>
    <x v="0"/>
    <x v="3"/>
    <x v="0"/>
    <x v="4"/>
    <x v="3"/>
    <x v="1"/>
    <x v="3"/>
    <x v="0"/>
    <x v="0"/>
    <x v="0"/>
    <x v="0"/>
    <x v="0"/>
    <x v="0"/>
  </r>
  <r>
    <x v="381"/>
    <x v="0"/>
    <x v="0"/>
    <x v="1"/>
    <x v="1"/>
    <x v="10"/>
    <x v="0"/>
    <x v="2"/>
    <x v="1"/>
    <x v="3"/>
    <x v="1"/>
    <x v="1"/>
    <x v="1"/>
    <x v="1"/>
    <x v="3"/>
    <x v="0"/>
    <x v="0"/>
    <x v="1"/>
    <x v="0"/>
    <x v="0"/>
    <x v="0"/>
  </r>
  <r>
    <x v="382"/>
    <x v="0"/>
    <x v="0"/>
    <x v="1"/>
    <x v="1"/>
    <x v="10"/>
    <x v="0"/>
    <x v="4"/>
    <x v="0"/>
    <x v="3"/>
    <x v="1"/>
    <x v="3"/>
    <x v="0"/>
    <x v="1"/>
    <x v="3"/>
    <x v="0"/>
    <x v="0"/>
    <x v="0"/>
    <x v="0"/>
    <x v="0"/>
    <x v="0"/>
  </r>
  <r>
    <x v="383"/>
    <x v="0"/>
    <x v="0"/>
    <x v="0"/>
    <x v="0"/>
    <x v="10"/>
    <x v="0"/>
    <x v="2"/>
    <x v="1"/>
    <x v="3"/>
    <x v="1"/>
    <x v="1"/>
    <x v="1"/>
    <x v="1"/>
    <x v="24"/>
    <x v="0"/>
    <x v="0"/>
    <x v="1"/>
    <x v="0"/>
    <x v="0"/>
    <x v="0"/>
  </r>
  <r>
    <x v="384"/>
    <x v="0"/>
    <x v="0"/>
    <x v="0"/>
    <x v="0"/>
    <x v="10"/>
    <x v="0"/>
    <x v="2"/>
    <x v="1"/>
    <x v="3"/>
    <x v="1"/>
    <x v="1"/>
    <x v="4"/>
    <x v="1"/>
    <x v="24"/>
    <x v="0"/>
    <x v="0"/>
    <x v="0"/>
    <x v="0"/>
    <x v="0"/>
    <x v="0"/>
  </r>
  <r>
    <x v="385"/>
    <x v="0"/>
    <x v="0"/>
    <x v="1"/>
    <x v="1"/>
    <x v="10"/>
    <x v="0"/>
    <x v="2"/>
    <x v="1"/>
    <x v="0"/>
    <x v="1"/>
    <x v="1"/>
    <x v="4"/>
    <x v="1"/>
    <x v="24"/>
    <x v="0"/>
    <x v="0"/>
    <x v="0"/>
    <x v="0"/>
    <x v="0"/>
    <x v="0"/>
  </r>
  <r>
    <x v="386"/>
    <x v="0"/>
    <x v="0"/>
    <x v="0"/>
    <x v="0"/>
    <x v="10"/>
    <x v="0"/>
    <x v="2"/>
    <x v="1"/>
    <x v="0"/>
    <x v="0"/>
    <x v="1"/>
    <x v="1"/>
    <x v="1"/>
    <x v="32"/>
    <x v="0"/>
    <x v="0"/>
    <x v="0"/>
    <x v="0"/>
    <x v="0"/>
    <x v="0"/>
  </r>
  <r>
    <x v="387"/>
    <x v="1"/>
    <x v="1"/>
    <x v="0"/>
    <x v="0"/>
    <x v="10"/>
    <x v="0"/>
    <x v="2"/>
    <x v="1"/>
    <x v="3"/>
    <x v="1"/>
    <x v="1"/>
    <x v="3"/>
    <x v="1"/>
    <x v="32"/>
    <x v="0"/>
    <x v="0"/>
    <x v="1"/>
    <x v="0"/>
    <x v="0"/>
    <x v="0"/>
  </r>
  <r>
    <x v="388"/>
    <x v="0"/>
    <x v="0"/>
    <x v="1"/>
    <x v="1"/>
    <x v="10"/>
    <x v="0"/>
    <x v="2"/>
    <x v="1"/>
    <x v="0"/>
    <x v="1"/>
    <x v="1"/>
    <x v="1"/>
    <x v="1"/>
    <x v="32"/>
    <x v="0"/>
    <x v="0"/>
    <x v="1"/>
    <x v="0"/>
    <x v="0"/>
    <x v="0"/>
  </r>
  <r>
    <x v="389"/>
    <x v="0"/>
    <x v="0"/>
    <x v="1"/>
    <x v="1"/>
    <x v="10"/>
    <x v="0"/>
    <x v="2"/>
    <x v="1"/>
    <x v="0"/>
    <x v="1"/>
    <x v="1"/>
    <x v="1"/>
    <x v="1"/>
    <x v="32"/>
    <x v="0"/>
    <x v="0"/>
    <x v="0"/>
    <x v="0"/>
    <x v="0"/>
    <x v="0"/>
  </r>
  <r>
    <x v="390"/>
    <x v="1"/>
    <x v="1"/>
    <x v="1"/>
    <x v="1"/>
    <x v="10"/>
    <x v="0"/>
    <x v="2"/>
    <x v="1"/>
    <x v="0"/>
    <x v="1"/>
    <x v="1"/>
    <x v="4"/>
    <x v="1"/>
    <x v="32"/>
    <x v="0"/>
    <x v="0"/>
    <x v="0"/>
    <x v="0"/>
    <x v="0"/>
    <x v="0"/>
  </r>
  <r>
    <x v="391"/>
    <x v="0"/>
    <x v="0"/>
    <x v="0"/>
    <x v="0"/>
    <x v="10"/>
    <x v="0"/>
    <x v="2"/>
    <x v="1"/>
    <x v="0"/>
    <x v="1"/>
    <x v="1"/>
    <x v="4"/>
    <x v="1"/>
    <x v="9"/>
    <x v="0"/>
    <x v="0"/>
    <x v="0"/>
    <x v="0"/>
    <x v="0"/>
    <x v="0"/>
  </r>
  <r>
    <x v="392"/>
    <x v="1"/>
    <x v="1"/>
    <x v="0"/>
    <x v="0"/>
    <x v="10"/>
    <x v="0"/>
    <x v="2"/>
    <x v="1"/>
    <x v="0"/>
    <x v="1"/>
    <x v="1"/>
    <x v="4"/>
    <x v="1"/>
    <x v="9"/>
    <x v="0"/>
    <x v="0"/>
    <x v="0"/>
    <x v="0"/>
    <x v="0"/>
    <x v="0"/>
  </r>
  <r>
    <x v="393"/>
    <x v="1"/>
    <x v="1"/>
    <x v="0"/>
    <x v="0"/>
    <x v="10"/>
    <x v="0"/>
    <x v="2"/>
    <x v="1"/>
    <x v="0"/>
    <x v="1"/>
    <x v="1"/>
    <x v="4"/>
    <x v="1"/>
    <x v="9"/>
    <x v="0"/>
    <x v="0"/>
    <x v="0"/>
    <x v="0"/>
    <x v="0"/>
    <x v="0"/>
  </r>
  <r>
    <x v="394"/>
    <x v="1"/>
    <x v="1"/>
    <x v="0"/>
    <x v="0"/>
    <x v="10"/>
    <x v="0"/>
    <x v="3"/>
    <x v="3"/>
    <x v="3"/>
    <x v="0"/>
    <x v="1"/>
    <x v="1"/>
    <x v="1"/>
    <x v="9"/>
    <x v="0"/>
    <x v="0"/>
    <x v="0"/>
    <x v="0"/>
    <x v="0"/>
    <x v="0"/>
  </r>
  <r>
    <x v="395"/>
    <x v="0"/>
    <x v="0"/>
    <x v="1"/>
    <x v="1"/>
    <x v="10"/>
    <x v="0"/>
    <x v="2"/>
    <x v="1"/>
    <x v="0"/>
    <x v="1"/>
    <x v="1"/>
    <x v="4"/>
    <x v="1"/>
    <x v="9"/>
    <x v="0"/>
    <x v="0"/>
    <x v="1"/>
    <x v="0"/>
    <x v="0"/>
    <x v="0"/>
  </r>
  <r>
    <x v="396"/>
    <x v="1"/>
    <x v="1"/>
    <x v="1"/>
    <x v="1"/>
    <x v="10"/>
    <x v="0"/>
    <x v="3"/>
    <x v="3"/>
    <x v="3"/>
    <x v="1"/>
    <x v="1"/>
    <x v="4"/>
    <x v="1"/>
    <x v="9"/>
    <x v="0"/>
    <x v="0"/>
    <x v="0"/>
    <x v="0"/>
    <x v="0"/>
    <x v="0"/>
  </r>
  <r>
    <x v="397"/>
    <x v="0"/>
    <x v="0"/>
    <x v="0"/>
    <x v="0"/>
    <x v="10"/>
    <x v="0"/>
    <x v="2"/>
    <x v="1"/>
    <x v="0"/>
    <x v="1"/>
    <x v="1"/>
    <x v="4"/>
    <x v="1"/>
    <x v="5"/>
    <x v="0"/>
    <x v="0"/>
    <x v="0"/>
    <x v="0"/>
    <x v="0"/>
    <x v="0"/>
  </r>
  <r>
    <x v="398"/>
    <x v="1"/>
    <x v="1"/>
    <x v="0"/>
    <x v="0"/>
    <x v="10"/>
    <x v="0"/>
    <x v="3"/>
    <x v="3"/>
    <x v="0"/>
    <x v="1"/>
    <x v="4"/>
    <x v="4"/>
    <x v="2"/>
    <x v="5"/>
    <x v="0"/>
    <x v="0"/>
    <x v="0"/>
    <x v="0"/>
    <x v="0"/>
    <x v="0"/>
  </r>
  <r>
    <x v="399"/>
    <x v="0"/>
    <x v="0"/>
    <x v="1"/>
    <x v="1"/>
    <x v="10"/>
    <x v="0"/>
    <x v="3"/>
    <x v="3"/>
    <x v="0"/>
    <x v="1"/>
    <x v="4"/>
    <x v="4"/>
    <x v="2"/>
    <x v="5"/>
    <x v="0"/>
    <x v="0"/>
    <x v="1"/>
    <x v="0"/>
    <x v="0"/>
    <x v="0"/>
  </r>
  <r>
    <x v="400"/>
    <x v="1"/>
    <x v="1"/>
    <x v="1"/>
    <x v="1"/>
    <x v="10"/>
    <x v="0"/>
    <x v="3"/>
    <x v="3"/>
    <x v="0"/>
    <x v="0"/>
    <x v="4"/>
    <x v="1"/>
    <x v="2"/>
    <x v="5"/>
    <x v="0"/>
    <x v="0"/>
    <x v="0"/>
    <x v="0"/>
    <x v="0"/>
    <x v="0"/>
  </r>
  <r>
    <x v="401"/>
    <x v="1"/>
    <x v="1"/>
    <x v="0"/>
    <x v="0"/>
    <x v="10"/>
    <x v="0"/>
    <x v="4"/>
    <x v="1"/>
    <x v="0"/>
    <x v="1"/>
    <x v="4"/>
    <x v="4"/>
    <x v="1"/>
    <x v="10"/>
    <x v="0"/>
    <x v="0"/>
    <x v="0"/>
    <x v="0"/>
    <x v="0"/>
    <x v="0"/>
  </r>
  <r>
    <x v="402"/>
    <x v="1"/>
    <x v="1"/>
    <x v="0"/>
    <x v="0"/>
    <x v="10"/>
    <x v="0"/>
    <x v="3"/>
    <x v="3"/>
    <x v="0"/>
    <x v="0"/>
    <x v="4"/>
    <x v="1"/>
    <x v="2"/>
    <x v="10"/>
    <x v="0"/>
    <x v="0"/>
    <x v="0"/>
    <x v="0"/>
    <x v="0"/>
    <x v="0"/>
  </r>
  <r>
    <x v="403"/>
    <x v="0"/>
    <x v="0"/>
    <x v="1"/>
    <x v="1"/>
    <x v="10"/>
    <x v="0"/>
    <x v="3"/>
    <x v="3"/>
    <x v="3"/>
    <x v="1"/>
    <x v="1"/>
    <x v="1"/>
    <x v="1"/>
    <x v="10"/>
    <x v="0"/>
    <x v="0"/>
    <x v="0"/>
    <x v="0"/>
    <x v="0"/>
    <x v="0"/>
  </r>
  <r>
    <x v="404"/>
    <x v="0"/>
    <x v="0"/>
    <x v="1"/>
    <x v="1"/>
    <x v="10"/>
    <x v="0"/>
    <x v="3"/>
    <x v="3"/>
    <x v="0"/>
    <x v="1"/>
    <x v="4"/>
    <x v="4"/>
    <x v="2"/>
    <x v="10"/>
    <x v="0"/>
    <x v="0"/>
    <x v="0"/>
    <x v="0"/>
    <x v="0"/>
    <x v="0"/>
  </r>
  <r>
    <x v="405"/>
    <x v="1"/>
    <x v="1"/>
    <x v="1"/>
    <x v="1"/>
    <x v="10"/>
    <x v="0"/>
    <x v="3"/>
    <x v="3"/>
    <x v="0"/>
    <x v="1"/>
    <x v="4"/>
    <x v="4"/>
    <x v="2"/>
    <x v="10"/>
    <x v="0"/>
    <x v="0"/>
    <x v="0"/>
    <x v="0"/>
    <x v="0"/>
    <x v="0"/>
  </r>
  <r>
    <x v="406"/>
    <x v="0"/>
    <x v="0"/>
    <x v="0"/>
    <x v="0"/>
    <x v="10"/>
    <x v="0"/>
    <x v="4"/>
    <x v="1"/>
    <x v="0"/>
    <x v="1"/>
    <x v="1"/>
    <x v="1"/>
    <x v="1"/>
    <x v="25"/>
    <x v="0"/>
    <x v="0"/>
    <x v="1"/>
    <x v="0"/>
    <x v="0"/>
    <x v="0"/>
  </r>
  <r>
    <x v="407"/>
    <x v="1"/>
    <x v="1"/>
    <x v="0"/>
    <x v="0"/>
    <x v="10"/>
    <x v="0"/>
    <x v="4"/>
    <x v="1"/>
    <x v="3"/>
    <x v="1"/>
    <x v="1"/>
    <x v="1"/>
    <x v="1"/>
    <x v="25"/>
    <x v="0"/>
    <x v="0"/>
    <x v="1"/>
    <x v="0"/>
    <x v="0"/>
    <x v="0"/>
  </r>
  <r>
    <x v="408"/>
    <x v="1"/>
    <x v="1"/>
    <x v="0"/>
    <x v="0"/>
    <x v="10"/>
    <x v="0"/>
    <x v="3"/>
    <x v="3"/>
    <x v="0"/>
    <x v="0"/>
    <x v="4"/>
    <x v="1"/>
    <x v="2"/>
    <x v="25"/>
    <x v="0"/>
    <x v="0"/>
    <x v="0"/>
    <x v="0"/>
    <x v="0"/>
    <x v="0"/>
  </r>
  <r>
    <x v="409"/>
    <x v="0"/>
    <x v="0"/>
    <x v="1"/>
    <x v="1"/>
    <x v="10"/>
    <x v="0"/>
    <x v="4"/>
    <x v="1"/>
    <x v="3"/>
    <x v="1"/>
    <x v="1"/>
    <x v="3"/>
    <x v="1"/>
    <x v="25"/>
    <x v="0"/>
    <x v="0"/>
    <x v="0"/>
    <x v="0"/>
    <x v="0"/>
    <x v="0"/>
  </r>
  <r>
    <x v="410"/>
    <x v="0"/>
    <x v="0"/>
    <x v="1"/>
    <x v="1"/>
    <x v="10"/>
    <x v="0"/>
    <x v="4"/>
    <x v="1"/>
    <x v="0"/>
    <x v="0"/>
    <x v="1"/>
    <x v="1"/>
    <x v="1"/>
    <x v="25"/>
    <x v="0"/>
    <x v="0"/>
    <x v="1"/>
    <x v="0"/>
    <x v="0"/>
    <x v="0"/>
  </r>
  <r>
    <x v="411"/>
    <x v="0"/>
    <x v="0"/>
    <x v="0"/>
    <x v="0"/>
    <x v="10"/>
    <x v="0"/>
    <x v="4"/>
    <x v="1"/>
    <x v="0"/>
    <x v="1"/>
    <x v="1"/>
    <x v="1"/>
    <x v="1"/>
    <x v="11"/>
    <x v="0"/>
    <x v="0"/>
    <x v="1"/>
    <x v="0"/>
    <x v="0"/>
    <x v="0"/>
  </r>
  <r>
    <x v="412"/>
    <x v="0"/>
    <x v="0"/>
    <x v="0"/>
    <x v="0"/>
    <x v="10"/>
    <x v="0"/>
    <x v="4"/>
    <x v="1"/>
    <x v="0"/>
    <x v="1"/>
    <x v="1"/>
    <x v="1"/>
    <x v="1"/>
    <x v="11"/>
    <x v="0"/>
    <x v="0"/>
    <x v="1"/>
    <x v="0"/>
    <x v="0"/>
    <x v="0"/>
  </r>
  <r>
    <x v="413"/>
    <x v="0"/>
    <x v="0"/>
    <x v="0"/>
    <x v="0"/>
    <x v="10"/>
    <x v="0"/>
    <x v="3"/>
    <x v="1"/>
    <x v="0"/>
    <x v="1"/>
    <x v="1"/>
    <x v="4"/>
    <x v="1"/>
    <x v="11"/>
    <x v="0"/>
    <x v="0"/>
    <x v="0"/>
    <x v="0"/>
    <x v="0"/>
    <x v="0"/>
  </r>
  <r>
    <x v="414"/>
    <x v="1"/>
    <x v="1"/>
    <x v="0"/>
    <x v="0"/>
    <x v="10"/>
    <x v="0"/>
    <x v="5"/>
    <x v="3"/>
    <x v="3"/>
    <x v="1"/>
    <x v="1"/>
    <x v="4"/>
    <x v="1"/>
    <x v="11"/>
    <x v="0"/>
    <x v="0"/>
    <x v="0"/>
    <x v="0"/>
    <x v="0"/>
    <x v="0"/>
  </r>
  <r>
    <x v="415"/>
    <x v="1"/>
    <x v="1"/>
    <x v="0"/>
    <x v="0"/>
    <x v="10"/>
    <x v="0"/>
    <x v="5"/>
    <x v="3"/>
    <x v="3"/>
    <x v="1"/>
    <x v="4"/>
    <x v="4"/>
    <x v="1"/>
    <x v="11"/>
    <x v="0"/>
    <x v="0"/>
    <x v="0"/>
    <x v="0"/>
    <x v="0"/>
    <x v="0"/>
  </r>
  <r>
    <x v="416"/>
    <x v="1"/>
    <x v="1"/>
    <x v="0"/>
    <x v="0"/>
    <x v="10"/>
    <x v="0"/>
    <x v="4"/>
    <x v="1"/>
    <x v="3"/>
    <x v="0"/>
    <x v="1"/>
    <x v="1"/>
    <x v="1"/>
    <x v="11"/>
    <x v="0"/>
    <x v="0"/>
    <x v="1"/>
    <x v="0"/>
    <x v="0"/>
    <x v="0"/>
  </r>
  <r>
    <x v="417"/>
    <x v="0"/>
    <x v="0"/>
    <x v="0"/>
    <x v="0"/>
    <x v="10"/>
    <x v="0"/>
    <x v="1"/>
    <x v="3"/>
    <x v="3"/>
    <x v="1"/>
    <x v="0"/>
    <x v="2"/>
    <x v="1"/>
    <x v="12"/>
    <x v="0"/>
    <x v="0"/>
    <x v="1"/>
    <x v="0"/>
    <x v="0"/>
    <x v="0"/>
  </r>
  <r>
    <x v="418"/>
    <x v="1"/>
    <x v="1"/>
    <x v="0"/>
    <x v="0"/>
    <x v="10"/>
    <x v="0"/>
    <x v="0"/>
    <x v="3"/>
    <x v="3"/>
    <x v="1"/>
    <x v="3"/>
    <x v="4"/>
    <x v="1"/>
    <x v="12"/>
    <x v="0"/>
    <x v="0"/>
    <x v="0"/>
    <x v="0"/>
    <x v="0"/>
    <x v="0"/>
  </r>
  <r>
    <x v="419"/>
    <x v="1"/>
    <x v="1"/>
    <x v="0"/>
    <x v="0"/>
    <x v="10"/>
    <x v="0"/>
    <x v="0"/>
    <x v="3"/>
    <x v="3"/>
    <x v="0"/>
    <x v="3"/>
    <x v="1"/>
    <x v="1"/>
    <x v="12"/>
    <x v="0"/>
    <x v="0"/>
    <x v="0"/>
    <x v="0"/>
    <x v="0"/>
    <x v="0"/>
  </r>
  <r>
    <x v="420"/>
    <x v="1"/>
    <x v="1"/>
    <x v="1"/>
    <x v="1"/>
    <x v="10"/>
    <x v="0"/>
    <x v="0"/>
    <x v="3"/>
    <x v="0"/>
    <x v="1"/>
    <x v="0"/>
    <x v="2"/>
    <x v="2"/>
    <x v="12"/>
    <x v="0"/>
    <x v="0"/>
    <x v="1"/>
    <x v="0"/>
    <x v="0"/>
    <x v="0"/>
  </r>
  <r>
    <x v="421"/>
    <x v="0"/>
    <x v="0"/>
    <x v="0"/>
    <x v="0"/>
    <x v="10"/>
    <x v="0"/>
    <x v="5"/>
    <x v="1"/>
    <x v="0"/>
    <x v="1"/>
    <x v="1"/>
    <x v="4"/>
    <x v="1"/>
    <x v="13"/>
    <x v="0"/>
    <x v="0"/>
    <x v="0"/>
    <x v="0"/>
    <x v="0"/>
    <x v="0"/>
  </r>
  <r>
    <x v="422"/>
    <x v="0"/>
    <x v="0"/>
    <x v="0"/>
    <x v="0"/>
    <x v="10"/>
    <x v="0"/>
    <x v="0"/>
    <x v="3"/>
    <x v="3"/>
    <x v="0"/>
    <x v="3"/>
    <x v="1"/>
    <x v="1"/>
    <x v="13"/>
    <x v="0"/>
    <x v="0"/>
    <x v="1"/>
    <x v="0"/>
    <x v="0"/>
    <x v="0"/>
  </r>
  <r>
    <x v="423"/>
    <x v="1"/>
    <x v="1"/>
    <x v="0"/>
    <x v="0"/>
    <x v="10"/>
    <x v="0"/>
    <x v="0"/>
    <x v="3"/>
    <x v="3"/>
    <x v="1"/>
    <x v="3"/>
    <x v="4"/>
    <x v="1"/>
    <x v="13"/>
    <x v="0"/>
    <x v="0"/>
    <x v="0"/>
    <x v="0"/>
    <x v="0"/>
    <x v="0"/>
  </r>
  <r>
    <x v="424"/>
    <x v="1"/>
    <x v="1"/>
    <x v="0"/>
    <x v="0"/>
    <x v="10"/>
    <x v="0"/>
    <x v="0"/>
    <x v="3"/>
    <x v="3"/>
    <x v="0"/>
    <x v="3"/>
    <x v="1"/>
    <x v="1"/>
    <x v="13"/>
    <x v="0"/>
    <x v="0"/>
    <x v="1"/>
    <x v="0"/>
    <x v="0"/>
    <x v="0"/>
  </r>
  <r>
    <x v="425"/>
    <x v="1"/>
    <x v="1"/>
    <x v="0"/>
    <x v="0"/>
    <x v="10"/>
    <x v="0"/>
    <x v="0"/>
    <x v="3"/>
    <x v="3"/>
    <x v="0"/>
    <x v="3"/>
    <x v="1"/>
    <x v="1"/>
    <x v="13"/>
    <x v="0"/>
    <x v="0"/>
    <x v="1"/>
    <x v="0"/>
    <x v="0"/>
    <x v="0"/>
  </r>
  <r>
    <x v="426"/>
    <x v="0"/>
    <x v="0"/>
    <x v="1"/>
    <x v="1"/>
    <x v="10"/>
    <x v="0"/>
    <x v="0"/>
    <x v="3"/>
    <x v="3"/>
    <x v="1"/>
    <x v="0"/>
    <x v="0"/>
    <x v="1"/>
    <x v="13"/>
    <x v="0"/>
    <x v="0"/>
    <x v="1"/>
    <x v="0"/>
    <x v="0"/>
    <x v="0"/>
  </r>
  <r>
    <x v="427"/>
    <x v="0"/>
    <x v="0"/>
    <x v="1"/>
    <x v="1"/>
    <x v="10"/>
    <x v="0"/>
    <x v="0"/>
    <x v="3"/>
    <x v="3"/>
    <x v="0"/>
    <x v="0"/>
    <x v="2"/>
    <x v="1"/>
    <x v="13"/>
    <x v="0"/>
    <x v="0"/>
    <x v="1"/>
    <x v="0"/>
    <x v="0"/>
    <x v="0"/>
  </r>
  <r>
    <x v="428"/>
    <x v="0"/>
    <x v="0"/>
    <x v="0"/>
    <x v="0"/>
    <x v="10"/>
    <x v="0"/>
    <x v="5"/>
    <x v="1"/>
    <x v="0"/>
    <x v="1"/>
    <x v="1"/>
    <x v="4"/>
    <x v="1"/>
    <x v="26"/>
    <x v="0"/>
    <x v="0"/>
    <x v="0"/>
    <x v="0"/>
    <x v="0"/>
    <x v="0"/>
  </r>
  <r>
    <x v="429"/>
    <x v="1"/>
    <x v="1"/>
    <x v="0"/>
    <x v="0"/>
    <x v="10"/>
    <x v="0"/>
    <x v="5"/>
    <x v="1"/>
    <x v="0"/>
    <x v="1"/>
    <x v="1"/>
    <x v="4"/>
    <x v="1"/>
    <x v="26"/>
    <x v="0"/>
    <x v="0"/>
    <x v="0"/>
    <x v="0"/>
    <x v="0"/>
    <x v="0"/>
  </r>
  <r>
    <x v="430"/>
    <x v="0"/>
    <x v="0"/>
    <x v="1"/>
    <x v="1"/>
    <x v="10"/>
    <x v="0"/>
    <x v="0"/>
    <x v="3"/>
    <x v="0"/>
    <x v="1"/>
    <x v="3"/>
    <x v="4"/>
    <x v="1"/>
    <x v="26"/>
    <x v="0"/>
    <x v="0"/>
    <x v="0"/>
    <x v="0"/>
    <x v="0"/>
    <x v="0"/>
  </r>
  <r>
    <x v="431"/>
    <x v="0"/>
    <x v="0"/>
    <x v="1"/>
    <x v="1"/>
    <x v="10"/>
    <x v="0"/>
    <x v="5"/>
    <x v="3"/>
    <x v="0"/>
    <x v="1"/>
    <x v="3"/>
    <x v="0"/>
    <x v="2"/>
    <x v="26"/>
    <x v="0"/>
    <x v="0"/>
    <x v="1"/>
    <x v="0"/>
    <x v="0"/>
    <x v="0"/>
  </r>
  <r>
    <x v="432"/>
    <x v="0"/>
    <x v="0"/>
    <x v="1"/>
    <x v="1"/>
    <x v="10"/>
    <x v="0"/>
    <x v="2"/>
    <x v="0"/>
    <x v="3"/>
    <x v="1"/>
    <x v="4"/>
    <x v="0"/>
    <x v="2"/>
    <x v="26"/>
    <x v="0"/>
    <x v="0"/>
    <x v="0"/>
    <x v="0"/>
    <x v="0"/>
    <x v="0"/>
  </r>
  <r>
    <x v="433"/>
    <x v="0"/>
    <x v="0"/>
    <x v="1"/>
    <x v="1"/>
    <x v="10"/>
    <x v="0"/>
    <x v="2"/>
    <x v="3"/>
    <x v="0"/>
    <x v="1"/>
    <x v="4"/>
    <x v="0"/>
    <x v="2"/>
    <x v="26"/>
    <x v="0"/>
    <x v="0"/>
    <x v="0"/>
    <x v="0"/>
    <x v="0"/>
    <x v="0"/>
  </r>
  <r>
    <x v="434"/>
    <x v="1"/>
    <x v="1"/>
    <x v="1"/>
    <x v="1"/>
    <x v="10"/>
    <x v="0"/>
    <x v="0"/>
    <x v="3"/>
    <x v="0"/>
    <x v="1"/>
    <x v="3"/>
    <x v="4"/>
    <x v="1"/>
    <x v="26"/>
    <x v="0"/>
    <x v="0"/>
    <x v="0"/>
    <x v="0"/>
    <x v="0"/>
    <x v="0"/>
  </r>
  <r>
    <x v="435"/>
    <x v="1"/>
    <x v="1"/>
    <x v="1"/>
    <x v="1"/>
    <x v="10"/>
    <x v="0"/>
    <x v="5"/>
    <x v="3"/>
    <x v="0"/>
    <x v="0"/>
    <x v="3"/>
    <x v="1"/>
    <x v="2"/>
    <x v="26"/>
    <x v="0"/>
    <x v="0"/>
    <x v="0"/>
    <x v="0"/>
    <x v="0"/>
    <x v="0"/>
  </r>
  <r>
    <x v="436"/>
    <x v="1"/>
    <x v="1"/>
    <x v="0"/>
    <x v="0"/>
    <x v="10"/>
    <x v="0"/>
    <x v="2"/>
    <x v="3"/>
    <x v="0"/>
    <x v="1"/>
    <x v="4"/>
    <x v="0"/>
    <x v="2"/>
    <x v="6"/>
    <x v="0"/>
    <x v="0"/>
    <x v="0"/>
    <x v="0"/>
    <x v="0"/>
    <x v="0"/>
  </r>
  <r>
    <x v="437"/>
    <x v="1"/>
    <x v="1"/>
    <x v="0"/>
    <x v="0"/>
    <x v="10"/>
    <x v="0"/>
    <x v="2"/>
    <x v="3"/>
    <x v="0"/>
    <x v="0"/>
    <x v="4"/>
    <x v="1"/>
    <x v="1"/>
    <x v="6"/>
    <x v="0"/>
    <x v="0"/>
    <x v="0"/>
    <x v="0"/>
    <x v="0"/>
    <x v="0"/>
  </r>
  <r>
    <x v="438"/>
    <x v="0"/>
    <x v="0"/>
    <x v="1"/>
    <x v="1"/>
    <x v="10"/>
    <x v="0"/>
    <x v="2"/>
    <x v="0"/>
    <x v="3"/>
    <x v="1"/>
    <x v="4"/>
    <x v="4"/>
    <x v="1"/>
    <x v="6"/>
    <x v="0"/>
    <x v="0"/>
    <x v="1"/>
    <x v="0"/>
    <x v="0"/>
    <x v="0"/>
  </r>
  <r>
    <x v="439"/>
    <x v="0"/>
    <x v="0"/>
    <x v="0"/>
    <x v="0"/>
    <x v="10"/>
    <x v="0"/>
    <x v="2"/>
    <x v="0"/>
    <x v="3"/>
    <x v="1"/>
    <x v="4"/>
    <x v="0"/>
    <x v="2"/>
    <x v="14"/>
    <x v="0"/>
    <x v="0"/>
    <x v="1"/>
    <x v="0"/>
    <x v="0"/>
    <x v="0"/>
  </r>
  <r>
    <x v="440"/>
    <x v="0"/>
    <x v="0"/>
    <x v="0"/>
    <x v="0"/>
    <x v="10"/>
    <x v="0"/>
    <x v="2"/>
    <x v="0"/>
    <x v="3"/>
    <x v="1"/>
    <x v="4"/>
    <x v="4"/>
    <x v="1"/>
    <x v="14"/>
    <x v="0"/>
    <x v="0"/>
    <x v="0"/>
    <x v="0"/>
    <x v="0"/>
    <x v="0"/>
  </r>
  <r>
    <x v="441"/>
    <x v="0"/>
    <x v="0"/>
    <x v="0"/>
    <x v="0"/>
    <x v="10"/>
    <x v="0"/>
    <x v="2"/>
    <x v="0"/>
    <x v="3"/>
    <x v="1"/>
    <x v="4"/>
    <x v="1"/>
    <x v="1"/>
    <x v="14"/>
    <x v="0"/>
    <x v="0"/>
    <x v="0"/>
    <x v="0"/>
    <x v="0"/>
    <x v="0"/>
  </r>
  <r>
    <x v="442"/>
    <x v="0"/>
    <x v="0"/>
    <x v="0"/>
    <x v="0"/>
    <x v="10"/>
    <x v="0"/>
    <x v="2"/>
    <x v="0"/>
    <x v="3"/>
    <x v="1"/>
    <x v="4"/>
    <x v="1"/>
    <x v="1"/>
    <x v="14"/>
    <x v="0"/>
    <x v="0"/>
    <x v="0"/>
    <x v="0"/>
    <x v="0"/>
    <x v="0"/>
  </r>
  <r>
    <x v="443"/>
    <x v="1"/>
    <x v="1"/>
    <x v="0"/>
    <x v="0"/>
    <x v="10"/>
    <x v="0"/>
    <x v="2"/>
    <x v="0"/>
    <x v="3"/>
    <x v="0"/>
    <x v="4"/>
    <x v="1"/>
    <x v="2"/>
    <x v="14"/>
    <x v="0"/>
    <x v="0"/>
    <x v="0"/>
    <x v="0"/>
    <x v="0"/>
    <x v="0"/>
  </r>
  <r>
    <x v="444"/>
    <x v="0"/>
    <x v="0"/>
    <x v="1"/>
    <x v="1"/>
    <x v="10"/>
    <x v="0"/>
    <x v="2"/>
    <x v="0"/>
    <x v="3"/>
    <x v="1"/>
    <x v="4"/>
    <x v="1"/>
    <x v="2"/>
    <x v="14"/>
    <x v="0"/>
    <x v="0"/>
    <x v="0"/>
    <x v="0"/>
    <x v="0"/>
    <x v="0"/>
  </r>
  <r>
    <x v="445"/>
    <x v="0"/>
    <x v="0"/>
    <x v="1"/>
    <x v="1"/>
    <x v="10"/>
    <x v="0"/>
    <x v="2"/>
    <x v="0"/>
    <x v="3"/>
    <x v="1"/>
    <x v="4"/>
    <x v="4"/>
    <x v="1"/>
    <x v="14"/>
    <x v="0"/>
    <x v="0"/>
    <x v="0"/>
    <x v="0"/>
    <x v="0"/>
    <x v="0"/>
  </r>
  <r>
    <x v="446"/>
    <x v="1"/>
    <x v="1"/>
    <x v="1"/>
    <x v="1"/>
    <x v="10"/>
    <x v="0"/>
    <x v="2"/>
    <x v="0"/>
    <x v="3"/>
    <x v="0"/>
    <x v="4"/>
    <x v="1"/>
    <x v="2"/>
    <x v="14"/>
    <x v="0"/>
    <x v="0"/>
    <x v="0"/>
    <x v="0"/>
    <x v="0"/>
    <x v="0"/>
  </r>
  <r>
    <x v="447"/>
    <x v="1"/>
    <x v="1"/>
    <x v="1"/>
    <x v="1"/>
    <x v="10"/>
    <x v="0"/>
    <x v="2"/>
    <x v="0"/>
    <x v="3"/>
    <x v="1"/>
    <x v="4"/>
    <x v="0"/>
    <x v="2"/>
    <x v="14"/>
    <x v="0"/>
    <x v="0"/>
    <x v="1"/>
    <x v="0"/>
    <x v="0"/>
    <x v="0"/>
  </r>
  <r>
    <x v="448"/>
    <x v="0"/>
    <x v="0"/>
    <x v="0"/>
    <x v="0"/>
    <x v="10"/>
    <x v="0"/>
    <x v="2"/>
    <x v="0"/>
    <x v="3"/>
    <x v="1"/>
    <x v="4"/>
    <x v="4"/>
    <x v="1"/>
    <x v="27"/>
    <x v="0"/>
    <x v="0"/>
    <x v="0"/>
    <x v="0"/>
    <x v="0"/>
    <x v="0"/>
  </r>
  <r>
    <x v="449"/>
    <x v="0"/>
    <x v="0"/>
    <x v="0"/>
    <x v="0"/>
    <x v="10"/>
    <x v="0"/>
    <x v="2"/>
    <x v="0"/>
    <x v="3"/>
    <x v="1"/>
    <x v="4"/>
    <x v="0"/>
    <x v="2"/>
    <x v="27"/>
    <x v="0"/>
    <x v="0"/>
    <x v="0"/>
    <x v="0"/>
    <x v="0"/>
    <x v="0"/>
  </r>
  <r>
    <x v="450"/>
    <x v="1"/>
    <x v="1"/>
    <x v="0"/>
    <x v="0"/>
    <x v="10"/>
    <x v="0"/>
    <x v="2"/>
    <x v="0"/>
    <x v="3"/>
    <x v="0"/>
    <x v="4"/>
    <x v="1"/>
    <x v="2"/>
    <x v="27"/>
    <x v="0"/>
    <x v="0"/>
    <x v="0"/>
    <x v="0"/>
    <x v="0"/>
    <x v="0"/>
  </r>
  <r>
    <x v="451"/>
    <x v="1"/>
    <x v="1"/>
    <x v="0"/>
    <x v="0"/>
    <x v="10"/>
    <x v="0"/>
    <x v="2"/>
    <x v="0"/>
    <x v="3"/>
    <x v="1"/>
    <x v="4"/>
    <x v="0"/>
    <x v="2"/>
    <x v="27"/>
    <x v="0"/>
    <x v="0"/>
    <x v="0"/>
    <x v="0"/>
    <x v="0"/>
    <x v="0"/>
  </r>
  <r>
    <x v="452"/>
    <x v="0"/>
    <x v="0"/>
    <x v="1"/>
    <x v="1"/>
    <x v="10"/>
    <x v="0"/>
    <x v="0"/>
    <x v="3"/>
    <x v="0"/>
    <x v="1"/>
    <x v="1"/>
    <x v="4"/>
    <x v="1"/>
    <x v="27"/>
    <x v="0"/>
    <x v="0"/>
    <x v="1"/>
    <x v="0"/>
    <x v="0"/>
    <x v="0"/>
  </r>
  <r>
    <x v="453"/>
    <x v="0"/>
    <x v="0"/>
    <x v="1"/>
    <x v="1"/>
    <x v="10"/>
    <x v="0"/>
    <x v="2"/>
    <x v="0"/>
    <x v="3"/>
    <x v="1"/>
    <x v="4"/>
    <x v="1"/>
    <x v="1"/>
    <x v="27"/>
    <x v="0"/>
    <x v="0"/>
    <x v="1"/>
    <x v="0"/>
    <x v="0"/>
    <x v="0"/>
  </r>
  <r>
    <x v="454"/>
    <x v="0"/>
    <x v="0"/>
    <x v="1"/>
    <x v="1"/>
    <x v="10"/>
    <x v="0"/>
    <x v="2"/>
    <x v="0"/>
    <x v="3"/>
    <x v="1"/>
    <x v="4"/>
    <x v="0"/>
    <x v="2"/>
    <x v="27"/>
    <x v="0"/>
    <x v="0"/>
    <x v="1"/>
    <x v="0"/>
    <x v="0"/>
    <x v="0"/>
  </r>
  <r>
    <x v="455"/>
    <x v="0"/>
    <x v="0"/>
    <x v="0"/>
    <x v="0"/>
    <x v="10"/>
    <x v="0"/>
    <x v="2"/>
    <x v="3"/>
    <x v="0"/>
    <x v="1"/>
    <x v="4"/>
    <x v="1"/>
    <x v="1"/>
    <x v="4"/>
    <x v="0"/>
    <x v="0"/>
    <x v="0"/>
    <x v="0"/>
    <x v="0"/>
    <x v="0"/>
  </r>
  <r>
    <x v="456"/>
    <x v="1"/>
    <x v="1"/>
    <x v="0"/>
    <x v="0"/>
    <x v="10"/>
    <x v="0"/>
    <x v="0"/>
    <x v="1"/>
    <x v="3"/>
    <x v="0"/>
    <x v="1"/>
    <x v="1"/>
    <x v="1"/>
    <x v="4"/>
    <x v="0"/>
    <x v="0"/>
    <x v="0"/>
    <x v="0"/>
    <x v="0"/>
    <x v="0"/>
  </r>
  <r>
    <x v="457"/>
    <x v="1"/>
    <x v="1"/>
    <x v="0"/>
    <x v="0"/>
    <x v="10"/>
    <x v="0"/>
    <x v="0"/>
    <x v="1"/>
    <x v="3"/>
    <x v="0"/>
    <x v="1"/>
    <x v="3"/>
    <x v="1"/>
    <x v="4"/>
    <x v="0"/>
    <x v="0"/>
    <x v="1"/>
    <x v="0"/>
    <x v="0"/>
    <x v="0"/>
  </r>
  <r>
    <x v="458"/>
    <x v="0"/>
    <x v="0"/>
    <x v="1"/>
    <x v="1"/>
    <x v="10"/>
    <x v="0"/>
    <x v="2"/>
    <x v="0"/>
    <x v="3"/>
    <x v="0"/>
    <x v="4"/>
    <x v="1"/>
    <x v="1"/>
    <x v="4"/>
    <x v="0"/>
    <x v="0"/>
    <x v="1"/>
    <x v="0"/>
    <x v="0"/>
    <x v="0"/>
  </r>
  <r>
    <x v="459"/>
    <x v="0"/>
    <x v="0"/>
    <x v="1"/>
    <x v="1"/>
    <x v="10"/>
    <x v="0"/>
    <x v="0"/>
    <x v="1"/>
    <x v="3"/>
    <x v="1"/>
    <x v="1"/>
    <x v="3"/>
    <x v="1"/>
    <x v="4"/>
    <x v="0"/>
    <x v="0"/>
    <x v="0"/>
    <x v="0"/>
    <x v="0"/>
    <x v="0"/>
  </r>
  <r>
    <x v="460"/>
    <x v="0"/>
    <x v="0"/>
    <x v="1"/>
    <x v="1"/>
    <x v="10"/>
    <x v="0"/>
    <x v="0"/>
    <x v="1"/>
    <x v="3"/>
    <x v="0"/>
    <x v="1"/>
    <x v="1"/>
    <x v="1"/>
    <x v="4"/>
    <x v="0"/>
    <x v="0"/>
    <x v="1"/>
    <x v="0"/>
    <x v="0"/>
    <x v="0"/>
  </r>
  <r>
    <x v="461"/>
    <x v="0"/>
    <x v="0"/>
    <x v="1"/>
    <x v="1"/>
    <x v="10"/>
    <x v="0"/>
    <x v="1"/>
    <x v="3"/>
    <x v="0"/>
    <x v="1"/>
    <x v="4"/>
    <x v="4"/>
    <x v="1"/>
    <x v="4"/>
    <x v="0"/>
    <x v="0"/>
    <x v="1"/>
    <x v="0"/>
    <x v="0"/>
    <x v="0"/>
  </r>
  <r>
    <x v="462"/>
    <x v="0"/>
    <x v="0"/>
    <x v="1"/>
    <x v="1"/>
    <x v="10"/>
    <x v="0"/>
    <x v="1"/>
    <x v="3"/>
    <x v="0"/>
    <x v="1"/>
    <x v="4"/>
    <x v="4"/>
    <x v="1"/>
    <x v="4"/>
    <x v="0"/>
    <x v="0"/>
    <x v="1"/>
    <x v="0"/>
    <x v="0"/>
    <x v="0"/>
  </r>
  <r>
    <x v="463"/>
    <x v="1"/>
    <x v="1"/>
    <x v="1"/>
    <x v="1"/>
    <x v="10"/>
    <x v="0"/>
    <x v="0"/>
    <x v="1"/>
    <x v="3"/>
    <x v="1"/>
    <x v="1"/>
    <x v="3"/>
    <x v="1"/>
    <x v="4"/>
    <x v="0"/>
    <x v="0"/>
    <x v="0"/>
    <x v="0"/>
    <x v="0"/>
    <x v="0"/>
  </r>
  <r>
    <x v="464"/>
    <x v="1"/>
    <x v="1"/>
    <x v="1"/>
    <x v="1"/>
    <x v="10"/>
    <x v="0"/>
    <x v="5"/>
    <x v="3"/>
    <x v="0"/>
    <x v="0"/>
    <x v="1"/>
    <x v="1"/>
    <x v="1"/>
    <x v="4"/>
    <x v="0"/>
    <x v="0"/>
    <x v="0"/>
    <x v="0"/>
    <x v="0"/>
    <x v="0"/>
  </r>
  <r>
    <x v="465"/>
    <x v="1"/>
    <x v="1"/>
    <x v="1"/>
    <x v="1"/>
    <x v="10"/>
    <x v="0"/>
    <x v="5"/>
    <x v="3"/>
    <x v="0"/>
    <x v="0"/>
    <x v="4"/>
    <x v="1"/>
    <x v="1"/>
    <x v="4"/>
    <x v="0"/>
    <x v="0"/>
    <x v="0"/>
    <x v="0"/>
    <x v="0"/>
    <x v="0"/>
  </r>
  <r>
    <x v="466"/>
    <x v="0"/>
    <x v="0"/>
    <x v="0"/>
    <x v="0"/>
    <x v="10"/>
    <x v="0"/>
    <x v="5"/>
    <x v="3"/>
    <x v="0"/>
    <x v="1"/>
    <x v="4"/>
    <x v="1"/>
    <x v="1"/>
    <x v="0"/>
    <x v="0"/>
    <x v="0"/>
    <x v="0"/>
    <x v="0"/>
    <x v="0"/>
    <x v="0"/>
  </r>
  <r>
    <x v="467"/>
    <x v="0"/>
    <x v="0"/>
    <x v="0"/>
    <x v="0"/>
    <x v="10"/>
    <x v="0"/>
    <x v="2"/>
    <x v="3"/>
    <x v="0"/>
    <x v="1"/>
    <x v="4"/>
    <x v="4"/>
    <x v="1"/>
    <x v="0"/>
    <x v="0"/>
    <x v="0"/>
    <x v="0"/>
    <x v="0"/>
    <x v="0"/>
    <x v="0"/>
  </r>
  <r>
    <x v="468"/>
    <x v="0"/>
    <x v="0"/>
    <x v="1"/>
    <x v="1"/>
    <x v="10"/>
    <x v="0"/>
    <x v="2"/>
    <x v="3"/>
    <x v="0"/>
    <x v="1"/>
    <x v="4"/>
    <x v="1"/>
    <x v="1"/>
    <x v="0"/>
    <x v="0"/>
    <x v="0"/>
    <x v="0"/>
    <x v="0"/>
    <x v="0"/>
    <x v="0"/>
  </r>
  <r>
    <x v="469"/>
    <x v="0"/>
    <x v="0"/>
    <x v="1"/>
    <x v="1"/>
    <x v="10"/>
    <x v="0"/>
    <x v="3"/>
    <x v="2"/>
    <x v="0"/>
    <x v="0"/>
    <x v="3"/>
    <x v="3"/>
    <x v="1"/>
    <x v="0"/>
    <x v="0"/>
    <x v="0"/>
    <x v="0"/>
    <x v="0"/>
    <x v="0"/>
    <x v="0"/>
  </r>
  <r>
    <x v="470"/>
    <x v="0"/>
    <x v="0"/>
    <x v="1"/>
    <x v="1"/>
    <x v="10"/>
    <x v="0"/>
    <x v="3"/>
    <x v="2"/>
    <x v="0"/>
    <x v="1"/>
    <x v="3"/>
    <x v="0"/>
    <x v="1"/>
    <x v="0"/>
    <x v="0"/>
    <x v="0"/>
    <x v="1"/>
    <x v="0"/>
    <x v="0"/>
    <x v="0"/>
  </r>
  <r>
    <x v="471"/>
    <x v="0"/>
    <x v="0"/>
    <x v="1"/>
    <x v="1"/>
    <x v="10"/>
    <x v="0"/>
    <x v="3"/>
    <x v="2"/>
    <x v="0"/>
    <x v="0"/>
    <x v="3"/>
    <x v="3"/>
    <x v="1"/>
    <x v="0"/>
    <x v="0"/>
    <x v="0"/>
    <x v="0"/>
    <x v="0"/>
    <x v="0"/>
    <x v="0"/>
  </r>
  <r>
    <x v="472"/>
    <x v="0"/>
    <x v="0"/>
    <x v="0"/>
    <x v="0"/>
    <x v="10"/>
    <x v="0"/>
    <x v="3"/>
    <x v="2"/>
    <x v="0"/>
    <x v="1"/>
    <x v="3"/>
    <x v="0"/>
    <x v="1"/>
    <x v="36"/>
    <x v="0"/>
    <x v="0"/>
    <x v="1"/>
    <x v="0"/>
    <x v="0"/>
    <x v="0"/>
  </r>
  <r>
    <x v="473"/>
    <x v="0"/>
    <x v="0"/>
    <x v="1"/>
    <x v="1"/>
    <x v="10"/>
    <x v="0"/>
    <x v="3"/>
    <x v="2"/>
    <x v="0"/>
    <x v="0"/>
    <x v="3"/>
    <x v="3"/>
    <x v="1"/>
    <x v="36"/>
    <x v="0"/>
    <x v="0"/>
    <x v="0"/>
    <x v="0"/>
    <x v="0"/>
    <x v="0"/>
  </r>
  <r>
    <x v="474"/>
    <x v="0"/>
    <x v="0"/>
    <x v="0"/>
    <x v="0"/>
    <x v="10"/>
    <x v="0"/>
    <x v="3"/>
    <x v="2"/>
    <x v="0"/>
    <x v="1"/>
    <x v="3"/>
    <x v="0"/>
    <x v="1"/>
    <x v="15"/>
    <x v="0"/>
    <x v="0"/>
    <x v="1"/>
    <x v="0"/>
    <x v="0"/>
    <x v="0"/>
  </r>
  <r>
    <x v="475"/>
    <x v="0"/>
    <x v="0"/>
    <x v="1"/>
    <x v="1"/>
    <x v="10"/>
    <x v="0"/>
    <x v="3"/>
    <x v="2"/>
    <x v="0"/>
    <x v="0"/>
    <x v="3"/>
    <x v="0"/>
    <x v="1"/>
    <x v="15"/>
    <x v="0"/>
    <x v="0"/>
    <x v="1"/>
    <x v="0"/>
    <x v="0"/>
    <x v="0"/>
  </r>
  <r>
    <x v="476"/>
    <x v="0"/>
    <x v="0"/>
    <x v="1"/>
    <x v="1"/>
    <x v="10"/>
    <x v="0"/>
    <x v="3"/>
    <x v="2"/>
    <x v="0"/>
    <x v="1"/>
    <x v="3"/>
    <x v="0"/>
    <x v="1"/>
    <x v="15"/>
    <x v="0"/>
    <x v="0"/>
    <x v="1"/>
    <x v="0"/>
    <x v="0"/>
    <x v="0"/>
  </r>
  <r>
    <x v="477"/>
    <x v="1"/>
    <x v="1"/>
    <x v="0"/>
    <x v="0"/>
    <x v="10"/>
    <x v="0"/>
    <x v="3"/>
    <x v="4"/>
    <x v="3"/>
    <x v="0"/>
    <x v="3"/>
    <x v="3"/>
    <x v="1"/>
    <x v="7"/>
    <x v="0"/>
    <x v="1"/>
    <x v="1"/>
    <x v="0"/>
    <x v="0"/>
    <x v="0"/>
  </r>
  <r>
    <x v="478"/>
    <x v="0"/>
    <x v="0"/>
    <x v="1"/>
    <x v="1"/>
    <x v="10"/>
    <x v="0"/>
    <x v="3"/>
    <x v="2"/>
    <x v="0"/>
    <x v="0"/>
    <x v="3"/>
    <x v="3"/>
    <x v="1"/>
    <x v="7"/>
    <x v="0"/>
    <x v="1"/>
    <x v="1"/>
    <x v="0"/>
    <x v="0"/>
    <x v="0"/>
  </r>
  <r>
    <x v="479"/>
    <x v="0"/>
    <x v="0"/>
    <x v="1"/>
    <x v="1"/>
    <x v="10"/>
    <x v="0"/>
    <x v="3"/>
    <x v="2"/>
    <x v="0"/>
    <x v="0"/>
    <x v="3"/>
    <x v="0"/>
    <x v="1"/>
    <x v="7"/>
    <x v="0"/>
    <x v="1"/>
    <x v="1"/>
    <x v="0"/>
    <x v="0"/>
    <x v="0"/>
  </r>
  <r>
    <x v="480"/>
    <x v="1"/>
    <x v="1"/>
    <x v="1"/>
    <x v="1"/>
    <x v="10"/>
    <x v="0"/>
    <x v="3"/>
    <x v="2"/>
    <x v="0"/>
    <x v="1"/>
    <x v="3"/>
    <x v="0"/>
    <x v="1"/>
    <x v="7"/>
    <x v="0"/>
    <x v="1"/>
    <x v="1"/>
    <x v="0"/>
    <x v="0"/>
    <x v="0"/>
  </r>
  <r>
    <x v="481"/>
    <x v="0"/>
    <x v="0"/>
    <x v="1"/>
    <x v="1"/>
    <x v="10"/>
    <x v="0"/>
    <x v="5"/>
    <x v="4"/>
    <x v="3"/>
    <x v="1"/>
    <x v="3"/>
    <x v="0"/>
    <x v="1"/>
    <x v="16"/>
    <x v="0"/>
    <x v="1"/>
    <x v="0"/>
    <x v="0"/>
    <x v="0"/>
    <x v="0"/>
  </r>
  <r>
    <x v="482"/>
    <x v="1"/>
    <x v="1"/>
    <x v="1"/>
    <x v="1"/>
    <x v="10"/>
    <x v="0"/>
    <x v="3"/>
    <x v="4"/>
    <x v="3"/>
    <x v="1"/>
    <x v="3"/>
    <x v="0"/>
    <x v="1"/>
    <x v="16"/>
    <x v="0"/>
    <x v="1"/>
    <x v="0"/>
    <x v="0"/>
    <x v="0"/>
    <x v="0"/>
  </r>
  <r>
    <x v="483"/>
    <x v="1"/>
    <x v="1"/>
    <x v="0"/>
    <x v="0"/>
    <x v="10"/>
    <x v="0"/>
    <x v="5"/>
    <x v="1"/>
    <x v="1"/>
    <x v="1"/>
    <x v="3"/>
    <x v="0"/>
    <x v="1"/>
    <x v="31"/>
    <x v="0"/>
    <x v="1"/>
    <x v="0"/>
    <x v="0"/>
    <x v="0"/>
    <x v="0"/>
  </r>
  <r>
    <x v="484"/>
    <x v="0"/>
    <x v="0"/>
    <x v="1"/>
    <x v="1"/>
    <x v="10"/>
    <x v="0"/>
    <x v="5"/>
    <x v="2"/>
    <x v="0"/>
    <x v="0"/>
    <x v="3"/>
    <x v="4"/>
    <x v="1"/>
    <x v="31"/>
    <x v="0"/>
    <x v="1"/>
    <x v="1"/>
    <x v="0"/>
    <x v="0"/>
    <x v="0"/>
  </r>
  <r>
    <x v="485"/>
    <x v="1"/>
    <x v="1"/>
    <x v="1"/>
    <x v="1"/>
    <x v="10"/>
    <x v="0"/>
    <x v="5"/>
    <x v="2"/>
    <x v="0"/>
    <x v="1"/>
    <x v="3"/>
    <x v="2"/>
    <x v="1"/>
    <x v="31"/>
    <x v="0"/>
    <x v="1"/>
    <x v="0"/>
    <x v="0"/>
    <x v="0"/>
    <x v="0"/>
  </r>
  <r>
    <x v="486"/>
    <x v="0"/>
    <x v="0"/>
    <x v="1"/>
    <x v="1"/>
    <x v="10"/>
    <x v="0"/>
    <x v="3"/>
    <x v="2"/>
    <x v="0"/>
    <x v="1"/>
    <x v="3"/>
    <x v="4"/>
    <x v="1"/>
    <x v="17"/>
    <x v="0"/>
    <x v="1"/>
    <x v="0"/>
    <x v="0"/>
    <x v="0"/>
    <x v="0"/>
  </r>
  <r>
    <x v="487"/>
    <x v="1"/>
    <x v="1"/>
    <x v="1"/>
    <x v="1"/>
    <x v="10"/>
    <x v="0"/>
    <x v="5"/>
    <x v="2"/>
    <x v="0"/>
    <x v="1"/>
    <x v="3"/>
    <x v="2"/>
    <x v="1"/>
    <x v="17"/>
    <x v="0"/>
    <x v="1"/>
    <x v="0"/>
    <x v="0"/>
    <x v="0"/>
    <x v="0"/>
  </r>
  <r>
    <x v="488"/>
    <x v="0"/>
    <x v="0"/>
    <x v="0"/>
    <x v="0"/>
    <x v="10"/>
    <x v="0"/>
    <x v="3"/>
    <x v="0"/>
    <x v="0"/>
    <x v="1"/>
    <x v="4"/>
    <x v="2"/>
    <x v="1"/>
    <x v="1"/>
    <x v="0"/>
    <x v="1"/>
    <x v="1"/>
    <x v="0"/>
    <x v="0"/>
    <x v="0"/>
  </r>
  <r>
    <x v="489"/>
    <x v="0"/>
    <x v="0"/>
    <x v="0"/>
    <x v="0"/>
    <x v="10"/>
    <x v="0"/>
    <x v="3"/>
    <x v="0"/>
    <x v="0"/>
    <x v="1"/>
    <x v="4"/>
    <x v="2"/>
    <x v="1"/>
    <x v="1"/>
    <x v="0"/>
    <x v="1"/>
    <x v="1"/>
    <x v="0"/>
    <x v="0"/>
    <x v="0"/>
  </r>
  <r>
    <x v="490"/>
    <x v="0"/>
    <x v="0"/>
    <x v="1"/>
    <x v="1"/>
    <x v="10"/>
    <x v="0"/>
    <x v="3"/>
    <x v="2"/>
    <x v="0"/>
    <x v="1"/>
    <x v="3"/>
    <x v="2"/>
    <x v="1"/>
    <x v="1"/>
    <x v="0"/>
    <x v="1"/>
    <x v="1"/>
    <x v="0"/>
    <x v="0"/>
    <x v="0"/>
  </r>
  <r>
    <x v="491"/>
    <x v="0"/>
    <x v="0"/>
    <x v="1"/>
    <x v="1"/>
    <x v="10"/>
    <x v="0"/>
    <x v="3"/>
    <x v="0"/>
    <x v="0"/>
    <x v="1"/>
    <x v="3"/>
    <x v="2"/>
    <x v="1"/>
    <x v="1"/>
    <x v="0"/>
    <x v="1"/>
    <x v="1"/>
    <x v="0"/>
    <x v="0"/>
    <x v="0"/>
  </r>
  <r>
    <x v="492"/>
    <x v="0"/>
    <x v="0"/>
    <x v="1"/>
    <x v="1"/>
    <x v="10"/>
    <x v="0"/>
    <x v="2"/>
    <x v="1"/>
    <x v="3"/>
    <x v="0"/>
    <x v="1"/>
    <x v="1"/>
    <x v="1"/>
    <x v="1"/>
    <x v="0"/>
    <x v="1"/>
    <x v="1"/>
    <x v="0"/>
    <x v="0"/>
    <x v="0"/>
  </r>
  <r>
    <x v="493"/>
    <x v="0"/>
    <x v="0"/>
    <x v="1"/>
    <x v="1"/>
    <x v="10"/>
    <x v="0"/>
    <x v="3"/>
    <x v="2"/>
    <x v="0"/>
    <x v="1"/>
    <x v="3"/>
    <x v="4"/>
    <x v="1"/>
    <x v="1"/>
    <x v="0"/>
    <x v="1"/>
    <x v="0"/>
    <x v="0"/>
    <x v="0"/>
    <x v="0"/>
  </r>
  <r>
    <x v="494"/>
    <x v="0"/>
    <x v="0"/>
    <x v="1"/>
    <x v="1"/>
    <x v="10"/>
    <x v="0"/>
    <x v="3"/>
    <x v="2"/>
    <x v="0"/>
    <x v="1"/>
    <x v="3"/>
    <x v="2"/>
    <x v="1"/>
    <x v="1"/>
    <x v="0"/>
    <x v="1"/>
    <x v="1"/>
    <x v="0"/>
    <x v="0"/>
    <x v="0"/>
  </r>
  <r>
    <x v="495"/>
    <x v="0"/>
    <x v="0"/>
    <x v="0"/>
    <x v="0"/>
    <x v="10"/>
    <x v="0"/>
    <x v="3"/>
    <x v="0"/>
    <x v="0"/>
    <x v="1"/>
    <x v="3"/>
    <x v="4"/>
    <x v="1"/>
    <x v="28"/>
    <x v="0"/>
    <x v="1"/>
    <x v="0"/>
    <x v="0"/>
    <x v="0"/>
    <x v="0"/>
  </r>
  <r>
    <x v="496"/>
    <x v="0"/>
    <x v="0"/>
    <x v="0"/>
    <x v="0"/>
    <x v="10"/>
    <x v="0"/>
    <x v="3"/>
    <x v="3"/>
    <x v="1"/>
    <x v="1"/>
    <x v="1"/>
    <x v="2"/>
    <x v="1"/>
    <x v="28"/>
    <x v="0"/>
    <x v="1"/>
    <x v="1"/>
    <x v="0"/>
    <x v="0"/>
    <x v="0"/>
  </r>
  <r>
    <x v="497"/>
    <x v="0"/>
    <x v="0"/>
    <x v="1"/>
    <x v="1"/>
    <x v="10"/>
    <x v="0"/>
    <x v="3"/>
    <x v="0"/>
    <x v="0"/>
    <x v="1"/>
    <x v="3"/>
    <x v="2"/>
    <x v="1"/>
    <x v="28"/>
    <x v="0"/>
    <x v="1"/>
    <x v="1"/>
    <x v="0"/>
    <x v="0"/>
    <x v="0"/>
  </r>
  <r>
    <x v="498"/>
    <x v="1"/>
    <x v="1"/>
    <x v="1"/>
    <x v="1"/>
    <x v="10"/>
    <x v="0"/>
    <x v="3"/>
    <x v="0"/>
    <x v="0"/>
    <x v="1"/>
    <x v="4"/>
    <x v="2"/>
    <x v="1"/>
    <x v="28"/>
    <x v="0"/>
    <x v="1"/>
    <x v="1"/>
    <x v="0"/>
    <x v="0"/>
    <x v="0"/>
  </r>
  <r>
    <x v="499"/>
    <x v="0"/>
    <x v="0"/>
    <x v="0"/>
    <x v="0"/>
    <x v="10"/>
    <x v="0"/>
    <x v="3"/>
    <x v="0"/>
    <x v="0"/>
    <x v="1"/>
    <x v="4"/>
    <x v="4"/>
    <x v="1"/>
    <x v="40"/>
    <x v="0"/>
    <x v="1"/>
    <x v="0"/>
    <x v="0"/>
    <x v="0"/>
    <x v="0"/>
  </r>
  <r>
    <x v="500"/>
    <x v="0"/>
    <x v="0"/>
    <x v="0"/>
    <x v="0"/>
    <x v="10"/>
    <x v="0"/>
    <x v="3"/>
    <x v="0"/>
    <x v="0"/>
    <x v="1"/>
    <x v="3"/>
    <x v="4"/>
    <x v="1"/>
    <x v="40"/>
    <x v="0"/>
    <x v="1"/>
    <x v="0"/>
    <x v="0"/>
    <x v="0"/>
    <x v="0"/>
  </r>
  <r>
    <x v="501"/>
    <x v="0"/>
    <x v="0"/>
    <x v="1"/>
    <x v="1"/>
    <x v="10"/>
    <x v="0"/>
    <x v="3"/>
    <x v="0"/>
    <x v="0"/>
    <x v="1"/>
    <x v="4"/>
    <x v="2"/>
    <x v="1"/>
    <x v="40"/>
    <x v="0"/>
    <x v="1"/>
    <x v="0"/>
    <x v="0"/>
    <x v="0"/>
    <x v="0"/>
  </r>
  <r>
    <x v="502"/>
    <x v="1"/>
    <x v="1"/>
    <x v="1"/>
    <x v="1"/>
    <x v="10"/>
    <x v="0"/>
    <x v="3"/>
    <x v="3"/>
    <x v="1"/>
    <x v="1"/>
    <x v="1"/>
    <x v="2"/>
    <x v="1"/>
    <x v="40"/>
    <x v="0"/>
    <x v="1"/>
    <x v="1"/>
    <x v="0"/>
    <x v="0"/>
    <x v="0"/>
  </r>
  <r>
    <x v="503"/>
    <x v="1"/>
    <x v="1"/>
    <x v="0"/>
    <x v="0"/>
    <x v="10"/>
    <x v="0"/>
    <x v="3"/>
    <x v="3"/>
    <x v="1"/>
    <x v="1"/>
    <x v="1"/>
    <x v="2"/>
    <x v="1"/>
    <x v="18"/>
    <x v="0"/>
    <x v="1"/>
    <x v="1"/>
    <x v="0"/>
    <x v="0"/>
    <x v="0"/>
  </r>
  <r>
    <x v="504"/>
    <x v="0"/>
    <x v="0"/>
    <x v="0"/>
    <x v="0"/>
    <x v="10"/>
    <x v="0"/>
    <x v="1"/>
    <x v="3"/>
    <x v="1"/>
    <x v="1"/>
    <x v="0"/>
    <x v="2"/>
    <x v="1"/>
    <x v="19"/>
    <x v="0"/>
    <x v="1"/>
    <x v="1"/>
    <x v="0"/>
    <x v="0"/>
    <x v="0"/>
  </r>
  <r>
    <x v="505"/>
    <x v="0"/>
    <x v="0"/>
    <x v="1"/>
    <x v="1"/>
    <x v="10"/>
    <x v="0"/>
    <x v="3"/>
    <x v="3"/>
    <x v="1"/>
    <x v="1"/>
    <x v="1"/>
    <x v="4"/>
    <x v="1"/>
    <x v="19"/>
    <x v="0"/>
    <x v="1"/>
    <x v="1"/>
    <x v="0"/>
    <x v="0"/>
    <x v="0"/>
  </r>
  <r>
    <x v="506"/>
    <x v="0"/>
    <x v="0"/>
    <x v="1"/>
    <x v="1"/>
    <x v="10"/>
    <x v="0"/>
    <x v="0"/>
    <x v="3"/>
    <x v="1"/>
    <x v="1"/>
    <x v="3"/>
    <x v="4"/>
    <x v="1"/>
    <x v="19"/>
    <x v="0"/>
    <x v="1"/>
    <x v="1"/>
    <x v="0"/>
    <x v="0"/>
    <x v="0"/>
  </r>
  <r>
    <x v="507"/>
    <x v="1"/>
    <x v="1"/>
    <x v="1"/>
    <x v="1"/>
    <x v="10"/>
    <x v="0"/>
    <x v="1"/>
    <x v="3"/>
    <x v="1"/>
    <x v="1"/>
    <x v="0"/>
    <x v="2"/>
    <x v="1"/>
    <x v="19"/>
    <x v="0"/>
    <x v="1"/>
    <x v="0"/>
    <x v="0"/>
    <x v="0"/>
    <x v="0"/>
  </r>
  <r>
    <x v="508"/>
    <x v="0"/>
    <x v="0"/>
    <x v="0"/>
    <x v="0"/>
    <x v="10"/>
    <x v="0"/>
    <x v="0"/>
    <x v="3"/>
    <x v="1"/>
    <x v="1"/>
    <x v="3"/>
    <x v="4"/>
    <x v="1"/>
    <x v="41"/>
    <x v="0"/>
    <x v="1"/>
    <x v="1"/>
    <x v="0"/>
    <x v="0"/>
    <x v="0"/>
  </r>
  <r>
    <x v="509"/>
    <x v="0"/>
    <x v="0"/>
    <x v="1"/>
    <x v="1"/>
    <x v="10"/>
    <x v="0"/>
    <x v="0"/>
    <x v="3"/>
    <x v="1"/>
    <x v="1"/>
    <x v="3"/>
    <x v="2"/>
    <x v="1"/>
    <x v="41"/>
    <x v="0"/>
    <x v="1"/>
    <x v="1"/>
    <x v="0"/>
    <x v="0"/>
    <x v="0"/>
  </r>
  <r>
    <x v="510"/>
    <x v="1"/>
    <x v="1"/>
    <x v="0"/>
    <x v="0"/>
    <x v="10"/>
    <x v="0"/>
    <x v="0"/>
    <x v="1"/>
    <x v="1"/>
    <x v="1"/>
    <x v="3"/>
    <x v="2"/>
    <x v="1"/>
    <x v="20"/>
    <x v="0"/>
    <x v="1"/>
    <x v="0"/>
    <x v="0"/>
    <x v="0"/>
    <x v="0"/>
  </r>
  <r>
    <x v="511"/>
    <x v="1"/>
    <x v="1"/>
    <x v="0"/>
    <x v="0"/>
    <x v="10"/>
    <x v="0"/>
    <x v="0"/>
    <x v="3"/>
    <x v="1"/>
    <x v="1"/>
    <x v="3"/>
    <x v="2"/>
    <x v="1"/>
    <x v="37"/>
    <x v="0"/>
    <x v="1"/>
    <x v="1"/>
    <x v="0"/>
    <x v="0"/>
    <x v="0"/>
  </r>
  <r>
    <x v="512"/>
    <x v="0"/>
    <x v="0"/>
    <x v="1"/>
    <x v="1"/>
    <x v="10"/>
    <x v="0"/>
    <x v="5"/>
    <x v="1"/>
    <x v="1"/>
    <x v="1"/>
    <x v="3"/>
    <x v="3"/>
    <x v="1"/>
    <x v="37"/>
    <x v="0"/>
    <x v="1"/>
    <x v="1"/>
    <x v="0"/>
    <x v="0"/>
    <x v="0"/>
  </r>
  <r>
    <x v="513"/>
    <x v="0"/>
    <x v="0"/>
    <x v="1"/>
    <x v="1"/>
    <x v="10"/>
    <x v="0"/>
    <x v="5"/>
    <x v="1"/>
    <x v="1"/>
    <x v="1"/>
    <x v="3"/>
    <x v="2"/>
    <x v="1"/>
    <x v="30"/>
    <x v="0"/>
    <x v="1"/>
    <x v="1"/>
    <x v="0"/>
    <x v="0"/>
    <x v="0"/>
  </r>
  <r>
    <x v="514"/>
    <x v="0"/>
    <x v="0"/>
    <x v="0"/>
    <x v="0"/>
    <x v="10"/>
    <x v="0"/>
    <x v="5"/>
    <x v="3"/>
    <x v="1"/>
    <x v="1"/>
    <x v="3"/>
    <x v="2"/>
    <x v="1"/>
    <x v="2"/>
    <x v="0"/>
    <x v="1"/>
    <x v="1"/>
    <x v="0"/>
    <x v="0"/>
    <x v="0"/>
  </r>
  <r>
    <x v="515"/>
    <x v="1"/>
    <x v="1"/>
    <x v="0"/>
    <x v="0"/>
    <x v="10"/>
    <x v="0"/>
    <x v="5"/>
    <x v="1"/>
    <x v="1"/>
    <x v="1"/>
    <x v="3"/>
    <x v="2"/>
    <x v="1"/>
    <x v="2"/>
    <x v="0"/>
    <x v="1"/>
    <x v="1"/>
    <x v="0"/>
    <x v="0"/>
    <x v="0"/>
  </r>
  <r>
    <x v="516"/>
    <x v="0"/>
    <x v="0"/>
    <x v="1"/>
    <x v="1"/>
    <x v="10"/>
    <x v="0"/>
    <x v="5"/>
    <x v="3"/>
    <x v="1"/>
    <x v="1"/>
    <x v="3"/>
    <x v="2"/>
    <x v="1"/>
    <x v="2"/>
    <x v="0"/>
    <x v="1"/>
    <x v="1"/>
    <x v="0"/>
    <x v="0"/>
    <x v="0"/>
  </r>
  <r>
    <x v="517"/>
    <x v="0"/>
    <x v="0"/>
    <x v="1"/>
    <x v="1"/>
    <x v="10"/>
    <x v="0"/>
    <x v="5"/>
    <x v="3"/>
    <x v="1"/>
    <x v="1"/>
    <x v="3"/>
    <x v="2"/>
    <x v="1"/>
    <x v="2"/>
    <x v="0"/>
    <x v="1"/>
    <x v="1"/>
    <x v="0"/>
    <x v="0"/>
    <x v="0"/>
  </r>
  <r>
    <x v="518"/>
    <x v="0"/>
    <x v="0"/>
    <x v="1"/>
    <x v="1"/>
    <x v="10"/>
    <x v="0"/>
    <x v="5"/>
    <x v="3"/>
    <x v="1"/>
    <x v="0"/>
    <x v="3"/>
    <x v="3"/>
    <x v="1"/>
    <x v="2"/>
    <x v="0"/>
    <x v="1"/>
    <x v="1"/>
    <x v="0"/>
    <x v="0"/>
    <x v="0"/>
  </r>
  <r>
    <x v="519"/>
    <x v="0"/>
    <x v="0"/>
    <x v="0"/>
    <x v="0"/>
    <x v="10"/>
    <x v="0"/>
    <x v="5"/>
    <x v="1"/>
    <x v="1"/>
    <x v="1"/>
    <x v="3"/>
    <x v="3"/>
    <x v="1"/>
    <x v="21"/>
    <x v="0"/>
    <x v="1"/>
    <x v="1"/>
    <x v="0"/>
    <x v="0"/>
    <x v="0"/>
  </r>
  <r>
    <x v="520"/>
    <x v="0"/>
    <x v="0"/>
    <x v="1"/>
    <x v="1"/>
    <x v="10"/>
    <x v="0"/>
    <x v="3"/>
    <x v="1"/>
    <x v="1"/>
    <x v="1"/>
    <x v="4"/>
    <x v="1"/>
    <x v="2"/>
    <x v="21"/>
    <x v="0"/>
    <x v="1"/>
    <x v="0"/>
    <x v="0"/>
    <x v="0"/>
    <x v="0"/>
  </r>
  <r>
    <x v="521"/>
    <x v="0"/>
    <x v="0"/>
    <x v="1"/>
    <x v="1"/>
    <x v="10"/>
    <x v="0"/>
    <x v="5"/>
    <x v="1"/>
    <x v="1"/>
    <x v="1"/>
    <x v="3"/>
    <x v="3"/>
    <x v="1"/>
    <x v="21"/>
    <x v="0"/>
    <x v="1"/>
    <x v="1"/>
    <x v="0"/>
    <x v="0"/>
    <x v="0"/>
  </r>
  <r>
    <x v="522"/>
    <x v="0"/>
    <x v="0"/>
    <x v="0"/>
    <x v="0"/>
    <x v="10"/>
    <x v="0"/>
    <x v="5"/>
    <x v="1"/>
    <x v="1"/>
    <x v="1"/>
    <x v="3"/>
    <x v="2"/>
    <x v="1"/>
    <x v="22"/>
    <x v="0"/>
    <x v="1"/>
    <x v="1"/>
    <x v="0"/>
    <x v="0"/>
    <x v="0"/>
  </r>
  <r>
    <x v="523"/>
    <x v="0"/>
    <x v="0"/>
    <x v="0"/>
    <x v="0"/>
    <x v="10"/>
    <x v="0"/>
    <x v="3"/>
    <x v="1"/>
    <x v="1"/>
    <x v="1"/>
    <x v="3"/>
    <x v="0"/>
    <x v="1"/>
    <x v="43"/>
    <x v="0"/>
    <x v="1"/>
    <x v="1"/>
    <x v="0"/>
    <x v="0"/>
    <x v="0"/>
  </r>
  <r>
    <x v="524"/>
    <x v="0"/>
    <x v="0"/>
    <x v="1"/>
    <x v="1"/>
    <x v="11"/>
    <x v="0"/>
    <x v="4"/>
    <x v="1"/>
    <x v="3"/>
    <x v="1"/>
    <x v="1"/>
    <x v="1"/>
    <x v="1"/>
    <x v="23"/>
    <x v="0"/>
    <x v="0"/>
    <x v="1"/>
    <x v="0"/>
    <x v="0"/>
    <x v="0"/>
  </r>
  <r>
    <x v="525"/>
    <x v="0"/>
    <x v="0"/>
    <x v="1"/>
    <x v="1"/>
    <x v="11"/>
    <x v="0"/>
    <x v="4"/>
    <x v="1"/>
    <x v="3"/>
    <x v="1"/>
    <x v="1"/>
    <x v="3"/>
    <x v="1"/>
    <x v="23"/>
    <x v="0"/>
    <x v="0"/>
    <x v="0"/>
    <x v="0"/>
    <x v="0"/>
    <x v="0"/>
  </r>
  <r>
    <x v="526"/>
    <x v="0"/>
    <x v="0"/>
    <x v="0"/>
    <x v="0"/>
    <x v="11"/>
    <x v="0"/>
    <x v="4"/>
    <x v="1"/>
    <x v="3"/>
    <x v="1"/>
    <x v="1"/>
    <x v="3"/>
    <x v="1"/>
    <x v="3"/>
    <x v="0"/>
    <x v="0"/>
    <x v="0"/>
    <x v="0"/>
    <x v="0"/>
    <x v="0"/>
  </r>
  <r>
    <x v="527"/>
    <x v="1"/>
    <x v="1"/>
    <x v="0"/>
    <x v="0"/>
    <x v="11"/>
    <x v="0"/>
    <x v="4"/>
    <x v="1"/>
    <x v="3"/>
    <x v="1"/>
    <x v="1"/>
    <x v="3"/>
    <x v="1"/>
    <x v="3"/>
    <x v="0"/>
    <x v="0"/>
    <x v="1"/>
    <x v="0"/>
    <x v="0"/>
    <x v="0"/>
  </r>
  <r>
    <x v="528"/>
    <x v="1"/>
    <x v="1"/>
    <x v="0"/>
    <x v="0"/>
    <x v="11"/>
    <x v="0"/>
    <x v="2"/>
    <x v="1"/>
    <x v="3"/>
    <x v="1"/>
    <x v="1"/>
    <x v="3"/>
    <x v="1"/>
    <x v="3"/>
    <x v="0"/>
    <x v="0"/>
    <x v="0"/>
    <x v="0"/>
    <x v="0"/>
    <x v="0"/>
  </r>
  <r>
    <x v="529"/>
    <x v="1"/>
    <x v="1"/>
    <x v="0"/>
    <x v="0"/>
    <x v="11"/>
    <x v="0"/>
    <x v="4"/>
    <x v="1"/>
    <x v="3"/>
    <x v="1"/>
    <x v="1"/>
    <x v="3"/>
    <x v="1"/>
    <x v="3"/>
    <x v="0"/>
    <x v="0"/>
    <x v="0"/>
    <x v="0"/>
    <x v="0"/>
    <x v="0"/>
  </r>
  <r>
    <x v="530"/>
    <x v="0"/>
    <x v="0"/>
    <x v="1"/>
    <x v="1"/>
    <x v="11"/>
    <x v="0"/>
    <x v="2"/>
    <x v="1"/>
    <x v="3"/>
    <x v="1"/>
    <x v="1"/>
    <x v="1"/>
    <x v="1"/>
    <x v="3"/>
    <x v="0"/>
    <x v="0"/>
    <x v="0"/>
    <x v="0"/>
    <x v="0"/>
    <x v="0"/>
  </r>
  <r>
    <x v="531"/>
    <x v="0"/>
    <x v="0"/>
    <x v="0"/>
    <x v="0"/>
    <x v="11"/>
    <x v="0"/>
    <x v="4"/>
    <x v="1"/>
    <x v="3"/>
    <x v="1"/>
    <x v="1"/>
    <x v="1"/>
    <x v="1"/>
    <x v="24"/>
    <x v="0"/>
    <x v="0"/>
    <x v="1"/>
    <x v="0"/>
    <x v="0"/>
    <x v="0"/>
  </r>
  <r>
    <x v="532"/>
    <x v="0"/>
    <x v="0"/>
    <x v="0"/>
    <x v="0"/>
    <x v="11"/>
    <x v="0"/>
    <x v="2"/>
    <x v="3"/>
    <x v="3"/>
    <x v="1"/>
    <x v="1"/>
    <x v="1"/>
    <x v="1"/>
    <x v="24"/>
    <x v="0"/>
    <x v="0"/>
    <x v="0"/>
    <x v="0"/>
    <x v="0"/>
    <x v="0"/>
  </r>
  <r>
    <x v="533"/>
    <x v="0"/>
    <x v="0"/>
    <x v="0"/>
    <x v="0"/>
    <x v="11"/>
    <x v="0"/>
    <x v="2"/>
    <x v="3"/>
    <x v="3"/>
    <x v="1"/>
    <x v="1"/>
    <x v="4"/>
    <x v="1"/>
    <x v="24"/>
    <x v="0"/>
    <x v="0"/>
    <x v="0"/>
    <x v="0"/>
    <x v="0"/>
    <x v="0"/>
  </r>
  <r>
    <x v="534"/>
    <x v="0"/>
    <x v="0"/>
    <x v="1"/>
    <x v="1"/>
    <x v="11"/>
    <x v="0"/>
    <x v="2"/>
    <x v="3"/>
    <x v="3"/>
    <x v="1"/>
    <x v="1"/>
    <x v="1"/>
    <x v="1"/>
    <x v="24"/>
    <x v="0"/>
    <x v="0"/>
    <x v="0"/>
    <x v="0"/>
    <x v="0"/>
    <x v="0"/>
  </r>
  <r>
    <x v="535"/>
    <x v="0"/>
    <x v="0"/>
    <x v="1"/>
    <x v="1"/>
    <x v="11"/>
    <x v="0"/>
    <x v="2"/>
    <x v="1"/>
    <x v="3"/>
    <x v="1"/>
    <x v="1"/>
    <x v="3"/>
    <x v="1"/>
    <x v="24"/>
    <x v="0"/>
    <x v="0"/>
    <x v="1"/>
    <x v="0"/>
    <x v="0"/>
    <x v="0"/>
  </r>
  <r>
    <x v="536"/>
    <x v="0"/>
    <x v="0"/>
    <x v="0"/>
    <x v="0"/>
    <x v="11"/>
    <x v="0"/>
    <x v="2"/>
    <x v="3"/>
    <x v="3"/>
    <x v="1"/>
    <x v="4"/>
    <x v="1"/>
    <x v="1"/>
    <x v="32"/>
    <x v="0"/>
    <x v="0"/>
    <x v="1"/>
    <x v="0"/>
    <x v="0"/>
    <x v="0"/>
  </r>
  <r>
    <x v="537"/>
    <x v="0"/>
    <x v="0"/>
    <x v="0"/>
    <x v="0"/>
    <x v="11"/>
    <x v="0"/>
    <x v="2"/>
    <x v="1"/>
    <x v="3"/>
    <x v="1"/>
    <x v="1"/>
    <x v="1"/>
    <x v="1"/>
    <x v="32"/>
    <x v="0"/>
    <x v="0"/>
    <x v="1"/>
    <x v="0"/>
    <x v="0"/>
    <x v="0"/>
  </r>
  <r>
    <x v="538"/>
    <x v="0"/>
    <x v="0"/>
    <x v="0"/>
    <x v="0"/>
    <x v="11"/>
    <x v="0"/>
    <x v="4"/>
    <x v="1"/>
    <x v="3"/>
    <x v="1"/>
    <x v="1"/>
    <x v="1"/>
    <x v="0"/>
    <x v="9"/>
    <x v="0"/>
    <x v="0"/>
    <x v="0"/>
    <x v="0"/>
    <x v="0"/>
    <x v="0"/>
  </r>
  <r>
    <x v="539"/>
    <x v="1"/>
    <x v="1"/>
    <x v="0"/>
    <x v="0"/>
    <x v="11"/>
    <x v="0"/>
    <x v="4"/>
    <x v="1"/>
    <x v="3"/>
    <x v="1"/>
    <x v="1"/>
    <x v="1"/>
    <x v="0"/>
    <x v="9"/>
    <x v="0"/>
    <x v="0"/>
    <x v="0"/>
    <x v="0"/>
    <x v="0"/>
    <x v="0"/>
  </r>
  <r>
    <x v="540"/>
    <x v="1"/>
    <x v="1"/>
    <x v="0"/>
    <x v="0"/>
    <x v="11"/>
    <x v="0"/>
    <x v="4"/>
    <x v="1"/>
    <x v="3"/>
    <x v="1"/>
    <x v="1"/>
    <x v="3"/>
    <x v="0"/>
    <x v="9"/>
    <x v="0"/>
    <x v="0"/>
    <x v="1"/>
    <x v="0"/>
    <x v="0"/>
    <x v="0"/>
  </r>
  <r>
    <x v="541"/>
    <x v="0"/>
    <x v="0"/>
    <x v="1"/>
    <x v="1"/>
    <x v="11"/>
    <x v="0"/>
    <x v="2"/>
    <x v="3"/>
    <x v="3"/>
    <x v="1"/>
    <x v="1"/>
    <x v="1"/>
    <x v="1"/>
    <x v="9"/>
    <x v="0"/>
    <x v="0"/>
    <x v="1"/>
    <x v="0"/>
    <x v="0"/>
    <x v="0"/>
  </r>
  <r>
    <x v="542"/>
    <x v="1"/>
    <x v="1"/>
    <x v="0"/>
    <x v="0"/>
    <x v="11"/>
    <x v="0"/>
    <x v="4"/>
    <x v="1"/>
    <x v="3"/>
    <x v="0"/>
    <x v="1"/>
    <x v="1"/>
    <x v="0"/>
    <x v="5"/>
    <x v="0"/>
    <x v="0"/>
    <x v="0"/>
    <x v="0"/>
    <x v="0"/>
    <x v="0"/>
  </r>
  <r>
    <x v="543"/>
    <x v="1"/>
    <x v="1"/>
    <x v="1"/>
    <x v="1"/>
    <x v="11"/>
    <x v="0"/>
    <x v="4"/>
    <x v="1"/>
    <x v="3"/>
    <x v="1"/>
    <x v="1"/>
    <x v="1"/>
    <x v="0"/>
    <x v="5"/>
    <x v="0"/>
    <x v="0"/>
    <x v="0"/>
    <x v="0"/>
    <x v="0"/>
    <x v="0"/>
  </r>
  <r>
    <x v="544"/>
    <x v="1"/>
    <x v="1"/>
    <x v="1"/>
    <x v="1"/>
    <x v="11"/>
    <x v="0"/>
    <x v="3"/>
    <x v="3"/>
    <x v="3"/>
    <x v="1"/>
    <x v="1"/>
    <x v="4"/>
    <x v="1"/>
    <x v="5"/>
    <x v="0"/>
    <x v="0"/>
    <x v="0"/>
    <x v="0"/>
    <x v="0"/>
    <x v="0"/>
  </r>
  <r>
    <x v="545"/>
    <x v="1"/>
    <x v="1"/>
    <x v="1"/>
    <x v="1"/>
    <x v="11"/>
    <x v="0"/>
    <x v="3"/>
    <x v="3"/>
    <x v="3"/>
    <x v="1"/>
    <x v="4"/>
    <x v="4"/>
    <x v="1"/>
    <x v="10"/>
    <x v="0"/>
    <x v="0"/>
    <x v="0"/>
    <x v="0"/>
    <x v="0"/>
    <x v="0"/>
  </r>
  <r>
    <x v="546"/>
    <x v="1"/>
    <x v="1"/>
    <x v="1"/>
    <x v="1"/>
    <x v="11"/>
    <x v="0"/>
    <x v="3"/>
    <x v="3"/>
    <x v="3"/>
    <x v="0"/>
    <x v="4"/>
    <x v="1"/>
    <x v="1"/>
    <x v="10"/>
    <x v="0"/>
    <x v="0"/>
    <x v="0"/>
    <x v="0"/>
    <x v="0"/>
    <x v="0"/>
  </r>
  <r>
    <x v="547"/>
    <x v="1"/>
    <x v="1"/>
    <x v="1"/>
    <x v="1"/>
    <x v="11"/>
    <x v="0"/>
    <x v="4"/>
    <x v="0"/>
    <x v="3"/>
    <x v="0"/>
    <x v="4"/>
    <x v="4"/>
    <x v="1"/>
    <x v="25"/>
    <x v="0"/>
    <x v="0"/>
    <x v="0"/>
    <x v="0"/>
    <x v="0"/>
    <x v="0"/>
  </r>
  <r>
    <x v="548"/>
    <x v="1"/>
    <x v="1"/>
    <x v="1"/>
    <x v="1"/>
    <x v="11"/>
    <x v="0"/>
    <x v="3"/>
    <x v="3"/>
    <x v="3"/>
    <x v="0"/>
    <x v="4"/>
    <x v="1"/>
    <x v="1"/>
    <x v="25"/>
    <x v="0"/>
    <x v="0"/>
    <x v="0"/>
    <x v="0"/>
    <x v="0"/>
    <x v="0"/>
  </r>
  <r>
    <x v="549"/>
    <x v="1"/>
    <x v="1"/>
    <x v="0"/>
    <x v="0"/>
    <x v="11"/>
    <x v="0"/>
    <x v="5"/>
    <x v="3"/>
    <x v="3"/>
    <x v="0"/>
    <x v="4"/>
    <x v="1"/>
    <x v="1"/>
    <x v="11"/>
    <x v="0"/>
    <x v="0"/>
    <x v="1"/>
    <x v="0"/>
    <x v="0"/>
    <x v="0"/>
  </r>
  <r>
    <x v="550"/>
    <x v="0"/>
    <x v="0"/>
    <x v="1"/>
    <x v="1"/>
    <x v="11"/>
    <x v="0"/>
    <x v="5"/>
    <x v="3"/>
    <x v="3"/>
    <x v="1"/>
    <x v="3"/>
    <x v="4"/>
    <x v="1"/>
    <x v="11"/>
    <x v="0"/>
    <x v="0"/>
    <x v="1"/>
    <x v="0"/>
    <x v="0"/>
    <x v="0"/>
  </r>
  <r>
    <x v="551"/>
    <x v="0"/>
    <x v="0"/>
    <x v="0"/>
    <x v="0"/>
    <x v="11"/>
    <x v="0"/>
    <x v="5"/>
    <x v="3"/>
    <x v="3"/>
    <x v="1"/>
    <x v="3"/>
    <x v="1"/>
    <x v="1"/>
    <x v="12"/>
    <x v="0"/>
    <x v="0"/>
    <x v="1"/>
    <x v="0"/>
    <x v="0"/>
    <x v="0"/>
  </r>
  <r>
    <x v="552"/>
    <x v="0"/>
    <x v="0"/>
    <x v="1"/>
    <x v="1"/>
    <x v="11"/>
    <x v="0"/>
    <x v="5"/>
    <x v="3"/>
    <x v="3"/>
    <x v="1"/>
    <x v="0"/>
    <x v="2"/>
    <x v="1"/>
    <x v="12"/>
    <x v="0"/>
    <x v="0"/>
    <x v="1"/>
    <x v="0"/>
    <x v="0"/>
    <x v="0"/>
  </r>
  <r>
    <x v="553"/>
    <x v="1"/>
    <x v="1"/>
    <x v="1"/>
    <x v="1"/>
    <x v="11"/>
    <x v="0"/>
    <x v="5"/>
    <x v="3"/>
    <x v="3"/>
    <x v="1"/>
    <x v="3"/>
    <x v="4"/>
    <x v="1"/>
    <x v="12"/>
    <x v="0"/>
    <x v="0"/>
    <x v="0"/>
    <x v="0"/>
    <x v="0"/>
    <x v="0"/>
  </r>
  <r>
    <x v="554"/>
    <x v="1"/>
    <x v="1"/>
    <x v="0"/>
    <x v="0"/>
    <x v="11"/>
    <x v="0"/>
    <x v="0"/>
    <x v="3"/>
    <x v="3"/>
    <x v="1"/>
    <x v="3"/>
    <x v="1"/>
    <x v="1"/>
    <x v="13"/>
    <x v="0"/>
    <x v="0"/>
    <x v="1"/>
    <x v="0"/>
    <x v="0"/>
    <x v="0"/>
  </r>
  <r>
    <x v="555"/>
    <x v="0"/>
    <x v="0"/>
    <x v="1"/>
    <x v="1"/>
    <x v="11"/>
    <x v="0"/>
    <x v="0"/>
    <x v="3"/>
    <x v="3"/>
    <x v="1"/>
    <x v="0"/>
    <x v="2"/>
    <x v="1"/>
    <x v="13"/>
    <x v="0"/>
    <x v="0"/>
    <x v="1"/>
    <x v="0"/>
    <x v="0"/>
    <x v="0"/>
  </r>
  <r>
    <x v="556"/>
    <x v="0"/>
    <x v="0"/>
    <x v="0"/>
    <x v="0"/>
    <x v="11"/>
    <x v="0"/>
    <x v="0"/>
    <x v="3"/>
    <x v="1"/>
    <x v="1"/>
    <x v="3"/>
    <x v="2"/>
    <x v="1"/>
    <x v="37"/>
    <x v="0"/>
    <x v="1"/>
    <x v="1"/>
    <x v="0"/>
    <x v="0"/>
    <x v="0"/>
  </r>
  <r>
    <x v="557"/>
    <x v="0"/>
    <x v="0"/>
    <x v="1"/>
    <x v="1"/>
    <x v="11"/>
    <x v="0"/>
    <x v="0"/>
    <x v="3"/>
    <x v="1"/>
    <x v="1"/>
    <x v="3"/>
    <x v="2"/>
    <x v="1"/>
    <x v="37"/>
    <x v="0"/>
    <x v="1"/>
    <x v="1"/>
    <x v="0"/>
    <x v="0"/>
    <x v="0"/>
  </r>
  <r>
    <x v="558"/>
    <x v="0"/>
    <x v="0"/>
    <x v="0"/>
    <x v="0"/>
    <x v="11"/>
    <x v="0"/>
    <x v="0"/>
    <x v="3"/>
    <x v="1"/>
    <x v="1"/>
    <x v="3"/>
    <x v="3"/>
    <x v="1"/>
    <x v="30"/>
    <x v="0"/>
    <x v="1"/>
    <x v="0"/>
    <x v="0"/>
    <x v="0"/>
    <x v="0"/>
  </r>
  <r>
    <x v="559"/>
    <x v="0"/>
    <x v="0"/>
    <x v="1"/>
    <x v="1"/>
    <x v="11"/>
    <x v="0"/>
    <x v="3"/>
    <x v="1"/>
    <x v="1"/>
    <x v="1"/>
    <x v="4"/>
    <x v="0"/>
    <x v="2"/>
    <x v="30"/>
    <x v="0"/>
    <x v="1"/>
    <x v="0"/>
    <x v="0"/>
    <x v="0"/>
    <x v="0"/>
  </r>
  <r>
    <x v="560"/>
    <x v="0"/>
    <x v="0"/>
    <x v="1"/>
    <x v="1"/>
    <x v="11"/>
    <x v="0"/>
    <x v="0"/>
    <x v="3"/>
    <x v="1"/>
    <x v="1"/>
    <x v="3"/>
    <x v="2"/>
    <x v="1"/>
    <x v="30"/>
    <x v="0"/>
    <x v="1"/>
    <x v="1"/>
    <x v="0"/>
    <x v="0"/>
    <x v="0"/>
  </r>
  <r>
    <x v="561"/>
    <x v="0"/>
    <x v="0"/>
    <x v="1"/>
    <x v="1"/>
    <x v="11"/>
    <x v="0"/>
    <x v="3"/>
    <x v="1"/>
    <x v="1"/>
    <x v="1"/>
    <x v="3"/>
    <x v="0"/>
    <x v="1"/>
    <x v="22"/>
    <x v="0"/>
    <x v="1"/>
    <x v="1"/>
    <x v="0"/>
    <x v="0"/>
    <x v="0"/>
  </r>
  <r>
    <x v="562"/>
    <x v="1"/>
    <x v="1"/>
    <x v="1"/>
    <x v="1"/>
    <x v="11"/>
    <x v="0"/>
    <x v="5"/>
    <x v="1"/>
    <x v="1"/>
    <x v="1"/>
    <x v="3"/>
    <x v="2"/>
    <x v="1"/>
    <x v="22"/>
    <x v="0"/>
    <x v="1"/>
    <x v="1"/>
    <x v="0"/>
    <x v="0"/>
    <x v="0"/>
  </r>
  <r>
    <x v="563"/>
    <x v="0"/>
    <x v="0"/>
    <x v="1"/>
    <x v="1"/>
    <x v="11"/>
    <x v="0"/>
    <x v="3"/>
    <x v="1"/>
    <x v="1"/>
    <x v="1"/>
    <x v="3"/>
    <x v="0"/>
    <x v="1"/>
    <x v="47"/>
    <x v="0"/>
    <x v="1"/>
    <x v="1"/>
    <x v="0"/>
    <x v="0"/>
    <x v="0"/>
  </r>
  <r>
    <x v="564"/>
    <x v="0"/>
    <x v="0"/>
    <x v="1"/>
    <x v="1"/>
    <x v="12"/>
    <x v="0"/>
    <x v="4"/>
    <x v="1"/>
    <x v="4"/>
    <x v="1"/>
    <x v="1"/>
    <x v="1"/>
    <x v="0"/>
    <x v="48"/>
    <x v="0"/>
    <x v="2"/>
    <x v="0"/>
    <x v="0"/>
    <x v="0"/>
    <x v="0"/>
  </r>
  <r>
    <x v="565"/>
    <x v="1"/>
    <x v="1"/>
    <x v="0"/>
    <x v="0"/>
    <x v="12"/>
    <x v="0"/>
    <x v="4"/>
    <x v="4"/>
    <x v="4"/>
    <x v="1"/>
    <x v="3"/>
    <x v="0"/>
    <x v="1"/>
    <x v="49"/>
    <x v="0"/>
    <x v="2"/>
    <x v="1"/>
    <x v="0"/>
    <x v="0"/>
    <x v="0"/>
  </r>
  <r>
    <x v="566"/>
    <x v="0"/>
    <x v="0"/>
    <x v="0"/>
    <x v="0"/>
    <x v="12"/>
    <x v="0"/>
    <x v="4"/>
    <x v="2"/>
    <x v="3"/>
    <x v="1"/>
    <x v="3"/>
    <x v="0"/>
    <x v="1"/>
    <x v="45"/>
    <x v="0"/>
    <x v="2"/>
    <x v="1"/>
    <x v="0"/>
    <x v="0"/>
    <x v="0"/>
  </r>
  <r>
    <x v="567"/>
    <x v="1"/>
    <x v="1"/>
    <x v="0"/>
    <x v="0"/>
    <x v="12"/>
    <x v="0"/>
    <x v="4"/>
    <x v="2"/>
    <x v="3"/>
    <x v="0"/>
    <x v="3"/>
    <x v="1"/>
    <x v="1"/>
    <x v="45"/>
    <x v="0"/>
    <x v="2"/>
    <x v="0"/>
    <x v="0"/>
    <x v="0"/>
    <x v="0"/>
  </r>
  <r>
    <x v="568"/>
    <x v="1"/>
    <x v="1"/>
    <x v="0"/>
    <x v="0"/>
    <x v="12"/>
    <x v="0"/>
    <x v="4"/>
    <x v="0"/>
    <x v="3"/>
    <x v="0"/>
    <x v="4"/>
    <x v="3"/>
    <x v="1"/>
    <x v="45"/>
    <x v="0"/>
    <x v="2"/>
    <x v="1"/>
    <x v="0"/>
    <x v="0"/>
    <x v="0"/>
  </r>
  <r>
    <x v="569"/>
    <x v="0"/>
    <x v="0"/>
    <x v="1"/>
    <x v="1"/>
    <x v="12"/>
    <x v="0"/>
    <x v="4"/>
    <x v="2"/>
    <x v="3"/>
    <x v="0"/>
    <x v="3"/>
    <x v="1"/>
    <x v="1"/>
    <x v="45"/>
    <x v="0"/>
    <x v="2"/>
    <x v="0"/>
    <x v="0"/>
    <x v="0"/>
    <x v="0"/>
  </r>
  <r>
    <x v="570"/>
    <x v="0"/>
    <x v="0"/>
    <x v="1"/>
    <x v="1"/>
    <x v="12"/>
    <x v="0"/>
    <x v="4"/>
    <x v="2"/>
    <x v="3"/>
    <x v="1"/>
    <x v="3"/>
    <x v="0"/>
    <x v="1"/>
    <x v="45"/>
    <x v="0"/>
    <x v="2"/>
    <x v="1"/>
    <x v="0"/>
    <x v="0"/>
    <x v="0"/>
  </r>
  <r>
    <x v="571"/>
    <x v="0"/>
    <x v="0"/>
    <x v="1"/>
    <x v="1"/>
    <x v="12"/>
    <x v="0"/>
    <x v="4"/>
    <x v="2"/>
    <x v="3"/>
    <x v="1"/>
    <x v="3"/>
    <x v="0"/>
    <x v="1"/>
    <x v="45"/>
    <x v="0"/>
    <x v="2"/>
    <x v="1"/>
    <x v="0"/>
    <x v="0"/>
    <x v="0"/>
  </r>
  <r>
    <x v="572"/>
    <x v="0"/>
    <x v="0"/>
    <x v="1"/>
    <x v="1"/>
    <x v="12"/>
    <x v="0"/>
    <x v="4"/>
    <x v="0"/>
    <x v="3"/>
    <x v="1"/>
    <x v="4"/>
    <x v="0"/>
    <x v="1"/>
    <x v="45"/>
    <x v="0"/>
    <x v="2"/>
    <x v="1"/>
    <x v="0"/>
    <x v="0"/>
    <x v="0"/>
  </r>
  <r>
    <x v="573"/>
    <x v="1"/>
    <x v="1"/>
    <x v="1"/>
    <x v="1"/>
    <x v="12"/>
    <x v="0"/>
    <x v="4"/>
    <x v="2"/>
    <x v="3"/>
    <x v="1"/>
    <x v="3"/>
    <x v="0"/>
    <x v="1"/>
    <x v="45"/>
    <x v="0"/>
    <x v="2"/>
    <x v="1"/>
    <x v="0"/>
    <x v="0"/>
    <x v="0"/>
  </r>
  <r>
    <x v="574"/>
    <x v="1"/>
    <x v="1"/>
    <x v="1"/>
    <x v="1"/>
    <x v="12"/>
    <x v="0"/>
    <x v="4"/>
    <x v="0"/>
    <x v="3"/>
    <x v="1"/>
    <x v="4"/>
    <x v="0"/>
    <x v="1"/>
    <x v="45"/>
    <x v="0"/>
    <x v="2"/>
    <x v="1"/>
    <x v="0"/>
    <x v="0"/>
    <x v="0"/>
  </r>
  <r>
    <x v="575"/>
    <x v="0"/>
    <x v="0"/>
    <x v="0"/>
    <x v="0"/>
    <x v="12"/>
    <x v="0"/>
    <x v="4"/>
    <x v="0"/>
    <x v="3"/>
    <x v="1"/>
    <x v="3"/>
    <x v="0"/>
    <x v="1"/>
    <x v="50"/>
    <x v="0"/>
    <x v="2"/>
    <x v="1"/>
    <x v="0"/>
    <x v="0"/>
    <x v="0"/>
  </r>
  <r>
    <x v="576"/>
    <x v="1"/>
    <x v="1"/>
    <x v="0"/>
    <x v="0"/>
    <x v="12"/>
    <x v="0"/>
    <x v="4"/>
    <x v="3"/>
    <x v="4"/>
    <x v="0"/>
    <x v="1"/>
    <x v="1"/>
    <x v="2"/>
    <x v="50"/>
    <x v="0"/>
    <x v="2"/>
    <x v="0"/>
    <x v="0"/>
    <x v="0"/>
    <x v="0"/>
  </r>
  <r>
    <x v="577"/>
    <x v="1"/>
    <x v="1"/>
    <x v="0"/>
    <x v="0"/>
    <x v="12"/>
    <x v="0"/>
    <x v="4"/>
    <x v="2"/>
    <x v="3"/>
    <x v="0"/>
    <x v="3"/>
    <x v="1"/>
    <x v="1"/>
    <x v="50"/>
    <x v="0"/>
    <x v="2"/>
    <x v="0"/>
    <x v="0"/>
    <x v="0"/>
    <x v="0"/>
  </r>
  <r>
    <x v="578"/>
    <x v="0"/>
    <x v="0"/>
    <x v="1"/>
    <x v="1"/>
    <x v="12"/>
    <x v="0"/>
    <x v="4"/>
    <x v="2"/>
    <x v="3"/>
    <x v="1"/>
    <x v="3"/>
    <x v="0"/>
    <x v="1"/>
    <x v="50"/>
    <x v="0"/>
    <x v="2"/>
    <x v="0"/>
    <x v="0"/>
    <x v="0"/>
    <x v="0"/>
  </r>
  <r>
    <x v="579"/>
    <x v="0"/>
    <x v="0"/>
    <x v="1"/>
    <x v="1"/>
    <x v="12"/>
    <x v="0"/>
    <x v="4"/>
    <x v="2"/>
    <x v="3"/>
    <x v="1"/>
    <x v="3"/>
    <x v="0"/>
    <x v="1"/>
    <x v="50"/>
    <x v="0"/>
    <x v="2"/>
    <x v="0"/>
    <x v="0"/>
    <x v="0"/>
    <x v="0"/>
  </r>
  <r>
    <x v="580"/>
    <x v="0"/>
    <x v="0"/>
    <x v="1"/>
    <x v="1"/>
    <x v="12"/>
    <x v="0"/>
    <x v="4"/>
    <x v="2"/>
    <x v="3"/>
    <x v="1"/>
    <x v="3"/>
    <x v="0"/>
    <x v="1"/>
    <x v="50"/>
    <x v="0"/>
    <x v="2"/>
    <x v="0"/>
    <x v="0"/>
    <x v="0"/>
    <x v="0"/>
  </r>
  <r>
    <x v="581"/>
    <x v="0"/>
    <x v="0"/>
    <x v="1"/>
    <x v="1"/>
    <x v="12"/>
    <x v="0"/>
    <x v="4"/>
    <x v="0"/>
    <x v="3"/>
    <x v="1"/>
    <x v="4"/>
    <x v="0"/>
    <x v="1"/>
    <x v="50"/>
    <x v="0"/>
    <x v="2"/>
    <x v="1"/>
    <x v="0"/>
    <x v="0"/>
    <x v="0"/>
  </r>
  <r>
    <x v="582"/>
    <x v="1"/>
    <x v="1"/>
    <x v="1"/>
    <x v="1"/>
    <x v="12"/>
    <x v="0"/>
    <x v="4"/>
    <x v="2"/>
    <x v="3"/>
    <x v="0"/>
    <x v="3"/>
    <x v="1"/>
    <x v="1"/>
    <x v="50"/>
    <x v="0"/>
    <x v="2"/>
    <x v="0"/>
    <x v="0"/>
    <x v="0"/>
    <x v="0"/>
  </r>
  <r>
    <x v="583"/>
    <x v="1"/>
    <x v="1"/>
    <x v="0"/>
    <x v="0"/>
    <x v="12"/>
    <x v="0"/>
    <x v="4"/>
    <x v="4"/>
    <x v="4"/>
    <x v="1"/>
    <x v="3"/>
    <x v="0"/>
    <x v="1"/>
    <x v="38"/>
    <x v="0"/>
    <x v="2"/>
    <x v="1"/>
    <x v="0"/>
    <x v="0"/>
    <x v="0"/>
  </r>
  <r>
    <x v="584"/>
    <x v="0"/>
    <x v="0"/>
    <x v="1"/>
    <x v="1"/>
    <x v="12"/>
    <x v="0"/>
    <x v="4"/>
    <x v="2"/>
    <x v="3"/>
    <x v="1"/>
    <x v="3"/>
    <x v="0"/>
    <x v="1"/>
    <x v="38"/>
    <x v="0"/>
    <x v="2"/>
    <x v="1"/>
    <x v="0"/>
    <x v="0"/>
    <x v="0"/>
  </r>
  <r>
    <x v="585"/>
    <x v="0"/>
    <x v="0"/>
    <x v="1"/>
    <x v="1"/>
    <x v="12"/>
    <x v="0"/>
    <x v="4"/>
    <x v="0"/>
    <x v="3"/>
    <x v="1"/>
    <x v="4"/>
    <x v="0"/>
    <x v="1"/>
    <x v="38"/>
    <x v="0"/>
    <x v="2"/>
    <x v="1"/>
    <x v="0"/>
    <x v="0"/>
    <x v="0"/>
  </r>
  <r>
    <x v="586"/>
    <x v="1"/>
    <x v="1"/>
    <x v="0"/>
    <x v="0"/>
    <x v="12"/>
    <x v="0"/>
    <x v="4"/>
    <x v="2"/>
    <x v="3"/>
    <x v="1"/>
    <x v="4"/>
    <x v="0"/>
    <x v="1"/>
    <x v="39"/>
    <x v="0"/>
    <x v="0"/>
    <x v="1"/>
    <x v="0"/>
    <x v="0"/>
    <x v="0"/>
  </r>
  <r>
    <x v="587"/>
    <x v="1"/>
    <x v="1"/>
    <x v="0"/>
    <x v="0"/>
    <x v="12"/>
    <x v="0"/>
    <x v="5"/>
    <x v="0"/>
    <x v="4"/>
    <x v="1"/>
    <x v="4"/>
    <x v="3"/>
    <x v="1"/>
    <x v="39"/>
    <x v="0"/>
    <x v="0"/>
    <x v="0"/>
    <x v="0"/>
    <x v="0"/>
    <x v="0"/>
  </r>
  <r>
    <x v="588"/>
    <x v="1"/>
    <x v="1"/>
    <x v="0"/>
    <x v="0"/>
    <x v="12"/>
    <x v="0"/>
    <x v="4"/>
    <x v="2"/>
    <x v="3"/>
    <x v="1"/>
    <x v="3"/>
    <x v="0"/>
    <x v="1"/>
    <x v="39"/>
    <x v="0"/>
    <x v="0"/>
    <x v="1"/>
    <x v="0"/>
    <x v="0"/>
    <x v="0"/>
  </r>
  <r>
    <x v="589"/>
    <x v="1"/>
    <x v="1"/>
    <x v="0"/>
    <x v="0"/>
    <x v="12"/>
    <x v="0"/>
    <x v="4"/>
    <x v="2"/>
    <x v="3"/>
    <x v="1"/>
    <x v="3"/>
    <x v="0"/>
    <x v="1"/>
    <x v="39"/>
    <x v="0"/>
    <x v="0"/>
    <x v="1"/>
    <x v="0"/>
    <x v="0"/>
    <x v="0"/>
  </r>
  <r>
    <x v="590"/>
    <x v="0"/>
    <x v="0"/>
    <x v="1"/>
    <x v="1"/>
    <x v="12"/>
    <x v="0"/>
    <x v="0"/>
    <x v="0"/>
    <x v="4"/>
    <x v="0"/>
    <x v="1"/>
    <x v="1"/>
    <x v="1"/>
    <x v="39"/>
    <x v="0"/>
    <x v="0"/>
    <x v="1"/>
    <x v="0"/>
    <x v="0"/>
    <x v="0"/>
  </r>
  <r>
    <x v="591"/>
    <x v="0"/>
    <x v="0"/>
    <x v="1"/>
    <x v="1"/>
    <x v="12"/>
    <x v="0"/>
    <x v="4"/>
    <x v="0"/>
    <x v="3"/>
    <x v="0"/>
    <x v="3"/>
    <x v="3"/>
    <x v="1"/>
    <x v="39"/>
    <x v="0"/>
    <x v="0"/>
    <x v="1"/>
    <x v="0"/>
    <x v="0"/>
    <x v="0"/>
  </r>
  <r>
    <x v="592"/>
    <x v="0"/>
    <x v="0"/>
    <x v="1"/>
    <x v="1"/>
    <x v="12"/>
    <x v="0"/>
    <x v="4"/>
    <x v="0"/>
    <x v="3"/>
    <x v="1"/>
    <x v="4"/>
    <x v="0"/>
    <x v="1"/>
    <x v="39"/>
    <x v="0"/>
    <x v="0"/>
    <x v="1"/>
    <x v="0"/>
    <x v="0"/>
    <x v="0"/>
  </r>
  <r>
    <x v="593"/>
    <x v="0"/>
    <x v="0"/>
    <x v="1"/>
    <x v="1"/>
    <x v="12"/>
    <x v="0"/>
    <x v="4"/>
    <x v="2"/>
    <x v="3"/>
    <x v="0"/>
    <x v="3"/>
    <x v="3"/>
    <x v="1"/>
    <x v="39"/>
    <x v="0"/>
    <x v="0"/>
    <x v="1"/>
    <x v="0"/>
    <x v="0"/>
    <x v="0"/>
  </r>
  <r>
    <x v="594"/>
    <x v="1"/>
    <x v="1"/>
    <x v="1"/>
    <x v="1"/>
    <x v="12"/>
    <x v="0"/>
    <x v="4"/>
    <x v="2"/>
    <x v="3"/>
    <x v="0"/>
    <x v="3"/>
    <x v="3"/>
    <x v="1"/>
    <x v="39"/>
    <x v="0"/>
    <x v="0"/>
    <x v="1"/>
    <x v="0"/>
    <x v="0"/>
    <x v="0"/>
  </r>
  <r>
    <x v="595"/>
    <x v="0"/>
    <x v="0"/>
    <x v="0"/>
    <x v="0"/>
    <x v="12"/>
    <x v="0"/>
    <x v="5"/>
    <x v="0"/>
    <x v="4"/>
    <x v="1"/>
    <x v="1"/>
    <x v="3"/>
    <x v="1"/>
    <x v="8"/>
    <x v="0"/>
    <x v="0"/>
    <x v="1"/>
    <x v="0"/>
    <x v="0"/>
    <x v="0"/>
  </r>
  <r>
    <x v="596"/>
    <x v="0"/>
    <x v="0"/>
    <x v="0"/>
    <x v="0"/>
    <x v="12"/>
    <x v="0"/>
    <x v="5"/>
    <x v="0"/>
    <x v="4"/>
    <x v="1"/>
    <x v="4"/>
    <x v="1"/>
    <x v="1"/>
    <x v="8"/>
    <x v="0"/>
    <x v="0"/>
    <x v="1"/>
    <x v="0"/>
    <x v="0"/>
    <x v="0"/>
  </r>
  <r>
    <x v="597"/>
    <x v="1"/>
    <x v="1"/>
    <x v="0"/>
    <x v="0"/>
    <x v="12"/>
    <x v="0"/>
    <x v="4"/>
    <x v="2"/>
    <x v="3"/>
    <x v="1"/>
    <x v="4"/>
    <x v="0"/>
    <x v="1"/>
    <x v="8"/>
    <x v="0"/>
    <x v="0"/>
    <x v="1"/>
    <x v="0"/>
    <x v="0"/>
    <x v="0"/>
  </r>
  <r>
    <x v="598"/>
    <x v="1"/>
    <x v="1"/>
    <x v="0"/>
    <x v="0"/>
    <x v="12"/>
    <x v="0"/>
    <x v="5"/>
    <x v="0"/>
    <x v="4"/>
    <x v="1"/>
    <x v="4"/>
    <x v="3"/>
    <x v="1"/>
    <x v="8"/>
    <x v="0"/>
    <x v="0"/>
    <x v="0"/>
    <x v="0"/>
    <x v="0"/>
    <x v="0"/>
  </r>
  <r>
    <x v="599"/>
    <x v="1"/>
    <x v="1"/>
    <x v="0"/>
    <x v="0"/>
    <x v="12"/>
    <x v="0"/>
    <x v="4"/>
    <x v="2"/>
    <x v="3"/>
    <x v="0"/>
    <x v="3"/>
    <x v="3"/>
    <x v="1"/>
    <x v="8"/>
    <x v="0"/>
    <x v="0"/>
    <x v="0"/>
    <x v="0"/>
    <x v="0"/>
    <x v="0"/>
  </r>
  <r>
    <x v="600"/>
    <x v="1"/>
    <x v="1"/>
    <x v="0"/>
    <x v="0"/>
    <x v="12"/>
    <x v="0"/>
    <x v="4"/>
    <x v="2"/>
    <x v="3"/>
    <x v="1"/>
    <x v="3"/>
    <x v="0"/>
    <x v="1"/>
    <x v="8"/>
    <x v="0"/>
    <x v="0"/>
    <x v="1"/>
    <x v="0"/>
    <x v="0"/>
    <x v="0"/>
  </r>
  <r>
    <x v="601"/>
    <x v="0"/>
    <x v="0"/>
    <x v="1"/>
    <x v="1"/>
    <x v="12"/>
    <x v="0"/>
    <x v="4"/>
    <x v="2"/>
    <x v="3"/>
    <x v="1"/>
    <x v="4"/>
    <x v="0"/>
    <x v="1"/>
    <x v="8"/>
    <x v="0"/>
    <x v="0"/>
    <x v="1"/>
    <x v="0"/>
    <x v="0"/>
    <x v="0"/>
  </r>
  <r>
    <x v="602"/>
    <x v="1"/>
    <x v="1"/>
    <x v="1"/>
    <x v="1"/>
    <x v="12"/>
    <x v="0"/>
    <x v="4"/>
    <x v="2"/>
    <x v="3"/>
    <x v="1"/>
    <x v="4"/>
    <x v="0"/>
    <x v="1"/>
    <x v="8"/>
    <x v="0"/>
    <x v="0"/>
    <x v="1"/>
    <x v="0"/>
    <x v="0"/>
    <x v="0"/>
  </r>
  <r>
    <x v="603"/>
    <x v="1"/>
    <x v="1"/>
    <x v="1"/>
    <x v="1"/>
    <x v="12"/>
    <x v="0"/>
    <x v="4"/>
    <x v="2"/>
    <x v="3"/>
    <x v="1"/>
    <x v="3"/>
    <x v="0"/>
    <x v="1"/>
    <x v="8"/>
    <x v="0"/>
    <x v="0"/>
    <x v="1"/>
    <x v="0"/>
    <x v="0"/>
    <x v="0"/>
  </r>
  <r>
    <x v="604"/>
    <x v="1"/>
    <x v="1"/>
    <x v="1"/>
    <x v="1"/>
    <x v="12"/>
    <x v="0"/>
    <x v="4"/>
    <x v="2"/>
    <x v="3"/>
    <x v="1"/>
    <x v="3"/>
    <x v="0"/>
    <x v="1"/>
    <x v="8"/>
    <x v="0"/>
    <x v="0"/>
    <x v="1"/>
    <x v="0"/>
    <x v="0"/>
    <x v="0"/>
  </r>
  <r>
    <x v="605"/>
    <x v="1"/>
    <x v="1"/>
    <x v="1"/>
    <x v="1"/>
    <x v="12"/>
    <x v="0"/>
    <x v="4"/>
    <x v="2"/>
    <x v="3"/>
    <x v="0"/>
    <x v="3"/>
    <x v="3"/>
    <x v="1"/>
    <x v="8"/>
    <x v="0"/>
    <x v="0"/>
    <x v="0"/>
    <x v="0"/>
    <x v="0"/>
    <x v="0"/>
  </r>
  <r>
    <x v="606"/>
    <x v="0"/>
    <x v="0"/>
    <x v="0"/>
    <x v="0"/>
    <x v="12"/>
    <x v="0"/>
    <x v="2"/>
    <x v="3"/>
    <x v="3"/>
    <x v="1"/>
    <x v="1"/>
    <x v="3"/>
    <x v="0"/>
    <x v="23"/>
    <x v="0"/>
    <x v="0"/>
    <x v="0"/>
    <x v="0"/>
    <x v="0"/>
    <x v="0"/>
  </r>
  <r>
    <x v="607"/>
    <x v="0"/>
    <x v="0"/>
    <x v="0"/>
    <x v="0"/>
    <x v="12"/>
    <x v="0"/>
    <x v="2"/>
    <x v="3"/>
    <x v="3"/>
    <x v="1"/>
    <x v="4"/>
    <x v="3"/>
    <x v="0"/>
    <x v="23"/>
    <x v="0"/>
    <x v="0"/>
    <x v="0"/>
    <x v="0"/>
    <x v="0"/>
    <x v="0"/>
  </r>
  <r>
    <x v="608"/>
    <x v="0"/>
    <x v="0"/>
    <x v="0"/>
    <x v="0"/>
    <x v="12"/>
    <x v="0"/>
    <x v="5"/>
    <x v="0"/>
    <x v="4"/>
    <x v="1"/>
    <x v="4"/>
    <x v="3"/>
    <x v="1"/>
    <x v="23"/>
    <x v="0"/>
    <x v="0"/>
    <x v="1"/>
    <x v="0"/>
    <x v="0"/>
    <x v="0"/>
  </r>
  <r>
    <x v="609"/>
    <x v="1"/>
    <x v="1"/>
    <x v="0"/>
    <x v="0"/>
    <x v="12"/>
    <x v="0"/>
    <x v="5"/>
    <x v="0"/>
    <x v="4"/>
    <x v="0"/>
    <x v="3"/>
    <x v="1"/>
    <x v="1"/>
    <x v="23"/>
    <x v="0"/>
    <x v="0"/>
    <x v="1"/>
    <x v="0"/>
    <x v="0"/>
    <x v="0"/>
  </r>
  <r>
    <x v="610"/>
    <x v="0"/>
    <x v="0"/>
    <x v="1"/>
    <x v="1"/>
    <x v="12"/>
    <x v="0"/>
    <x v="2"/>
    <x v="3"/>
    <x v="3"/>
    <x v="1"/>
    <x v="4"/>
    <x v="1"/>
    <x v="0"/>
    <x v="23"/>
    <x v="0"/>
    <x v="0"/>
    <x v="0"/>
    <x v="0"/>
    <x v="0"/>
    <x v="0"/>
  </r>
  <r>
    <x v="611"/>
    <x v="0"/>
    <x v="0"/>
    <x v="0"/>
    <x v="0"/>
    <x v="12"/>
    <x v="0"/>
    <x v="2"/>
    <x v="3"/>
    <x v="3"/>
    <x v="1"/>
    <x v="4"/>
    <x v="3"/>
    <x v="0"/>
    <x v="3"/>
    <x v="0"/>
    <x v="0"/>
    <x v="0"/>
    <x v="0"/>
    <x v="0"/>
    <x v="0"/>
  </r>
  <r>
    <x v="612"/>
    <x v="1"/>
    <x v="1"/>
    <x v="0"/>
    <x v="0"/>
    <x v="12"/>
    <x v="0"/>
    <x v="3"/>
    <x v="0"/>
    <x v="4"/>
    <x v="1"/>
    <x v="1"/>
    <x v="1"/>
    <x v="0"/>
    <x v="3"/>
    <x v="0"/>
    <x v="0"/>
    <x v="1"/>
    <x v="0"/>
    <x v="0"/>
    <x v="0"/>
  </r>
  <r>
    <x v="613"/>
    <x v="1"/>
    <x v="1"/>
    <x v="0"/>
    <x v="0"/>
    <x v="12"/>
    <x v="0"/>
    <x v="3"/>
    <x v="0"/>
    <x v="4"/>
    <x v="1"/>
    <x v="1"/>
    <x v="3"/>
    <x v="0"/>
    <x v="3"/>
    <x v="0"/>
    <x v="0"/>
    <x v="0"/>
    <x v="0"/>
    <x v="0"/>
    <x v="0"/>
  </r>
  <r>
    <x v="614"/>
    <x v="0"/>
    <x v="0"/>
    <x v="1"/>
    <x v="1"/>
    <x v="12"/>
    <x v="0"/>
    <x v="2"/>
    <x v="3"/>
    <x v="3"/>
    <x v="1"/>
    <x v="4"/>
    <x v="1"/>
    <x v="0"/>
    <x v="3"/>
    <x v="0"/>
    <x v="0"/>
    <x v="0"/>
    <x v="0"/>
    <x v="0"/>
    <x v="0"/>
  </r>
  <r>
    <x v="615"/>
    <x v="1"/>
    <x v="1"/>
    <x v="1"/>
    <x v="1"/>
    <x v="12"/>
    <x v="0"/>
    <x v="3"/>
    <x v="0"/>
    <x v="4"/>
    <x v="1"/>
    <x v="1"/>
    <x v="3"/>
    <x v="0"/>
    <x v="3"/>
    <x v="0"/>
    <x v="0"/>
    <x v="0"/>
    <x v="0"/>
    <x v="0"/>
    <x v="0"/>
  </r>
  <r>
    <x v="616"/>
    <x v="0"/>
    <x v="0"/>
    <x v="0"/>
    <x v="0"/>
    <x v="12"/>
    <x v="0"/>
    <x v="3"/>
    <x v="0"/>
    <x v="4"/>
    <x v="0"/>
    <x v="4"/>
    <x v="1"/>
    <x v="0"/>
    <x v="24"/>
    <x v="0"/>
    <x v="0"/>
    <x v="1"/>
    <x v="0"/>
    <x v="0"/>
    <x v="0"/>
  </r>
  <r>
    <x v="617"/>
    <x v="1"/>
    <x v="1"/>
    <x v="1"/>
    <x v="1"/>
    <x v="12"/>
    <x v="0"/>
    <x v="3"/>
    <x v="0"/>
    <x v="4"/>
    <x v="0"/>
    <x v="4"/>
    <x v="1"/>
    <x v="0"/>
    <x v="24"/>
    <x v="0"/>
    <x v="0"/>
    <x v="1"/>
    <x v="0"/>
    <x v="0"/>
    <x v="0"/>
  </r>
  <r>
    <x v="618"/>
    <x v="1"/>
    <x v="1"/>
    <x v="1"/>
    <x v="1"/>
    <x v="12"/>
    <x v="0"/>
    <x v="3"/>
    <x v="0"/>
    <x v="4"/>
    <x v="1"/>
    <x v="1"/>
    <x v="1"/>
    <x v="0"/>
    <x v="24"/>
    <x v="0"/>
    <x v="0"/>
    <x v="1"/>
    <x v="0"/>
    <x v="0"/>
    <x v="0"/>
  </r>
  <r>
    <x v="619"/>
    <x v="0"/>
    <x v="0"/>
    <x v="0"/>
    <x v="0"/>
    <x v="12"/>
    <x v="0"/>
    <x v="4"/>
    <x v="1"/>
    <x v="4"/>
    <x v="1"/>
    <x v="1"/>
    <x v="1"/>
    <x v="0"/>
    <x v="32"/>
    <x v="0"/>
    <x v="0"/>
    <x v="0"/>
    <x v="0"/>
    <x v="0"/>
    <x v="0"/>
  </r>
  <r>
    <x v="620"/>
    <x v="1"/>
    <x v="1"/>
    <x v="0"/>
    <x v="0"/>
    <x v="12"/>
    <x v="0"/>
    <x v="3"/>
    <x v="0"/>
    <x v="4"/>
    <x v="1"/>
    <x v="3"/>
    <x v="3"/>
    <x v="0"/>
    <x v="32"/>
    <x v="0"/>
    <x v="0"/>
    <x v="1"/>
    <x v="0"/>
    <x v="0"/>
    <x v="0"/>
  </r>
  <r>
    <x v="621"/>
    <x v="0"/>
    <x v="0"/>
    <x v="1"/>
    <x v="1"/>
    <x v="12"/>
    <x v="0"/>
    <x v="3"/>
    <x v="0"/>
    <x v="4"/>
    <x v="1"/>
    <x v="4"/>
    <x v="3"/>
    <x v="0"/>
    <x v="32"/>
    <x v="0"/>
    <x v="0"/>
    <x v="0"/>
    <x v="0"/>
    <x v="0"/>
    <x v="0"/>
  </r>
  <r>
    <x v="622"/>
    <x v="0"/>
    <x v="0"/>
    <x v="1"/>
    <x v="1"/>
    <x v="12"/>
    <x v="0"/>
    <x v="3"/>
    <x v="0"/>
    <x v="4"/>
    <x v="1"/>
    <x v="4"/>
    <x v="3"/>
    <x v="0"/>
    <x v="32"/>
    <x v="0"/>
    <x v="0"/>
    <x v="0"/>
    <x v="0"/>
    <x v="0"/>
    <x v="0"/>
  </r>
  <r>
    <x v="623"/>
    <x v="1"/>
    <x v="1"/>
    <x v="1"/>
    <x v="1"/>
    <x v="12"/>
    <x v="0"/>
    <x v="3"/>
    <x v="0"/>
    <x v="4"/>
    <x v="1"/>
    <x v="1"/>
    <x v="3"/>
    <x v="0"/>
    <x v="32"/>
    <x v="0"/>
    <x v="0"/>
    <x v="0"/>
    <x v="0"/>
    <x v="0"/>
    <x v="0"/>
  </r>
  <r>
    <x v="624"/>
    <x v="1"/>
    <x v="1"/>
    <x v="1"/>
    <x v="1"/>
    <x v="12"/>
    <x v="0"/>
    <x v="3"/>
    <x v="0"/>
    <x v="4"/>
    <x v="1"/>
    <x v="4"/>
    <x v="3"/>
    <x v="0"/>
    <x v="32"/>
    <x v="0"/>
    <x v="0"/>
    <x v="0"/>
    <x v="0"/>
    <x v="0"/>
    <x v="0"/>
  </r>
  <r>
    <x v="625"/>
    <x v="0"/>
    <x v="0"/>
    <x v="0"/>
    <x v="0"/>
    <x v="12"/>
    <x v="0"/>
    <x v="4"/>
    <x v="1"/>
    <x v="4"/>
    <x v="1"/>
    <x v="1"/>
    <x v="1"/>
    <x v="0"/>
    <x v="9"/>
    <x v="0"/>
    <x v="0"/>
    <x v="0"/>
    <x v="0"/>
    <x v="0"/>
    <x v="0"/>
  </r>
  <r>
    <x v="626"/>
    <x v="0"/>
    <x v="0"/>
    <x v="1"/>
    <x v="1"/>
    <x v="12"/>
    <x v="0"/>
    <x v="2"/>
    <x v="3"/>
    <x v="3"/>
    <x v="0"/>
    <x v="4"/>
    <x v="1"/>
    <x v="1"/>
    <x v="9"/>
    <x v="0"/>
    <x v="0"/>
    <x v="0"/>
    <x v="0"/>
    <x v="0"/>
    <x v="0"/>
  </r>
  <r>
    <x v="627"/>
    <x v="1"/>
    <x v="1"/>
    <x v="1"/>
    <x v="1"/>
    <x v="12"/>
    <x v="0"/>
    <x v="3"/>
    <x v="3"/>
    <x v="3"/>
    <x v="1"/>
    <x v="1"/>
    <x v="4"/>
    <x v="1"/>
    <x v="9"/>
    <x v="0"/>
    <x v="0"/>
    <x v="1"/>
    <x v="0"/>
    <x v="0"/>
    <x v="0"/>
  </r>
  <r>
    <x v="628"/>
    <x v="1"/>
    <x v="1"/>
    <x v="1"/>
    <x v="1"/>
    <x v="12"/>
    <x v="0"/>
    <x v="3"/>
    <x v="0"/>
    <x v="4"/>
    <x v="1"/>
    <x v="3"/>
    <x v="3"/>
    <x v="0"/>
    <x v="9"/>
    <x v="0"/>
    <x v="0"/>
    <x v="1"/>
    <x v="0"/>
    <x v="0"/>
    <x v="0"/>
  </r>
  <r>
    <x v="629"/>
    <x v="1"/>
    <x v="1"/>
    <x v="1"/>
    <x v="1"/>
    <x v="12"/>
    <x v="0"/>
    <x v="3"/>
    <x v="0"/>
    <x v="4"/>
    <x v="0"/>
    <x v="3"/>
    <x v="1"/>
    <x v="0"/>
    <x v="9"/>
    <x v="0"/>
    <x v="0"/>
    <x v="0"/>
    <x v="0"/>
    <x v="0"/>
    <x v="0"/>
  </r>
  <r>
    <x v="630"/>
    <x v="1"/>
    <x v="1"/>
    <x v="1"/>
    <x v="1"/>
    <x v="12"/>
    <x v="0"/>
    <x v="4"/>
    <x v="1"/>
    <x v="4"/>
    <x v="0"/>
    <x v="1"/>
    <x v="1"/>
    <x v="0"/>
    <x v="9"/>
    <x v="0"/>
    <x v="0"/>
    <x v="0"/>
    <x v="0"/>
    <x v="0"/>
    <x v="0"/>
  </r>
  <r>
    <x v="631"/>
    <x v="0"/>
    <x v="0"/>
    <x v="0"/>
    <x v="0"/>
    <x v="12"/>
    <x v="0"/>
    <x v="4"/>
    <x v="1"/>
    <x v="4"/>
    <x v="1"/>
    <x v="1"/>
    <x v="1"/>
    <x v="0"/>
    <x v="5"/>
    <x v="0"/>
    <x v="0"/>
    <x v="0"/>
    <x v="0"/>
    <x v="0"/>
    <x v="0"/>
  </r>
  <r>
    <x v="632"/>
    <x v="1"/>
    <x v="1"/>
    <x v="0"/>
    <x v="0"/>
    <x v="12"/>
    <x v="0"/>
    <x v="4"/>
    <x v="1"/>
    <x v="4"/>
    <x v="1"/>
    <x v="1"/>
    <x v="1"/>
    <x v="0"/>
    <x v="5"/>
    <x v="0"/>
    <x v="0"/>
    <x v="0"/>
    <x v="0"/>
    <x v="0"/>
    <x v="0"/>
  </r>
  <r>
    <x v="633"/>
    <x v="1"/>
    <x v="1"/>
    <x v="0"/>
    <x v="0"/>
    <x v="12"/>
    <x v="0"/>
    <x v="4"/>
    <x v="1"/>
    <x v="4"/>
    <x v="0"/>
    <x v="1"/>
    <x v="1"/>
    <x v="0"/>
    <x v="5"/>
    <x v="0"/>
    <x v="0"/>
    <x v="0"/>
    <x v="0"/>
    <x v="0"/>
    <x v="0"/>
  </r>
  <r>
    <x v="634"/>
    <x v="0"/>
    <x v="0"/>
    <x v="1"/>
    <x v="1"/>
    <x v="12"/>
    <x v="0"/>
    <x v="4"/>
    <x v="1"/>
    <x v="4"/>
    <x v="1"/>
    <x v="1"/>
    <x v="1"/>
    <x v="0"/>
    <x v="5"/>
    <x v="0"/>
    <x v="0"/>
    <x v="0"/>
    <x v="0"/>
    <x v="0"/>
    <x v="0"/>
  </r>
  <r>
    <x v="635"/>
    <x v="0"/>
    <x v="0"/>
    <x v="1"/>
    <x v="1"/>
    <x v="12"/>
    <x v="0"/>
    <x v="4"/>
    <x v="1"/>
    <x v="4"/>
    <x v="1"/>
    <x v="1"/>
    <x v="1"/>
    <x v="0"/>
    <x v="5"/>
    <x v="0"/>
    <x v="0"/>
    <x v="0"/>
    <x v="0"/>
    <x v="0"/>
    <x v="0"/>
  </r>
  <r>
    <x v="636"/>
    <x v="0"/>
    <x v="0"/>
    <x v="1"/>
    <x v="1"/>
    <x v="12"/>
    <x v="0"/>
    <x v="4"/>
    <x v="1"/>
    <x v="4"/>
    <x v="1"/>
    <x v="1"/>
    <x v="1"/>
    <x v="0"/>
    <x v="5"/>
    <x v="0"/>
    <x v="0"/>
    <x v="0"/>
    <x v="0"/>
    <x v="0"/>
    <x v="0"/>
  </r>
  <r>
    <x v="637"/>
    <x v="0"/>
    <x v="0"/>
    <x v="0"/>
    <x v="0"/>
    <x v="12"/>
    <x v="0"/>
    <x v="4"/>
    <x v="3"/>
    <x v="4"/>
    <x v="1"/>
    <x v="1"/>
    <x v="1"/>
    <x v="0"/>
    <x v="10"/>
    <x v="0"/>
    <x v="0"/>
    <x v="0"/>
    <x v="0"/>
    <x v="0"/>
    <x v="0"/>
  </r>
  <r>
    <x v="638"/>
    <x v="0"/>
    <x v="0"/>
    <x v="0"/>
    <x v="0"/>
    <x v="12"/>
    <x v="0"/>
    <x v="4"/>
    <x v="3"/>
    <x v="4"/>
    <x v="1"/>
    <x v="1"/>
    <x v="1"/>
    <x v="0"/>
    <x v="10"/>
    <x v="0"/>
    <x v="0"/>
    <x v="0"/>
    <x v="0"/>
    <x v="0"/>
    <x v="0"/>
  </r>
  <r>
    <x v="639"/>
    <x v="0"/>
    <x v="0"/>
    <x v="0"/>
    <x v="0"/>
    <x v="12"/>
    <x v="0"/>
    <x v="4"/>
    <x v="3"/>
    <x v="4"/>
    <x v="1"/>
    <x v="1"/>
    <x v="1"/>
    <x v="0"/>
    <x v="10"/>
    <x v="0"/>
    <x v="0"/>
    <x v="0"/>
    <x v="0"/>
    <x v="0"/>
    <x v="0"/>
  </r>
  <r>
    <x v="640"/>
    <x v="1"/>
    <x v="1"/>
    <x v="0"/>
    <x v="0"/>
    <x v="12"/>
    <x v="0"/>
    <x v="4"/>
    <x v="1"/>
    <x v="4"/>
    <x v="1"/>
    <x v="1"/>
    <x v="1"/>
    <x v="0"/>
    <x v="10"/>
    <x v="0"/>
    <x v="0"/>
    <x v="0"/>
    <x v="0"/>
    <x v="0"/>
    <x v="0"/>
  </r>
  <r>
    <x v="641"/>
    <x v="1"/>
    <x v="1"/>
    <x v="0"/>
    <x v="0"/>
    <x v="12"/>
    <x v="0"/>
    <x v="4"/>
    <x v="3"/>
    <x v="4"/>
    <x v="0"/>
    <x v="1"/>
    <x v="1"/>
    <x v="0"/>
    <x v="10"/>
    <x v="0"/>
    <x v="0"/>
    <x v="0"/>
    <x v="0"/>
    <x v="0"/>
    <x v="0"/>
  </r>
  <r>
    <x v="642"/>
    <x v="1"/>
    <x v="1"/>
    <x v="0"/>
    <x v="0"/>
    <x v="12"/>
    <x v="0"/>
    <x v="4"/>
    <x v="3"/>
    <x v="4"/>
    <x v="0"/>
    <x v="1"/>
    <x v="1"/>
    <x v="0"/>
    <x v="10"/>
    <x v="0"/>
    <x v="0"/>
    <x v="0"/>
    <x v="0"/>
    <x v="0"/>
    <x v="0"/>
  </r>
  <r>
    <x v="643"/>
    <x v="0"/>
    <x v="0"/>
    <x v="1"/>
    <x v="1"/>
    <x v="12"/>
    <x v="0"/>
    <x v="4"/>
    <x v="3"/>
    <x v="4"/>
    <x v="1"/>
    <x v="1"/>
    <x v="1"/>
    <x v="0"/>
    <x v="10"/>
    <x v="0"/>
    <x v="0"/>
    <x v="0"/>
    <x v="0"/>
    <x v="0"/>
    <x v="0"/>
  </r>
  <r>
    <x v="644"/>
    <x v="0"/>
    <x v="0"/>
    <x v="1"/>
    <x v="1"/>
    <x v="12"/>
    <x v="0"/>
    <x v="4"/>
    <x v="3"/>
    <x v="4"/>
    <x v="0"/>
    <x v="1"/>
    <x v="1"/>
    <x v="0"/>
    <x v="10"/>
    <x v="0"/>
    <x v="0"/>
    <x v="0"/>
    <x v="0"/>
    <x v="0"/>
    <x v="0"/>
  </r>
  <r>
    <x v="645"/>
    <x v="1"/>
    <x v="1"/>
    <x v="1"/>
    <x v="1"/>
    <x v="12"/>
    <x v="0"/>
    <x v="4"/>
    <x v="1"/>
    <x v="4"/>
    <x v="0"/>
    <x v="1"/>
    <x v="1"/>
    <x v="0"/>
    <x v="10"/>
    <x v="0"/>
    <x v="0"/>
    <x v="0"/>
    <x v="0"/>
    <x v="0"/>
    <x v="0"/>
  </r>
  <r>
    <x v="646"/>
    <x v="0"/>
    <x v="0"/>
    <x v="0"/>
    <x v="0"/>
    <x v="12"/>
    <x v="0"/>
    <x v="4"/>
    <x v="3"/>
    <x v="4"/>
    <x v="1"/>
    <x v="1"/>
    <x v="1"/>
    <x v="0"/>
    <x v="25"/>
    <x v="0"/>
    <x v="0"/>
    <x v="0"/>
    <x v="0"/>
    <x v="0"/>
    <x v="0"/>
  </r>
  <r>
    <x v="647"/>
    <x v="0"/>
    <x v="0"/>
    <x v="1"/>
    <x v="1"/>
    <x v="12"/>
    <x v="0"/>
    <x v="4"/>
    <x v="3"/>
    <x v="4"/>
    <x v="1"/>
    <x v="1"/>
    <x v="1"/>
    <x v="0"/>
    <x v="25"/>
    <x v="0"/>
    <x v="0"/>
    <x v="1"/>
    <x v="0"/>
    <x v="0"/>
    <x v="0"/>
  </r>
  <r>
    <x v="648"/>
    <x v="1"/>
    <x v="1"/>
    <x v="1"/>
    <x v="1"/>
    <x v="12"/>
    <x v="0"/>
    <x v="4"/>
    <x v="3"/>
    <x v="4"/>
    <x v="1"/>
    <x v="1"/>
    <x v="1"/>
    <x v="0"/>
    <x v="25"/>
    <x v="0"/>
    <x v="0"/>
    <x v="0"/>
    <x v="0"/>
    <x v="0"/>
    <x v="0"/>
  </r>
  <r>
    <x v="649"/>
    <x v="1"/>
    <x v="1"/>
    <x v="1"/>
    <x v="1"/>
    <x v="12"/>
    <x v="0"/>
    <x v="4"/>
    <x v="3"/>
    <x v="0"/>
    <x v="0"/>
    <x v="1"/>
    <x v="1"/>
    <x v="0"/>
    <x v="25"/>
    <x v="0"/>
    <x v="0"/>
    <x v="0"/>
    <x v="0"/>
    <x v="0"/>
    <x v="0"/>
  </r>
  <r>
    <x v="650"/>
    <x v="0"/>
    <x v="0"/>
    <x v="0"/>
    <x v="0"/>
    <x v="12"/>
    <x v="0"/>
    <x v="4"/>
    <x v="3"/>
    <x v="0"/>
    <x v="0"/>
    <x v="1"/>
    <x v="1"/>
    <x v="0"/>
    <x v="11"/>
    <x v="0"/>
    <x v="0"/>
    <x v="0"/>
    <x v="0"/>
    <x v="0"/>
    <x v="0"/>
  </r>
  <r>
    <x v="651"/>
    <x v="0"/>
    <x v="0"/>
    <x v="1"/>
    <x v="1"/>
    <x v="12"/>
    <x v="0"/>
    <x v="4"/>
    <x v="3"/>
    <x v="0"/>
    <x v="1"/>
    <x v="1"/>
    <x v="1"/>
    <x v="0"/>
    <x v="11"/>
    <x v="0"/>
    <x v="0"/>
    <x v="0"/>
    <x v="0"/>
    <x v="0"/>
    <x v="0"/>
  </r>
  <r>
    <x v="652"/>
    <x v="1"/>
    <x v="1"/>
    <x v="1"/>
    <x v="1"/>
    <x v="12"/>
    <x v="0"/>
    <x v="4"/>
    <x v="3"/>
    <x v="0"/>
    <x v="0"/>
    <x v="1"/>
    <x v="1"/>
    <x v="0"/>
    <x v="11"/>
    <x v="0"/>
    <x v="0"/>
    <x v="0"/>
    <x v="0"/>
    <x v="0"/>
    <x v="0"/>
  </r>
  <r>
    <x v="653"/>
    <x v="0"/>
    <x v="0"/>
    <x v="0"/>
    <x v="0"/>
    <x v="12"/>
    <x v="0"/>
    <x v="2"/>
    <x v="3"/>
    <x v="3"/>
    <x v="1"/>
    <x v="1"/>
    <x v="1"/>
    <x v="0"/>
    <x v="12"/>
    <x v="0"/>
    <x v="0"/>
    <x v="1"/>
    <x v="0"/>
    <x v="0"/>
    <x v="0"/>
  </r>
  <r>
    <x v="654"/>
    <x v="0"/>
    <x v="0"/>
    <x v="0"/>
    <x v="0"/>
    <x v="12"/>
    <x v="0"/>
    <x v="2"/>
    <x v="3"/>
    <x v="3"/>
    <x v="1"/>
    <x v="1"/>
    <x v="1"/>
    <x v="0"/>
    <x v="12"/>
    <x v="0"/>
    <x v="0"/>
    <x v="1"/>
    <x v="0"/>
    <x v="0"/>
    <x v="0"/>
  </r>
  <r>
    <x v="655"/>
    <x v="0"/>
    <x v="0"/>
    <x v="0"/>
    <x v="0"/>
    <x v="12"/>
    <x v="0"/>
    <x v="2"/>
    <x v="3"/>
    <x v="3"/>
    <x v="1"/>
    <x v="1"/>
    <x v="1"/>
    <x v="0"/>
    <x v="13"/>
    <x v="0"/>
    <x v="0"/>
    <x v="1"/>
    <x v="0"/>
    <x v="0"/>
    <x v="0"/>
  </r>
  <r>
    <x v="656"/>
    <x v="0"/>
    <x v="0"/>
    <x v="0"/>
    <x v="0"/>
    <x v="12"/>
    <x v="0"/>
    <x v="2"/>
    <x v="3"/>
    <x v="3"/>
    <x v="1"/>
    <x v="1"/>
    <x v="1"/>
    <x v="0"/>
    <x v="13"/>
    <x v="0"/>
    <x v="0"/>
    <x v="1"/>
    <x v="0"/>
    <x v="0"/>
    <x v="0"/>
  </r>
  <r>
    <x v="657"/>
    <x v="0"/>
    <x v="0"/>
    <x v="0"/>
    <x v="0"/>
    <x v="12"/>
    <x v="0"/>
    <x v="2"/>
    <x v="3"/>
    <x v="3"/>
    <x v="1"/>
    <x v="1"/>
    <x v="1"/>
    <x v="0"/>
    <x v="13"/>
    <x v="0"/>
    <x v="0"/>
    <x v="0"/>
    <x v="0"/>
    <x v="0"/>
    <x v="0"/>
  </r>
  <r>
    <x v="658"/>
    <x v="1"/>
    <x v="1"/>
    <x v="0"/>
    <x v="0"/>
    <x v="12"/>
    <x v="0"/>
    <x v="4"/>
    <x v="3"/>
    <x v="0"/>
    <x v="1"/>
    <x v="4"/>
    <x v="4"/>
    <x v="1"/>
    <x v="13"/>
    <x v="0"/>
    <x v="0"/>
    <x v="0"/>
    <x v="0"/>
    <x v="0"/>
    <x v="0"/>
  </r>
  <r>
    <x v="659"/>
    <x v="0"/>
    <x v="0"/>
    <x v="1"/>
    <x v="1"/>
    <x v="12"/>
    <x v="0"/>
    <x v="2"/>
    <x v="3"/>
    <x v="3"/>
    <x v="1"/>
    <x v="1"/>
    <x v="1"/>
    <x v="0"/>
    <x v="13"/>
    <x v="0"/>
    <x v="0"/>
    <x v="0"/>
    <x v="0"/>
    <x v="0"/>
    <x v="0"/>
  </r>
  <r>
    <x v="660"/>
    <x v="0"/>
    <x v="0"/>
    <x v="1"/>
    <x v="1"/>
    <x v="12"/>
    <x v="0"/>
    <x v="4"/>
    <x v="3"/>
    <x v="0"/>
    <x v="0"/>
    <x v="4"/>
    <x v="1"/>
    <x v="1"/>
    <x v="13"/>
    <x v="0"/>
    <x v="0"/>
    <x v="1"/>
    <x v="0"/>
    <x v="0"/>
    <x v="0"/>
  </r>
  <r>
    <x v="661"/>
    <x v="0"/>
    <x v="0"/>
    <x v="0"/>
    <x v="0"/>
    <x v="12"/>
    <x v="0"/>
    <x v="0"/>
    <x v="2"/>
    <x v="3"/>
    <x v="1"/>
    <x v="3"/>
    <x v="4"/>
    <x v="1"/>
    <x v="26"/>
    <x v="0"/>
    <x v="0"/>
    <x v="1"/>
    <x v="0"/>
    <x v="0"/>
    <x v="0"/>
  </r>
  <r>
    <x v="662"/>
    <x v="0"/>
    <x v="0"/>
    <x v="0"/>
    <x v="0"/>
    <x v="12"/>
    <x v="0"/>
    <x v="2"/>
    <x v="3"/>
    <x v="3"/>
    <x v="1"/>
    <x v="4"/>
    <x v="1"/>
    <x v="0"/>
    <x v="26"/>
    <x v="0"/>
    <x v="0"/>
    <x v="0"/>
    <x v="0"/>
    <x v="0"/>
    <x v="0"/>
  </r>
  <r>
    <x v="663"/>
    <x v="0"/>
    <x v="0"/>
    <x v="0"/>
    <x v="0"/>
    <x v="12"/>
    <x v="0"/>
    <x v="2"/>
    <x v="3"/>
    <x v="3"/>
    <x v="1"/>
    <x v="1"/>
    <x v="1"/>
    <x v="0"/>
    <x v="26"/>
    <x v="0"/>
    <x v="0"/>
    <x v="0"/>
    <x v="0"/>
    <x v="0"/>
    <x v="0"/>
  </r>
  <r>
    <x v="664"/>
    <x v="0"/>
    <x v="0"/>
    <x v="1"/>
    <x v="1"/>
    <x v="12"/>
    <x v="0"/>
    <x v="2"/>
    <x v="3"/>
    <x v="3"/>
    <x v="1"/>
    <x v="4"/>
    <x v="1"/>
    <x v="0"/>
    <x v="26"/>
    <x v="0"/>
    <x v="0"/>
    <x v="0"/>
    <x v="0"/>
    <x v="0"/>
    <x v="0"/>
  </r>
  <r>
    <x v="665"/>
    <x v="0"/>
    <x v="0"/>
    <x v="1"/>
    <x v="1"/>
    <x v="12"/>
    <x v="0"/>
    <x v="2"/>
    <x v="3"/>
    <x v="3"/>
    <x v="1"/>
    <x v="1"/>
    <x v="1"/>
    <x v="0"/>
    <x v="26"/>
    <x v="0"/>
    <x v="0"/>
    <x v="0"/>
    <x v="0"/>
    <x v="0"/>
    <x v="0"/>
  </r>
  <r>
    <x v="666"/>
    <x v="0"/>
    <x v="0"/>
    <x v="1"/>
    <x v="1"/>
    <x v="12"/>
    <x v="0"/>
    <x v="2"/>
    <x v="3"/>
    <x v="3"/>
    <x v="0"/>
    <x v="1"/>
    <x v="1"/>
    <x v="0"/>
    <x v="26"/>
    <x v="0"/>
    <x v="0"/>
    <x v="0"/>
    <x v="0"/>
    <x v="0"/>
    <x v="0"/>
  </r>
  <r>
    <x v="667"/>
    <x v="0"/>
    <x v="0"/>
    <x v="1"/>
    <x v="1"/>
    <x v="12"/>
    <x v="0"/>
    <x v="0"/>
    <x v="2"/>
    <x v="3"/>
    <x v="1"/>
    <x v="3"/>
    <x v="1"/>
    <x v="1"/>
    <x v="6"/>
    <x v="0"/>
    <x v="0"/>
    <x v="0"/>
    <x v="0"/>
    <x v="0"/>
    <x v="0"/>
  </r>
  <r>
    <x v="668"/>
    <x v="0"/>
    <x v="0"/>
    <x v="1"/>
    <x v="1"/>
    <x v="12"/>
    <x v="0"/>
    <x v="0"/>
    <x v="2"/>
    <x v="3"/>
    <x v="1"/>
    <x v="3"/>
    <x v="4"/>
    <x v="1"/>
    <x v="6"/>
    <x v="0"/>
    <x v="0"/>
    <x v="0"/>
    <x v="0"/>
    <x v="0"/>
    <x v="0"/>
  </r>
  <r>
    <x v="669"/>
    <x v="0"/>
    <x v="0"/>
    <x v="1"/>
    <x v="1"/>
    <x v="12"/>
    <x v="0"/>
    <x v="2"/>
    <x v="3"/>
    <x v="3"/>
    <x v="1"/>
    <x v="4"/>
    <x v="1"/>
    <x v="0"/>
    <x v="6"/>
    <x v="0"/>
    <x v="0"/>
    <x v="0"/>
    <x v="0"/>
    <x v="0"/>
    <x v="0"/>
  </r>
  <r>
    <x v="670"/>
    <x v="1"/>
    <x v="1"/>
    <x v="1"/>
    <x v="1"/>
    <x v="12"/>
    <x v="0"/>
    <x v="4"/>
    <x v="3"/>
    <x v="0"/>
    <x v="0"/>
    <x v="4"/>
    <x v="4"/>
    <x v="1"/>
    <x v="14"/>
    <x v="0"/>
    <x v="0"/>
    <x v="1"/>
    <x v="0"/>
    <x v="0"/>
    <x v="0"/>
  </r>
  <r>
    <x v="671"/>
    <x v="0"/>
    <x v="0"/>
    <x v="1"/>
    <x v="1"/>
    <x v="12"/>
    <x v="0"/>
    <x v="0"/>
    <x v="2"/>
    <x v="3"/>
    <x v="1"/>
    <x v="3"/>
    <x v="4"/>
    <x v="1"/>
    <x v="27"/>
    <x v="0"/>
    <x v="0"/>
    <x v="1"/>
    <x v="0"/>
    <x v="0"/>
    <x v="0"/>
  </r>
  <r>
    <x v="672"/>
    <x v="1"/>
    <x v="1"/>
    <x v="0"/>
    <x v="0"/>
    <x v="12"/>
    <x v="0"/>
    <x v="3"/>
    <x v="0"/>
    <x v="4"/>
    <x v="0"/>
    <x v="4"/>
    <x v="3"/>
    <x v="1"/>
    <x v="4"/>
    <x v="0"/>
    <x v="0"/>
    <x v="0"/>
    <x v="0"/>
    <x v="0"/>
    <x v="0"/>
  </r>
  <r>
    <x v="673"/>
    <x v="0"/>
    <x v="0"/>
    <x v="1"/>
    <x v="1"/>
    <x v="12"/>
    <x v="0"/>
    <x v="3"/>
    <x v="0"/>
    <x v="4"/>
    <x v="1"/>
    <x v="4"/>
    <x v="1"/>
    <x v="1"/>
    <x v="4"/>
    <x v="0"/>
    <x v="0"/>
    <x v="1"/>
    <x v="0"/>
    <x v="0"/>
    <x v="0"/>
  </r>
  <r>
    <x v="674"/>
    <x v="1"/>
    <x v="1"/>
    <x v="1"/>
    <x v="1"/>
    <x v="12"/>
    <x v="0"/>
    <x v="3"/>
    <x v="0"/>
    <x v="4"/>
    <x v="0"/>
    <x v="4"/>
    <x v="3"/>
    <x v="1"/>
    <x v="4"/>
    <x v="0"/>
    <x v="0"/>
    <x v="0"/>
    <x v="0"/>
    <x v="0"/>
    <x v="0"/>
  </r>
  <r>
    <x v="675"/>
    <x v="0"/>
    <x v="0"/>
    <x v="0"/>
    <x v="0"/>
    <x v="12"/>
    <x v="0"/>
    <x v="2"/>
    <x v="0"/>
    <x v="4"/>
    <x v="1"/>
    <x v="4"/>
    <x v="3"/>
    <x v="1"/>
    <x v="0"/>
    <x v="0"/>
    <x v="0"/>
    <x v="0"/>
    <x v="0"/>
    <x v="0"/>
    <x v="0"/>
  </r>
  <r>
    <x v="676"/>
    <x v="0"/>
    <x v="0"/>
    <x v="0"/>
    <x v="0"/>
    <x v="12"/>
    <x v="0"/>
    <x v="3"/>
    <x v="0"/>
    <x v="4"/>
    <x v="1"/>
    <x v="4"/>
    <x v="1"/>
    <x v="1"/>
    <x v="0"/>
    <x v="0"/>
    <x v="0"/>
    <x v="1"/>
    <x v="0"/>
    <x v="0"/>
    <x v="0"/>
  </r>
  <r>
    <x v="677"/>
    <x v="0"/>
    <x v="0"/>
    <x v="1"/>
    <x v="1"/>
    <x v="12"/>
    <x v="0"/>
    <x v="2"/>
    <x v="0"/>
    <x v="4"/>
    <x v="1"/>
    <x v="4"/>
    <x v="3"/>
    <x v="1"/>
    <x v="0"/>
    <x v="0"/>
    <x v="0"/>
    <x v="0"/>
    <x v="0"/>
    <x v="0"/>
    <x v="0"/>
  </r>
  <r>
    <x v="678"/>
    <x v="0"/>
    <x v="0"/>
    <x v="0"/>
    <x v="0"/>
    <x v="12"/>
    <x v="0"/>
    <x v="2"/>
    <x v="0"/>
    <x v="4"/>
    <x v="1"/>
    <x v="4"/>
    <x v="3"/>
    <x v="1"/>
    <x v="36"/>
    <x v="0"/>
    <x v="0"/>
    <x v="0"/>
    <x v="0"/>
    <x v="0"/>
    <x v="0"/>
  </r>
  <r>
    <x v="679"/>
    <x v="0"/>
    <x v="0"/>
    <x v="0"/>
    <x v="0"/>
    <x v="12"/>
    <x v="0"/>
    <x v="2"/>
    <x v="0"/>
    <x v="4"/>
    <x v="1"/>
    <x v="4"/>
    <x v="3"/>
    <x v="1"/>
    <x v="36"/>
    <x v="0"/>
    <x v="0"/>
    <x v="0"/>
    <x v="0"/>
    <x v="0"/>
    <x v="0"/>
  </r>
  <r>
    <x v="680"/>
    <x v="0"/>
    <x v="0"/>
    <x v="0"/>
    <x v="0"/>
    <x v="12"/>
    <x v="0"/>
    <x v="2"/>
    <x v="0"/>
    <x v="4"/>
    <x v="1"/>
    <x v="4"/>
    <x v="3"/>
    <x v="1"/>
    <x v="7"/>
    <x v="0"/>
    <x v="1"/>
    <x v="0"/>
    <x v="0"/>
    <x v="0"/>
    <x v="0"/>
  </r>
  <r>
    <x v="681"/>
    <x v="0"/>
    <x v="0"/>
    <x v="0"/>
    <x v="0"/>
    <x v="12"/>
    <x v="0"/>
    <x v="2"/>
    <x v="0"/>
    <x v="4"/>
    <x v="1"/>
    <x v="4"/>
    <x v="3"/>
    <x v="1"/>
    <x v="7"/>
    <x v="0"/>
    <x v="1"/>
    <x v="0"/>
    <x v="0"/>
    <x v="0"/>
    <x v="0"/>
  </r>
  <r>
    <x v="682"/>
    <x v="1"/>
    <x v="1"/>
    <x v="0"/>
    <x v="0"/>
    <x v="12"/>
    <x v="0"/>
    <x v="3"/>
    <x v="0"/>
    <x v="3"/>
    <x v="1"/>
    <x v="3"/>
    <x v="0"/>
    <x v="2"/>
    <x v="16"/>
    <x v="0"/>
    <x v="1"/>
    <x v="0"/>
    <x v="0"/>
    <x v="0"/>
    <x v="0"/>
  </r>
  <r>
    <x v="683"/>
    <x v="0"/>
    <x v="0"/>
    <x v="1"/>
    <x v="1"/>
    <x v="12"/>
    <x v="0"/>
    <x v="3"/>
    <x v="3"/>
    <x v="1"/>
    <x v="1"/>
    <x v="4"/>
    <x v="1"/>
    <x v="2"/>
    <x v="16"/>
    <x v="0"/>
    <x v="1"/>
    <x v="0"/>
    <x v="0"/>
    <x v="0"/>
    <x v="0"/>
  </r>
  <r>
    <x v="684"/>
    <x v="1"/>
    <x v="1"/>
    <x v="1"/>
    <x v="1"/>
    <x v="12"/>
    <x v="0"/>
    <x v="5"/>
    <x v="4"/>
    <x v="4"/>
    <x v="0"/>
    <x v="3"/>
    <x v="0"/>
    <x v="2"/>
    <x v="16"/>
    <x v="0"/>
    <x v="1"/>
    <x v="0"/>
    <x v="0"/>
    <x v="0"/>
    <x v="0"/>
  </r>
  <r>
    <x v="685"/>
    <x v="1"/>
    <x v="1"/>
    <x v="1"/>
    <x v="1"/>
    <x v="12"/>
    <x v="0"/>
    <x v="3"/>
    <x v="0"/>
    <x v="3"/>
    <x v="0"/>
    <x v="3"/>
    <x v="3"/>
    <x v="2"/>
    <x v="16"/>
    <x v="0"/>
    <x v="1"/>
    <x v="1"/>
    <x v="0"/>
    <x v="0"/>
    <x v="0"/>
  </r>
  <r>
    <x v="686"/>
    <x v="1"/>
    <x v="1"/>
    <x v="1"/>
    <x v="1"/>
    <x v="12"/>
    <x v="0"/>
    <x v="3"/>
    <x v="3"/>
    <x v="1"/>
    <x v="0"/>
    <x v="4"/>
    <x v="0"/>
    <x v="2"/>
    <x v="16"/>
    <x v="0"/>
    <x v="1"/>
    <x v="0"/>
    <x v="0"/>
    <x v="0"/>
    <x v="0"/>
  </r>
  <r>
    <x v="687"/>
    <x v="1"/>
    <x v="1"/>
    <x v="0"/>
    <x v="0"/>
    <x v="12"/>
    <x v="0"/>
    <x v="3"/>
    <x v="3"/>
    <x v="1"/>
    <x v="0"/>
    <x v="4"/>
    <x v="0"/>
    <x v="2"/>
    <x v="31"/>
    <x v="0"/>
    <x v="1"/>
    <x v="0"/>
    <x v="0"/>
    <x v="0"/>
    <x v="0"/>
  </r>
  <r>
    <x v="688"/>
    <x v="1"/>
    <x v="1"/>
    <x v="0"/>
    <x v="0"/>
    <x v="12"/>
    <x v="0"/>
    <x v="3"/>
    <x v="0"/>
    <x v="3"/>
    <x v="0"/>
    <x v="3"/>
    <x v="3"/>
    <x v="2"/>
    <x v="31"/>
    <x v="0"/>
    <x v="1"/>
    <x v="0"/>
    <x v="0"/>
    <x v="0"/>
    <x v="0"/>
  </r>
  <r>
    <x v="689"/>
    <x v="0"/>
    <x v="0"/>
    <x v="0"/>
    <x v="0"/>
    <x v="12"/>
    <x v="0"/>
    <x v="5"/>
    <x v="0"/>
    <x v="0"/>
    <x v="0"/>
    <x v="3"/>
    <x v="3"/>
    <x v="1"/>
    <x v="17"/>
    <x v="0"/>
    <x v="1"/>
    <x v="0"/>
    <x v="0"/>
    <x v="0"/>
    <x v="0"/>
  </r>
  <r>
    <x v="690"/>
    <x v="0"/>
    <x v="0"/>
    <x v="0"/>
    <x v="0"/>
    <x v="12"/>
    <x v="0"/>
    <x v="5"/>
    <x v="0"/>
    <x v="0"/>
    <x v="1"/>
    <x v="3"/>
    <x v="0"/>
    <x v="1"/>
    <x v="17"/>
    <x v="0"/>
    <x v="1"/>
    <x v="1"/>
    <x v="0"/>
    <x v="0"/>
    <x v="0"/>
  </r>
  <r>
    <x v="691"/>
    <x v="0"/>
    <x v="0"/>
    <x v="1"/>
    <x v="1"/>
    <x v="12"/>
    <x v="0"/>
    <x v="5"/>
    <x v="0"/>
    <x v="0"/>
    <x v="0"/>
    <x v="3"/>
    <x v="0"/>
    <x v="1"/>
    <x v="17"/>
    <x v="0"/>
    <x v="1"/>
    <x v="0"/>
    <x v="0"/>
    <x v="0"/>
    <x v="0"/>
  </r>
  <r>
    <x v="692"/>
    <x v="0"/>
    <x v="0"/>
    <x v="1"/>
    <x v="1"/>
    <x v="12"/>
    <x v="0"/>
    <x v="3"/>
    <x v="4"/>
    <x v="3"/>
    <x v="1"/>
    <x v="3"/>
    <x v="4"/>
    <x v="1"/>
    <x v="1"/>
    <x v="0"/>
    <x v="1"/>
    <x v="1"/>
    <x v="0"/>
    <x v="0"/>
    <x v="0"/>
  </r>
  <r>
    <x v="693"/>
    <x v="1"/>
    <x v="1"/>
    <x v="0"/>
    <x v="0"/>
    <x v="12"/>
    <x v="0"/>
    <x v="3"/>
    <x v="2"/>
    <x v="0"/>
    <x v="1"/>
    <x v="3"/>
    <x v="2"/>
    <x v="1"/>
    <x v="40"/>
    <x v="0"/>
    <x v="1"/>
    <x v="1"/>
    <x v="0"/>
    <x v="0"/>
    <x v="0"/>
  </r>
  <r>
    <x v="694"/>
    <x v="1"/>
    <x v="1"/>
    <x v="1"/>
    <x v="1"/>
    <x v="12"/>
    <x v="0"/>
    <x v="3"/>
    <x v="2"/>
    <x v="0"/>
    <x v="0"/>
    <x v="4"/>
    <x v="4"/>
    <x v="1"/>
    <x v="18"/>
    <x v="0"/>
    <x v="1"/>
    <x v="0"/>
    <x v="0"/>
    <x v="0"/>
    <x v="0"/>
  </r>
  <r>
    <x v="695"/>
    <x v="0"/>
    <x v="0"/>
    <x v="0"/>
    <x v="0"/>
    <x v="12"/>
    <x v="0"/>
    <x v="0"/>
    <x v="2"/>
    <x v="0"/>
    <x v="1"/>
    <x v="3"/>
    <x v="0"/>
    <x v="1"/>
    <x v="19"/>
    <x v="0"/>
    <x v="1"/>
    <x v="0"/>
    <x v="0"/>
    <x v="0"/>
    <x v="0"/>
  </r>
  <r>
    <x v="696"/>
    <x v="0"/>
    <x v="0"/>
    <x v="0"/>
    <x v="0"/>
    <x v="12"/>
    <x v="0"/>
    <x v="3"/>
    <x v="2"/>
    <x v="0"/>
    <x v="0"/>
    <x v="3"/>
    <x v="4"/>
    <x v="1"/>
    <x v="19"/>
    <x v="0"/>
    <x v="1"/>
    <x v="1"/>
    <x v="0"/>
    <x v="0"/>
    <x v="0"/>
  </r>
  <r>
    <x v="697"/>
    <x v="0"/>
    <x v="0"/>
    <x v="0"/>
    <x v="0"/>
    <x v="12"/>
    <x v="0"/>
    <x v="1"/>
    <x v="2"/>
    <x v="0"/>
    <x v="0"/>
    <x v="3"/>
    <x v="4"/>
    <x v="1"/>
    <x v="41"/>
    <x v="0"/>
    <x v="1"/>
    <x v="1"/>
    <x v="0"/>
    <x v="0"/>
    <x v="0"/>
  </r>
  <r>
    <x v="698"/>
    <x v="0"/>
    <x v="0"/>
    <x v="0"/>
    <x v="0"/>
    <x v="12"/>
    <x v="0"/>
    <x v="1"/>
    <x v="2"/>
    <x v="0"/>
    <x v="1"/>
    <x v="3"/>
    <x v="2"/>
    <x v="1"/>
    <x v="41"/>
    <x v="0"/>
    <x v="1"/>
    <x v="1"/>
    <x v="0"/>
    <x v="0"/>
    <x v="0"/>
  </r>
  <r>
    <x v="699"/>
    <x v="1"/>
    <x v="1"/>
    <x v="0"/>
    <x v="0"/>
    <x v="12"/>
    <x v="0"/>
    <x v="1"/>
    <x v="2"/>
    <x v="0"/>
    <x v="0"/>
    <x v="0"/>
    <x v="4"/>
    <x v="1"/>
    <x v="41"/>
    <x v="0"/>
    <x v="1"/>
    <x v="0"/>
    <x v="0"/>
    <x v="0"/>
    <x v="0"/>
  </r>
  <r>
    <x v="700"/>
    <x v="1"/>
    <x v="1"/>
    <x v="1"/>
    <x v="1"/>
    <x v="12"/>
    <x v="0"/>
    <x v="1"/>
    <x v="2"/>
    <x v="0"/>
    <x v="1"/>
    <x v="2"/>
    <x v="2"/>
    <x v="1"/>
    <x v="41"/>
    <x v="0"/>
    <x v="1"/>
    <x v="0"/>
    <x v="0"/>
    <x v="0"/>
    <x v="0"/>
  </r>
  <r>
    <x v="701"/>
    <x v="0"/>
    <x v="0"/>
    <x v="0"/>
    <x v="0"/>
    <x v="12"/>
    <x v="0"/>
    <x v="1"/>
    <x v="2"/>
    <x v="0"/>
    <x v="0"/>
    <x v="3"/>
    <x v="2"/>
    <x v="1"/>
    <x v="20"/>
    <x v="0"/>
    <x v="1"/>
    <x v="1"/>
    <x v="0"/>
    <x v="0"/>
    <x v="0"/>
  </r>
  <r>
    <x v="702"/>
    <x v="0"/>
    <x v="0"/>
    <x v="0"/>
    <x v="0"/>
    <x v="12"/>
    <x v="0"/>
    <x v="0"/>
    <x v="2"/>
    <x v="0"/>
    <x v="1"/>
    <x v="3"/>
    <x v="2"/>
    <x v="1"/>
    <x v="20"/>
    <x v="0"/>
    <x v="1"/>
    <x v="1"/>
    <x v="0"/>
    <x v="0"/>
    <x v="0"/>
  </r>
  <r>
    <x v="703"/>
    <x v="0"/>
    <x v="0"/>
    <x v="1"/>
    <x v="1"/>
    <x v="12"/>
    <x v="0"/>
    <x v="0"/>
    <x v="2"/>
    <x v="0"/>
    <x v="0"/>
    <x v="3"/>
    <x v="2"/>
    <x v="1"/>
    <x v="20"/>
    <x v="0"/>
    <x v="1"/>
    <x v="0"/>
    <x v="0"/>
    <x v="0"/>
    <x v="0"/>
  </r>
  <r>
    <x v="704"/>
    <x v="1"/>
    <x v="1"/>
    <x v="1"/>
    <x v="1"/>
    <x v="12"/>
    <x v="0"/>
    <x v="0"/>
    <x v="2"/>
    <x v="0"/>
    <x v="1"/>
    <x v="3"/>
    <x v="2"/>
    <x v="1"/>
    <x v="29"/>
    <x v="0"/>
    <x v="1"/>
    <x v="0"/>
    <x v="0"/>
    <x v="0"/>
    <x v="0"/>
  </r>
  <r>
    <x v="705"/>
    <x v="1"/>
    <x v="1"/>
    <x v="1"/>
    <x v="1"/>
    <x v="12"/>
    <x v="0"/>
    <x v="3"/>
    <x v="3"/>
    <x v="1"/>
    <x v="1"/>
    <x v="3"/>
    <x v="0"/>
    <x v="2"/>
    <x v="37"/>
    <x v="0"/>
    <x v="1"/>
    <x v="0"/>
    <x v="0"/>
    <x v="0"/>
    <x v="0"/>
  </r>
  <r>
    <x v="706"/>
    <x v="0"/>
    <x v="0"/>
    <x v="1"/>
    <x v="1"/>
    <x v="12"/>
    <x v="0"/>
    <x v="0"/>
    <x v="2"/>
    <x v="0"/>
    <x v="1"/>
    <x v="3"/>
    <x v="2"/>
    <x v="1"/>
    <x v="30"/>
    <x v="0"/>
    <x v="1"/>
    <x v="1"/>
    <x v="0"/>
    <x v="0"/>
    <x v="0"/>
  </r>
  <r>
    <x v="707"/>
    <x v="1"/>
    <x v="1"/>
    <x v="0"/>
    <x v="0"/>
    <x v="12"/>
    <x v="0"/>
    <x v="3"/>
    <x v="3"/>
    <x v="1"/>
    <x v="1"/>
    <x v="3"/>
    <x v="0"/>
    <x v="2"/>
    <x v="33"/>
    <x v="0"/>
    <x v="1"/>
    <x v="0"/>
    <x v="0"/>
    <x v="0"/>
    <x v="0"/>
  </r>
  <r>
    <x v="708"/>
    <x v="0"/>
    <x v="0"/>
    <x v="1"/>
    <x v="1"/>
    <x v="12"/>
    <x v="0"/>
    <x v="3"/>
    <x v="3"/>
    <x v="1"/>
    <x v="1"/>
    <x v="3"/>
    <x v="1"/>
    <x v="2"/>
    <x v="33"/>
    <x v="0"/>
    <x v="1"/>
    <x v="1"/>
    <x v="0"/>
    <x v="0"/>
    <x v="0"/>
  </r>
  <r>
    <x v="709"/>
    <x v="1"/>
    <x v="1"/>
    <x v="1"/>
    <x v="1"/>
    <x v="12"/>
    <x v="0"/>
    <x v="3"/>
    <x v="3"/>
    <x v="1"/>
    <x v="1"/>
    <x v="3"/>
    <x v="0"/>
    <x v="2"/>
    <x v="33"/>
    <x v="0"/>
    <x v="1"/>
    <x v="0"/>
    <x v="0"/>
    <x v="0"/>
    <x v="0"/>
  </r>
  <r>
    <x v="710"/>
    <x v="0"/>
    <x v="0"/>
    <x v="0"/>
    <x v="0"/>
    <x v="12"/>
    <x v="0"/>
    <x v="3"/>
    <x v="3"/>
    <x v="1"/>
    <x v="1"/>
    <x v="3"/>
    <x v="0"/>
    <x v="2"/>
    <x v="2"/>
    <x v="0"/>
    <x v="1"/>
    <x v="0"/>
    <x v="0"/>
    <x v="0"/>
    <x v="0"/>
  </r>
  <r>
    <x v="711"/>
    <x v="0"/>
    <x v="0"/>
    <x v="0"/>
    <x v="0"/>
    <x v="12"/>
    <x v="0"/>
    <x v="3"/>
    <x v="3"/>
    <x v="1"/>
    <x v="1"/>
    <x v="3"/>
    <x v="1"/>
    <x v="2"/>
    <x v="2"/>
    <x v="0"/>
    <x v="1"/>
    <x v="0"/>
    <x v="0"/>
    <x v="0"/>
    <x v="0"/>
  </r>
  <r>
    <x v="712"/>
    <x v="1"/>
    <x v="1"/>
    <x v="1"/>
    <x v="1"/>
    <x v="12"/>
    <x v="0"/>
    <x v="3"/>
    <x v="3"/>
    <x v="1"/>
    <x v="1"/>
    <x v="3"/>
    <x v="0"/>
    <x v="2"/>
    <x v="2"/>
    <x v="0"/>
    <x v="1"/>
    <x v="0"/>
    <x v="0"/>
    <x v="0"/>
    <x v="0"/>
  </r>
  <r>
    <x v="713"/>
    <x v="0"/>
    <x v="0"/>
    <x v="1"/>
    <x v="1"/>
    <x v="12"/>
    <x v="0"/>
    <x v="3"/>
    <x v="3"/>
    <x v="1"/>
    <x v="1"/>
    <x v="3"/>
    <x v="1"/>
    <x v="2"/>
    <x v="21"/>
    <x v="0"/>
    <x v="1"/>
    <x v="1"/>
    <x v="0"/>
    <x v="0"/>
    <x v="0"/>
  </r>
  <r>
    <x v="714"/>
    <x v="0"/>
    <x v="0"/>
    <x v="0"/>
    <x v="0"/>
    <x v="12"/>
    <x v="0"/>
    <x v="0"/>
    <x v="2"/>
    <x v="0"/>
    <x v="1"/>
    <x v="3"/>
    <x v="0"/>
    <x v="1"/>
    <x v="22"/>
    <x v="0"/>
    <x v="1"/>
    <x v="1"/>
    <x v="0"/>
    <x v="0"/>
    <x v="0"/>
  </r>
  <r>
    <x v="715"/>
    <x v="0"/>
    <x v="0"/>
    <x v="1"/>
    <x v="1"/>
    <x v="12"/>
    <x v="0"/>
    <x v="5"/>
    <x v="0"/>
    <x v="0"/>
    <x v="0"/>
    <x v="3"/>
    <x v="0"/>
    <x v="1"/>
    <x v="34"/>
    <x v="0"/>
    <x v="1"/>
    <x v="0"/>
    <x v="0"/>
    <x v="0"/>
    <x v="0"/>
  </r>
  <r>
    <x v="716"/>
    <x v="0"/>
    <x v="0"/>
    <x v="0"/>
    <x v="0"/>
    <x v="12"/>
    <x v="0"/>
    <x v="2"/>
    <x v="3"/>
    <x v="4"/>
    <x v="1"/>
    <x v="1"/>
    <x v="1"/>
    <x v="0"/>
    <x v="51"/>
    <x v="0"/>
    <x v="1"/>
    <x v="1"/>
    <x v="0"/>
    <x v="0"/>
    <x v="0"/>
  </r>
  <r>
    <x v="717"/>
    <x v="0"/>
    <x v="0"/>
    <x v="0"/>
    <x v="0"/>
    <x v="12"/>
    <x v="0"/>
    <x v="2"/>
    <x v="3"/>
    <x v="3"/>
    <x v="1"/>
    <x v="4"/>
    <x v="1"/>
    <x v="0"/>
    <x v="52"/>
    <x v="0"/>
    <x v="1"/>
    <x v="1"/>
    <x v="0"/>
    <x v="0"/>
    <x v="0"/>
  </r>
  <r>
    <x v="718"/>
    <x v="1"/>
    <x v="1"/>
    <x v="0"/>
    <x v="0"/>
    <x v="13"/>
    <x v="0"/>
    <x v="4"/>
    <x v="2"/>
    <x v="3"/>
    <x v="0"/>
    <x v="3"/>
    <x v="1"/>
    <x v="1"/>
    <x v="48"/>
    <x v="0"/>
    <x v="2"/>
    <x v="0"/>
    <x v="0"/>
    <x v="0"/>
    <x v="0"/>
  </r>
  <r>
    <x v="719"/>
    <x v="1"/>
    <x v="1"/>
    <x v="0"/>
    <x v="0"/>
    <x v="13"/>
    <x v="0"/>
    <x v="4"/>
    <x v="2"/>
    <x v="3"/>
    <x v="0"/>
    <x v="3"/>
    <x v="0"/>
    <x v="1"/>
    <x v="49"/>
    <x v="0"/>
    <x v="2"/>
    <x v="1"/>
    <x v="0"/>
    <x v="0"/>
    <x v="0"/>
  </r>
  <r>
    <x v="720"/>
    <x v="1"/>
    <x v="1"/>
    <x v="0"/>
    <x v="0"/>
    <x v="13"/>
    <x v="0"/>
    <x v="4"/>
    <x v="0"/>
    <x v="3"/>
    <x v="1"/>
    <x v="4"/>
    <x v="0"/>
    <x v="1"/>
    <x v="49"/>
    <x v="0"/>
    <x v="2"/>
    <x v="1"/>
    <x v="0"/>
    <x v="0"/>
    <x v="0"/>
  </r>
  <r>
    <x v="721"/>
    <x v="1"/>
    <x v="1"/>
    <x v="0"/>
    <x v="0"/>
    <x v="13"/>
    <x v="0"/>
    <x v="5"/>
    <x v="0"/>
    <x v="4"/>
    <x v="0"/>
    <x v="4"/>
    <x v="1"/>
    <x v="0"/>
    <x v="49"/>
    <x v="0"/>
    <x v="2"/>
    <x v="1"/>
    <x v="0"/>
    <x v="0"/>
    <x v="0"/>
  </r>
  <r>
    <x v="722"/>
    <x v="0"/>
    <x v="0"/>
    <x v="1"/>
    <x v="1"/>
    <x v="13"/>
    <x v="0"/>
    <x v="4"/>
    <x v="2"/>
    <x v="3"/>
    <x v="1"/>
    <x v="3"/>
    <x v="0"/>
    <x v="1"/>
    <x v="49"/>
    <x v="0"/>
    <x v="2"/>
    <x v="1"/>
    <x v="0"/>
    <x v="0"/>
    <x v="0"/>
  </r>
  <r>
    <x v="723"/>
    <x v="1"/>
    <x v="1"/>
    <x v="1"/>
    <x v="1"/>
    <x v="13"/>
    <x v="0"/>
    <x v="4"/>
    <x v="4"/>
    <x v="4"/>
    <x v="0"/>
    <x v="3"/>
    <x v="1"/>
    <x v="1"/>
    <x v="49"/>
    <x v="0"/>
    <x v="2"/>
    <x v="1"/>
    <x v="0"/>
    <x v="0"/>
    <x v="0"/>
  </r>
  <r>
    <x v="724"/>
    <x v="1"/>
    <x v="1"/>
    <x v="1"/>
    <x v="1"/>
    <x v="13"/>
    <x v="0"/>
    <x v="4"/>
    <x v="2"/>
    <x v="3"/>
    <x v="1"/>
    <x v="3"/>
    <x v="0"/>
    <x v="1"/>
    <x v="49"/>
    <x v="0"/>
    <x v="2"/>
    <x v="1"/>
    <x v="0"/>
    <x v="0"/>
    <x v="0"/>
  </r>
  <r>
    <x v="725"/>
    <x v="1"/>
    <x v="1"/>
    <x v="0"/>
    <x v="0"/>
    <x v="13"/>
    <x v="0"/>
    <x v="5"/>
    <x v="0"/>
    <x v="4"/>
    <x v="1"/>
    <x v="3"/>
    <x v="1"/>
    <x v="0"/>
    <x v="45"/>
    <x v="0"/>
    <x v="2"/>
    <x v="1"/>
    <x v="0"/>
    <x v="0"/>
    <x v="0"/>
  </r>
  <r>
    <x v="726"/>
    <x v="1"/>
    <x v="1"/>
    <x v="0"/>
    <x v="0"/>
    <x v="13"/>
    <x v="0"/>
    <x v="5"/>
    <x v="0"/>
    <x v="4"/>
    <x v="0"/>
    <x v="3"/>
    <x v="1"/>
    <x v="0"/>
    <x v="45"/>
    <x v="0"/>
    <x v="2"/>
    <x v="0"/>
    <x v="0"/>
    <x v="0"/>
    <x v="0"/>
  </r>
  <r>
    <x v="727"/>
    <x v="1"/>
    <x v="1"/>
    <x v="0"/>
    <x v="0"/>
    <x v="13"/>
    <x v="0"/>
    <x v="4"/>
    <x v="4"/>
    <x v="4"/>
    <x v="1"/>
    <x v="3"/>
    <x v="0"/>
    <x v="1"/>
    <x v="45"/>
    <x v="0"/>
    <x v="2"/>
    <x v="1"/>
    <x v="0"/>
    <x v="0"/>
    <x v="0"/>
  </r>
  <r>
    <x v="728"/>
    <x v="1"/>
    <x v="1"/>
    <x v="1"/>
    <x v="1"/>
    <x v="13"/>
    <x v="0"/>
    <x v="4"/>
    <x v="0"/>
    <x v="4"/>
    <x v="0"/>
    <x v="4"/>
    <x v="3"/>
    <x v="0"/>
    <x v="45"/>
    <x v="0"/>
    <x v="2"/>
    <x v="1"/>
    <x v="0"/>
    <x v="0"/>
    <x v="0"/>
  </r>
  <r>
    <x v="729"/>
    <x v="1"/>
    <x v="1"/>
    <x v="1"/>
    <x v="1"/>
    <x v="13"/>
    <x v="0"/>
    <x v="4"/>
    <x v="0"/>
    <x v="3"/>
    <x v="1"/>
    <x v="4"/>
    <x v="0"/>
    <x v="1"/>
    <x v="45"/>
    <x v="0"/>
    <x v="2"/>
    <x v="1"/>
    <x v="0"/>
    <x v="0"/>
    <x v="0"/>
  </r>
  <r>
    <x v="730"/>
    <x v="1"/>
    <x v="1"/>
    <x v="1"/>
    <x v="1"/>
    <x v="13"/>
    <x v="0"/>
    <x v="4"/>
    <x v="4"/>
    <x v="4"/>
    <x v="0"/>
    <x v="3"/>
    <x v="0"/>
    <x v="1"/>
    <x v="45"/>
    <x v="0"/>
    <x v="2"/>
    <x v="1"/>
    <x v="0"/>
    <x v="0"/>
    <x v="0"/>
  </r>
  <r>
    <x v="731"/>
    <x v="0"/>
    <x v="0"/>
    <x v="0"/>
    <x v="0"/>
    <x v="13"/>
    <x v="0"/>
    <x v="4"/>
    <x v="4"/>
    <x v="4"/>
    <x v="0"/>
    <x v="3"/>
    <x v="1"/>
    <x v="1"/>
    <x v="50"/>
    <x v="0"/>
    <x v="2"/>
    <x v="1"/>
    <x v="0"/>
    <x v="0"/>
    <x v="0"/>
  </r>
  <r>
    <x v="732"/>
    <x v="1"/>
    <x v="1"/>
    <x v="0"/>
    <x v="0"/>
    <x v="13"/>
    <x v="0"/>
    <x v="4"/>
    <x v="0"/>
    <x v="3"/>
    <x v="1"/>
    <x v="4"/>
    <x v="0"/>
    <x v="1"/>
    <x v="50"/>
    <x v="0"/>
    <x v="2"/>
    <x v="1"/>
    <x v="0"/>
    <x v="0"/>
    <x v="0"/>
  </r>
  <r>
    <x v="733"/>
    <x v="1"/>
    <x v="1"/>
    <x v="0"/>
    <x v="0"/>
    <x v="13"/>
    <x v="0"/>
    <x v="4"/>
    <x v="0"/>
    <x v="4"/>
    <x v="0"/>
    <x v="4"/>
    <x v="1"/>
    <x v="0"/>
    <x v="50"/>
    <x v="0"/>
    <x v="2"/>
    <x v="1"/>
    <x v="0"/>
    <x v="0"/>
    <x v="0"/>
  </r>
  <r>
    <x v="734"/>
    <x v="1"/>
    <x v="1"/>
    <x v="0"/>
    <x v="0"/>
    <x v="13"/>
    <x v="0"/>
    <x v="4"/>
    <x v="0"/>
    <x v="3"/>
    <x v="1"/>
    <x v="4"/>
    <x v="0"/>
    <x v="1"/>
    <x v="50"/>
    <x v="0"/>
    <x v="2"/>
    <x v="1"/>
    <x v="0"/>
    <x v="0"/>
    <x v="0"/>
  </r>
  <r>
    <x v="735"/>
    <x v="1"/>
    <x v="1"/>
    <x v="0"/>
    <x v="0"/>
    <x v="13"/>
    <x v="0"/>
    <x v="5"/>
    <x v="0"/>
    <x v="4"/>
    <x v="1"/>
    <x v="3"/>
    <x v="1"/>
    <x v="0"/>
    <x v="50"/>
    <x v="0"/>
    <x v="2"/>
    <x v="0"/>
    <x v="0"/>
    <x v="0"/>
    <x v="0"/>
  </r>
  <r>
    <x v="736"/>
    <x v="0"/>
    <x v="0"/>
    <x v="1"/>
    <x v="1"/>
    <x v="13"/>
    <x v="0"/>
    <x v="4"/>
    <x v="4"/>
    <x v="4"/>
    <x v="0"/>
    <x v="3"/>
    <x v="1"/>
    <x v="1"/>
    <x v="50"/>
    <x v="0"/>
    <x v="2"/>
    <x v="1"/>
    <x v="0"/>
    <x v="0"/>
    <x v="0"/>
  </r>
  <r>
    <x v="737"/>
    <x v="1"/>
    <x v="1"/>
    <x v="1"/>
    <x v="1"/>
    <x v="13"/>
    <x v="0"/>
    <x v="4"/>
    <x v="4"/>
    <x v="4"/>
    <x v="1"/>
    <x v="3"/>
    <x v="0"/>
    <x v="1"/>
    <x v="50"/>
    <x v="0"/>
    <x v="2"/>
    <x v="1"/>
    <x v="0"/>
    <x v="0"/>
    <x v="0"/>
  </r>
  <r>
    <x v="738"/>
    <x v="1"/>
    <x v="1"/>
    <x v="1"/>
    <x v="1"/>
    <x v="13"/>
    <x v="0"/>
    <x v="4"/>
    <x v="2"/>
    <x v="2"/>
    <x v="0"/>
    <x v="4"/>
    <x v="3"/>
    <x v="0"/>
    <x v="50"/>
    <x v="0"/>
    <x v="2"/>
    <x v="1"/>
    <x v="0"/>
    <x v="0"/>
    <x v="0"/>
  </r>
  <r>
    <x v="739"/>
    <x v="1"/>
    <x v="1"/>
    <x v="1"/>
    <x v="1"/>
    <x v="13"/>
    <x v="0"/>
    <x v="4"/>
    <x v="0"/>
    <x v="4"/>
    <x v="0"/>
    <x v="4"/>
    <x v="4"/>
    <x v="0"/>
    <x v="50"/>
    <x v="0"/>
    <x v="2"/>
    <x v="1"/>
    <x v="0"/>
    <x v="0"/>
    <x v="0"/>
  </r>
  <r>
    <x v="740"/>
    <x v="1"/>
    <x v="1"/>
    <x v="0"/>
    <x v="0"/>
    <x v="13"/>
    <x v="0"/>
    <x v="4"/>
    <x v="0"/>
    <x v="4"/>
    <x v="0"/>
    <x v="4"/>
    <x v="4"/>
    <x v="0"/>
    <x v="38"/>
    <x v="0"/>
    <x v="2"/>
    <x v="1"/>
    <x v="0"/>
    <x v="0"/>
    <x v="0"/>
  </r>
  <r>
    <x v="741"/>
    <x v="1"/>
    <x v="1"/>
    <x v="0"/>
    <x v="0"/>
    <x v="13"/>
    <x v="0"/>
    <x v="4"/>
    <x v="0"/>
    <x v="4"/>
    <x v="0"/>
    <x v="4"/>
    <x v="1"/>
    <x v="0"/>
    <x v="38"/>
    <x v="0"/>
    <x v="2"/>
    <x v="0"/>
    <x v="0"/>
    <x v="0"/>
    <x v="0"/>
  </r>
  <r>
    <x v="742"/>
    <x v="1"/>
    <x v="1"/>
    <x v="0"/>
    <x v="0"/>
    <x v="13"/>
    <x v="0"/>
    <x v="4"/>
    <x v="0"/>
    <x v="4"/>
    <x v="0"/>
    <x v="4"/>
    <x v="1"/>
    <x v="0"/>
    <x v="38"/>
    <x v="0"/>
    <x v="2"/>
    <x v="0"/>
    <x v="0"/>
    <x v="0"/>
    <x v="0"/>
  </r>
  <r>
    <x v="743"/>
    <x v="1"/>
    <x v="1"/>
    <x v="1"/>
    <x v="1"/>
    <x v="13"/>
    <x v="0"/>
    <x v="4"/>
    <x v="0"/>
    <x v="4"/>
    <x v="0"/>
    <x v="4"/>
    <x v="1"/>
    <x v="0"/>
    <x v="38"/>
    <x v="0"/>
    <x v="2"/>
    <x v="0"/>
    <x v="0"/>
    <x v="0"/>
    <x v="0"/>
  </r>
  <r>
    <x v="744"/>
    <x v="1"/>
    <x v="1"/>
    <x v="1"/>
    <x v="1"/>
    <x v="13"/>
    <x v="0"/>
    <x v="4"/>
    <x v="0"/>
    <x v="4"/>
    <x v="0"/>
    <x v="4"/>
    <x v="4"/>
    <x v="0"/>
    <x v="38"/>
    <x v="0"/>
    <x v="2"/>
    <x v="1"/>
    <x v="0"/>
    <x v="0"/>
    <x v="0"/>
  </r>
  <r>
    <x v="745"/>
    <x v="1"/>
    <x v="1"/>
    <x v="0"/>
    <x v="0"/>
    <x v="13"/>
    <x v="0"/>
    <x v="4"/>
    <x v="0"/>
    <x v="4"/>
    <x v="0"/>
    <x v="4"/>
    <x v="4"/>
    <x v="0"/>
    <x v="39"/>
    <x v="0"/>
    <x v="0"/>
    <x v="1"/>
    <x v="0"/>
    <x v="0"/>
    <x v="0"/>
  </r>
  <r>
    <x v="746"/>
    <x v="1"/>
    <x v="1"/>
    <x v="0"/>
    <x v="0"/>
    <x v="13"/>
    <x v="0"/>
    <x v="4"/>
    <x v="0"/>
    <x v="4"/>
    <x v="0"/>
    <x v="4"/>
    <x v="4"/>
    <x v="0"/>
    <x v="39"/>
    <x v="0"/>
    <x v="0"/>
    <x v="1"/>
    <x v="0"/>
    <x v="0"/>
    <x v="0"/>
  </r>
  <r>
    <x v="747"/>
    <x v="1"/>
    <x v="1"/>
    <x v="0"/>
    <x v="0"/>
    <x v="13"/>
    <x v="0"/>
    <x v="4"/>
    <x v="0"/>
    <x v="4"/>
    <x v="0"/>
    <x v="4"/>
    <x v="4"/>
    <x v="0"/>
    <x v="39"/>
    <x v="0"/>
    <x v="0"/>
    <x v="1"/>
    <x v="0"/>
    <x v="0"/>
    <x v="0"/>
  </r>
  <r>
    <x v="748"/>
    <x v="1"/>
    <x v="1"/>
    <x v="1"/>
    <x v="1"/>
    <x v="13"/>
    <x v="0"/>
    <x v="4"/>
    <x v="2"/>
    <x v="3"/>
    <x v="1"/>
    <x v="3"/>
    <x v="0"/>
    <x v="1"/>
    <x v="39"/>
    <x v="0"/>
    <x v="0"/>
    <x v="1"/>
    <x v="0"/>
    <x v="0"/>
    <x v="0"/>
  </r>
  <r>
    <x v="749"/>
    <x v="1"/>
    <x v="1"/>
    <x v="1"/>
    <x v="1"/>
    <x v="13"/>
    <x v="0"/>
    <x v="4"/>
    <x v="0"/>
    <x v="4"/>
    <x v="1"/>
    <x v="4"/>
    <x v="4"/>
    <x v="0"/>
    <x v="39"/>
    <x v="0"/>
    <x v="0"/>
    <x v="1"/>
    <x v="0"/>
    <x v="0"/>
    <x v="0"/>
  </r>
  <r>
    <x v="750"/>
    <x v="1"/>
    <x v="1"/>
    <x v="1"/>
    <x v="1"/>
    <x v="13"/>
    <x v="0"/>
    <x v="4"/>
    <x v="0"/>
    <x v="3"/>
    <x v="1"/>
    <x v="3"/>
    <x v="0"/>
    <x v="1"/>
    <x v="39"/>
    <x v="0"/>
    <x v="0"/>
    <x v="1"/>
    <x v="0"/>
    <x v="0"/>
    <x v="0"/>
  </r>
  <r>
    <x v="751"/>
    <x v="1"/>
    <x v="1"/>
    <x v="1"/>
    <x v="1"/>
    <x v="13"/>
    <x v="0"/>
    <x v="4"/>
    <x v="2"/>
    <x v="3"/>
    <x v="1"/>
    <x v="3"/>
    <x v="0"/>
    <x v="1"/>
    <x v="39"/>
    <x v="0"/>
    <x v="0"/>
    <x v="1"/>
    <x v="0"/>
    <x v="0"/>
    <x v="0"/>
  </r>
  <r>
    <x v="752"/>
    <x v="1"/>
    <x v="1"/>
    <x v="1"/>
    <x v="1"/>
    <x v="13"/>
    <x v="0"/>
    <x v="4"/>
    <x v="0"/>
    <x v="4"/>
    <x v="0"/>
    <x v="4"/>
    <x v="1"/>
    <x v="0"/>
    <x v="39"/>
    <x v="0"/>
    <x v="0"/>
    <x v="0"/>
    <x v="0"/>
    <x v="0"/>
    <x v="0"/>
  </r>
  <r>
    <x v="753"/>
    <x v="1"/>
    <x v="1"/>
    <x v="0"/>
    <x v="0"/>
    <x v="13"/>
    <x v="0"/>
    <x v="4"/>
    <x v="0"/>
    <x v="4"/>
    <x v="1"/>
    <x v="4"/>
    <x v="4"/>
    <x v="0"/>
    <x v="8"/>
    <x v="0"/>
    <x v="0"/>
    <x v="1"/>
    <x v="0"/>
    <x v="0"/>
    <x v="0"/>
  </r>
  <r>
    <x v="754"/>
    <x v="1"/>
    <x v="1"/>
    <x v="0"/>
    <x v="0"/>
    <x v="13"/>
    <x v="0"/>
    <x v="4"/>
    <x v="0"/>
    <x v="3"/>
    <x v="0"/>
    <x v="4"/>
    <x v="3"/>
    <x v="1"/>
    <x v="8"/>
    <x v="0"/>
    <x v="0"/>
    <x v="1"/>
    <x v="0"/>
    <x v="0"/>
    <x v="0"/>
  </r>
  <r>
    <x v="755"/>
    <x v="1"/>
    <x v="1"/>
    <x v="0"/>
    <x v="0"/>
    <x v="13"/>
    <x v="0"/>
    <x v="4"/>
    <x v="0"/>
    <x v="4"/>
    <x v="0"/>
    <x v="4"/>
    <x v="4"/>
    <x v="0"/>
    <x v="8"/>
    <x v="0"/>
    <x v="0"/>
    <x v="0"/>
    <x v="0"/>
    <x v="0"/>
    <x v="0"/>
  </r>
  <r>
    <x v="756"/>
    <x v="1"/>
    <x v="1"/>
    <x v="1"/>
    <x v="1"/>
    <x v="13"/>
    <x v="0"/>
    <x v="4"/>
    <x v="2"/>
    <x v="3"/>
    <x v="0"/>
    <x v="3"/>
    <x v="3"/>
    <x v="1"/>
    <x v="8"/>
    <x v="0"/>
    <x v="0"/>
    <x v="0"/>
    <x v="0"/>
    <x v="0"/>
    <x v="0"/>
  </r>
  <r>
    <x v="757"/>
    <x v="1"/>
    <x v="1"/>
    <x v="1"/>
    <x v="1"/>
    <x v="13"/>
    <x v="0"/>
    <x v="4"/>
    <x v="0"/>
    <x v="4"/>
    <x v="0"/>
    <x v="4"/>
    <x v="4"/>
    <x v="0"/>
    <x v="8"/>
    <x v="0"/>
    <x v="0"/>
    <x v="0"/>
    <x v="0"/>
    <x v="0"/>
    <x v="0"/>
  </r>
  <r>
    <x v="758"/>
    <x v="1"/>
    <x v="1"/>
    <x v="0"/>
    <x v="0"/>
    <x v="13"/>
    <x v="0"/>
    <x v="4"/>
    <x v="2"/>
    <x v="2"/>
    <x v="0"/>
    <x v="4"/>
    <x v="4"/>
    <x v="0"/>
    <x v="23"/>
    <x v="0"/>
    <x v="0"/>
    <x v="1"/>
    <x v="0"/>
    <x v="0"/>
    <x v="0"/>
  </r>
  <r>
    <x v="759"/>
    <x v="1"/>
    <x v="1"/>
    <x v="0"/>
    <x v="0"/>
    <x v="13"/>
    <x v="0"/>
    <x v="4"/>
    <x v="2"/>
    <x v="2"/>
    <x v="0"/>
    <x v="4"/>
    <x v="4"/>
    <x v="0"/>
    <x v="23"/>
    <x v="0"/>
    <x v="0"/>
    <x v="0"/>
    <x v="0"/>
    <x v="0"/>
    <x v="0"/>
  </r>
  <r>
    <x v="760"/>
    <x v="0"/>
    <x v="0"/>
    <x v="1"/>
    <x v="1"/>
    <x v="13"/>
    <x v="0"/>
    <x v="4"/>
    <x v="2"/>
    <x v="3"/>
    <x v="1"/>
    <x v="3"/>
    <x v="0"/>
    <x v="1"/>
    <x v="23"/>
    <x v="0"/>
    <x v="0"/>
    <x v="1"/>
    <x v="0"/>
    <x v="0"/>
    <x v="0"/>
  </r>
  <r>
    <x v="761"/>
    <x v="0"/>
    <x v="0"/>
    <x v="1"/>
    <x v="1"/>
    <x v="13"/>
    <x v="0"/>
    <x v="4"/>
    <x v="1"/>
    <x v="3"/>
    <x v="1"/>
    <x v="1"/>
    <x v="1"/>
    <x v="1"/>
    <x v="23"/>
    <x v="0"/>
    <x v="0"/>
    <x v="1"/>
    <x v="0"/>
    <x v="0"/>
    <x v="0"/>
  </r>
  <r>
    <x v="762"/>
    <x v="1"/>
    <x v="1"/>
    <x v="1"/>
    <x v="1"/>
    <x v="13"/>
    <x v="0"/>
    <x v="4"/>
    <x v="0"/>
    <x v="4"/>
    <x v="1"/>
    <x v="4"/>
    <x v="4"/>
    <x v="0"/>
    <x v="23"/>
    <x v="0"/>
    <x v="0"/>
    <x v="1"/>
    <x v="0"/>
    <x v="0"/>
    <x v="0"/>
  </r>
  <r>
    <x v="763"/>
    <x v="1"/>
    <x v="1"/>
    <x v="1"/>
    <x v="1"/>
    <x v="13"/>
    <x v="0"/>
    <x v="4"/>
    <x v="2"/>
    <x v="2"/>
    <x v="0"/>
    <x v="4"/>
    <x v="3"/>
    <x v="0"/>
    <x v="23"/>
    <x v="0"/>
    <x v="0"/>
    <x v="1"/>
    <x v="0"/>
    <x v="0"/>
    <x v="0"/>
  </r>
  <r>
    <x v="764"/>
    <x v="1"/>
    <x v="1"/>
    <x v="1"/>
    <x v="1"/>
    <x v="13"/>
    <x v="0"/>
    <x v="4"/>
    <x v="0"/>
    <x v="3"/>
    <x v="1"/>
    <x v="4"/>
    <x v="0"/>
    <x v="1"/>
    <x v="23"/>
    <x v="0"/>
    <x v="0"/>
    <x v="1"/>
    <x v="0"/>
    <x v="0"/>
    <x v="0"/>
  </r>
  <r>
    <x v="765"/>
    <x v="1"/>
    <x v="1"/>
    <x v="0"/>
    <x v="0"/>
    <x v="13"/>
    <x v="0"/>
    <x v="4"/>
    <x v="0"/>
    <x v="4"/>
    <x v="0"/>
    <x v="4"/>
    <x v="4"/>
    <x v="0"/>
    <x v="3"/>
    <x v="0"/>
    <x v="0"/>
    <x v="1"/>
    <x v="0"/>
    <x v="0"/>
    <x v="0"/>
  </r>
  <r>
    <x v="766"/>
    <x v="1"/>
    <x v="1"/>
    <x v="1"/>
    <x v="1"/>
    <x v="13"/>
    <x v="0"/>
    <x v="4"/>
    <x v="2"/>
    <x v="2"/>
    <x v="1"/>
    <x v="4"/>
    <x v="4"/>
    <x v="0"/>
    <x v="3"/>
    <x v="0"/>
    <x v="0"/>
    <x v="0"/>
    <x v="0"/>
    <x v="0"/>
    <x v="0"/>
  </r>
  <r>
    <x v="767"/>
    <x v="1"/>
    <x v="1"/>
    <x v="0"/>
    <x v="0"/>
    <x v="13"/>
    <x v="0"/>
    <x v="4"/>
    <x v="2"/>
    <x v="2"/>
    <x v="0"/>
    <x v="4"/>
    <x v="4"/>
    <x v="0"/>
    <x v="24"/>
    <x v="0"/>
    <x v="0"/>
    <x v="0"/>
    <x v="0"/>
    <x v="0"/>
    <x v="0"/>
  </r>
  <r>
    <x v="768"/>
    <x v="1"/>
    <x v="1"/>
    <x v="1"/>
    <x v="1"/>
    <x v="13"/>
    <x v="0"/>
    <x v="4"/>
    <x v="2"/>
    <x v="2"/>
    <x v="0"/>
    <x v="4"/>
    <x v="4"/>
    <x v="0"/>
    <x v="24"/>
    <x v="0"/>
    <x v="0"/>
    <x v="1"/>
    <x v="0"/>
    <x v="0"/>
    <x v="0"/>
  </r>
  <r>
    <x v="769"/>
    <x v="1"/>
    <x v="1"/>
    <x v="1"/>
    <x v="1"/>
    <x v="13"/>
    <x v="0"/>
    <x v="4"/>
    <x v="2"/>
    <x v="2"/>
    <x v="1"/>
    <x v="4"/>
    <x v="4"/>
    <x v="0"/>
    <x v="24"/>
    <x v="0"/>
    <x v="0"/>
    <x v="0"/>
    <x v="0"/>
    <x v="0"/>
    <x v="0"/>
  </r>
  <r>
    <x v="770"/>
    <x v="0"/>
    <x v="0"/>
    <x v="1"/>
    <x v="1"/>
    <x v="13"/>
    <x v="0"/>
    <x v="4"/>
    <x v="3"/>
    <x v="4"/>
    <x v="1"/>
    <x v="1"/>
    <x v="1"/>
    <x v="0"/>
    <x v="32"/>
    <x v="0"/>
    <x v="0"/>
    <x v="0"/>
    <x v="0"/>
    <x v="0"/>
    <x v="0"/>
  </r>
  <r>
    <x v="771"/>
    <x v="0"/>
    <x v="0"/>
    <x v="1"/>
    <x v="1"/>
    <x v="13"/>
    <x v="0"/>
    <x v="4"/>
    <x v="3"/>
    <x v="4"/>
    <x v="1"/>
    <x v="1"/>
    <x v="1"/>
    <x v="0"/>
    <x v="32"/>
    <x v="0"/>
    <x v="0"/>
    <x v="0"/>
    <x v="0"/>
    <x v="0"/>
    <x v="0"/>
  </r>
  <r>
    <x v="772"/>
    <x v="0"/>
    <x v="0"/>
    <x v="0"/>
    <x v="0"/>
    <x v="13"/>
    <x v="0"/>
    <x v="4"/>
    <x v="3"/>
    <x v="4"/>
    <x v="0"/>
    <x v="1"/>
    <x v="1"/>
    <x v="0"/>
    <x v="9"/>
    <x v="0"/>
    <x v="0"/>
    <x v="0"/>
    <x v="0"/>
    <x v="0"/>
    <x v="0"/>
  </r>
  <r>
    <x v="773"/>
    <x v="1"/>
    <x v="1"/>
    <x v="1"/>
    <x v="1"/>
    <x v="13"/>
    <x v="0"/>
    <x v="4"/>
    <x v="3"/>
    <x v="4"/>
    <x v="0"/>
    <x v="1"/>
    <x v="1"/>
    <x v="0"/>
    <x v="9"/>
    <x v="0"/>
    <x v="0"/>
    <x v="0"/>
    <x v="0"/>
    <x v="0"/>
    <x v="0"/>
  </r>
  <r>
    <x v="774"/>
    <x v="0"/>
    <x v="0"/>
    <x v="0"/>
    <x v="0"/>
    <x v="13"/>
    <x v="0"/>
    <x v="2"/>
    <x v="3"/>
    <x v="4"/>
    <x v="1"/>
    <x v="1"/>
    <x v="1"/>
    <x v="0"/>
    <x v="5"/>
    <x v="0"/>
    <x v="0"/>
    <x v="0"/>
    <x v="0"/>
    <x v="0"/>
    <x v="0"/>
  </r>
  <r>
    <x v="775"/>
    <x v="0"/>
    <x v="0"/>
    <x v="0"/>
    <x v="0"/>
    <x v="13"/>
    <x v="0"/>
    <x v="4"/>
    <x v="3"/>
    <x v="4"/>
    <x v="1"/>
    <x v="1"/>
    <x v="1"/>
    <x v="0"/>
    <x v="5"/>
    <x v="0"/>
    <x v="0"/>
    <x v="0"/>
    <x v="0"/>
    <x v="0"/>
    <x v="0"/>
  </r>
  <r>
    <x v="776"/>
    <x v="1"/>
    <x v="1"/>
    <x v="1"/>
    <x v="1"/>
    <x v="13"/>
    <x v="0"/>
    <x v="2"/>
    <x v="3"/>
    <x v="4"/>
    <x v="1"/>
    <x v="1"/>
    <x v="3"/>
    <x v="0"/>
    <x v="5"/>
    <x v="0"/>
    <x v="0"/>
    <x v="0"/>
    <x v="0"/>
    <x v="0"/>
    <x v="0"/>
  </r>
  <r>
    <x v="777"/>
    <x v="0"/>
    <x v="0"/>
    <x v="1"/>
    <x v="1"/>
    <x v="13"/>
    <x v="0"/>
    <x v="2"/>
    <x v="3"/>
    <x v="4"/>
    <x v="1"/>
    <x v="1"/>
    <x v="1"/>
    <x v="0"/>
    <x v="10"/>
    <x v="0"/>
    <x v="0"/>
    <x v="0"/>
    <x v="0"/>
    <x v="0"/>
    <x v="0"/>
  </r>
  <r>
    <x v="778"/>
    <x v="1"/>
    <x v="1"/>
    <x v="1"/>
    <x v="1"/>
    <x v="13"/>
    <x v="0"/>
    <x v="2"/>
    <x v="3"/>
    <x v="4"/>
    <x v="0"/>
    <x v="1"/>
    <x v="1"/>
    <x v="0"/>
    <x v="10"/>
    <x v="0"/>
    <x v="0"/>
    <x v="0"/>
    <x v="0"/>
    <x v="0"/>
    <x v="0"/>
  </r>
  <r>
    <x v="779"/>
    <x v="0"/>
    <x v="0"/>
    <x v="1"/>
    <x v="1"/>
    <x v="13"/>
    <x v="0"/>
    <x v="2"/>
    <x v="3"/>
    <x v="4"/>
    <x v="1"/>
    <x v="4"/>
    <x v="4"/>
    <x v="0"/>
    <x v="25"/>
    <x v="0"/>
    <x v="0"/>
    <x v="1"/>
    <x v="0"/>
    <x v="0"/>
    <x v="0"/>
  </r>
  <r>
    <x v="780"/>
    <x v="1"/>
    <x v="1"/>
    <x v="1"/>
    <x v="1"/>
    <x v="13"/>
    <x v="0"/>
    <x v="2"/>
    <x v="3"/>
    <x v="4"/>
    <x v="0"/>
    <x v="4"/>
    <x v="3"/>
    <x v="0"/>
    <x v="25"/>
    <x v="0"/>
    <x v="0"/>
    <x v="1"/>
    <x v="0"/>
    <x v="0"/>
    <x v="0"/>
  </r>
  <r>
    <x v="781"/>
    <x v="1"/>
    <x v="1"/>
    <x v="1"/>
    <x v="1"/>
    <x v="13"/>
    <x v="0"/>
    <x v="2"/>
    <x v="3"/>
    <x v="4"/>
    <x v="0"/>
    <x v="4"/>
    <x v="1"/>
    <x v="0"/>
    <x v="25"/>
    <x v="0"/>
    <x v="0"/>
    <x v="0"/>
    <x v="0"/>
    <x v="0"/>
    <x v="0"/>
  </r>
  <r>
    <x v="782"/>
    <x v="1"/>
    <x v="1"/>
    <x v="1"/>
    <x v="1"/>
    <x v="13"/>
    <x v="0"/>
    <x v="2"/>
    <x v="3"/>
    <x v="4"/>
    <x v="1"/>
    <x v="4"/>
    <x v="3"/>
    <x v="0"/>
    <x v="25"/>
    <x v="0"/>
    <x v="0"/>
    <x v="0"/>
    <x v="0"/>
    <x v="0"/>
    <x v="0"/>
  </r>
  <r>
    <x v="783"/>
    <x v="0"/>
    <x v="0"/>
    <x v="0"/>
    <x v="0"/>
    <x v="13"/>
    <x v="0"/>
    <x v="2"/>
    <x v="3"/>
    <x v="3"/>
    <x v="1"/>
    <x v="3"/>
    <x v="1"/>
    <x v="0"/>
    <x v="11"/>
    <x v="0"/>
    <x v="0"/>
    <x v="1"/>
    <x v="0"/>
    <x v="0"/>
    <x v="0"/>
  </r>
  <r>
    <x v="784"/>
    <x v="0"/>
    <x v="0"/>
    <x v="1"/>
    <x v="1"/>
    <x v="13"/>
    <x v="0"/>
    <x v="2"/>
    <x v="3"/>
    <x v="3"/>
    <x v="1"/>
    <x v="3"/>
    <x v="1"/>
    <x v="0"/>
    <x v="11"/>
    <x v="0"/>
    <x v="0"/>
    <x v="1"/>
    <x v="0"/>
    <x v="0"/>
    <x v="0"/>
  </r>
  <r>
    <x v="785"/>
    <x v="0"/>
    <x v="0"/>
    <x v="1"/>
    <x v="1"/>
    <x v="13"/>
    <x v="0"/>
    <x v="2"/>
    <x v="3"/>
    <x v="3"/>
    <x v="1"/>
    <x v="3"/>
    <x v="1"/>
    <x v="0"/>
    <x v="12"/>
    <x v="0"/>
    <x v="0"/>
    <x v="0"/>
    <x v="0"/>
    <x v="0"/>
    <x v="0"/>
  </r>
  <r>
    <x v="786"/>
    <x v="0"/>
    <x v="0"/>
    <x v="0"/>
    <x v="0"/>
    <x v="13"/>
    <x v="0"/>
    <x v="5"/>
    <x v="0"/>
    <x v="4"/>
    <x v="0"/>
    <x v="1"/>
    <x v="1"/>
    <x v="0"/>
    <x v="13"/>
    <x v="0"/>
    <x v="0"/>
    <x v="1"/>
    <x v="0"/>
    <x v="0"/>
    <x v="0"/>
  </r>
  <r>
    <x v="787"/>
    <x v="0"/>
    <x v="0"/>
    <x v="0"/>
    <x v="0"/>
    <x v="13"/>
    <x v="0"/>
    <x v="2"/>
    <x v="3"/>
    <x v="3"/>
    <x v="1"/>
    <x v="3"/>
    <x v="1"/>
    <x v="0"/>
    <x v="13"/>
    <x v="0"/>
    <x v="0"/>
    <x v="1"/>
    <x v="0"/>
    <x v="0"/>
    <x v="0"/>
  </r>
  <r>
    <x v="788"/>
    <x v="1"/>
    <x v="1"/>
    <x v="0"/>
    <x v="0"/>
    <x v="13"/>
    <x v="0"/>
    <x v="3"/>
    <x v="0"/>
    <x v="4"/>
    <x v="1"/>
    <x v="3"/>
    <x v="1"/>
    <x v="0"/>
    <x v="13"/>
    <x v="0"/>
    <x v="0"/>
    <x v="1"/>
    <x v="0"/>
    <x v="0"/>
    <x v="0"/>
  </r>
  <r>
    <x v="789"/>
    <x v="1"/>
    <x v="1"/>
    <x v="0"/>
    <x v="0"/>
    <x v="13"/>
    <x v="0"/>
    <x v="3"/>
    <x v="0"/>
    <x v="4"/>
    <x v="1"/>
    <x v="3"/>
    <x v="1"/>
    <x v="0"/>
    <x v="13"/>
    <x v="0"/>
    <x v="0"/>
    <x v="1"/>
    <x v="0"/>
    <x v="0"/>
    <x v="0"/>
  </r>
  <r>
    <x v="790"/>
    <x v="1"/>
    <x v="1"/>
    <x v="0"/>
    <x v="0"/>
    <x v="13"/>
    <x v="0"/>
    <x v="5"/>
    <x v="0"/>
    <x v="4"/>
    <x v="1"/>
    <x v="1"/>
    <x v="1"/>
    <x v="0"/>
    <x v="13"/>
    <x v="0"/>
    <x v="0"/>
    <x v="0"/>
    <x v="0"/>
    <x v="0"/>
    <x v="0"/>
  </r>
  <r>
    <x v="791"/>
    <x v="0"/>
    <x v="0"/>
    <x v="1"/>
    <x v="1"/>
    <x v="13"/>
    <x v="0"/>
    <x v="3"/>
    <x v="0"/>
    <x v="4"/>
    <x v="0"/>
    <x v="3"/>
    <x v="1"/>
    <x v="0"/>
    <x v="13"/>
    <x v="0"/>
    <x v="0"/>
    <x v="1"/>
    <x v="0"/>
    <x v="0"/>
    <x v="0"/>
  </r>
  <r>
    <x v="792"/>
    <x v="1"/>
    <x v="1"/>
    <x v="1"/>
    <x v="1"/>
    <x v="13"/>
    <x v="0"/>
    <x v="3"/>
    <x v="0"/>
    <x v="4"/>
    <x v="1"/>
    <x v="3"/>
    <x v="1"/>
    <x v="0"/>
    <x v="13"/>
    <x v="0"/>
    <x v="0"/>
    <x v="1"/>
    <x v="0"/>
    <x v="0"/>
    <x v="0"/>
  </r>
  <r>
    <x v="793"/>
    <x v="1"/>
    <x v="1"/>
    <x v="0"/>
    <x v="0"/>
    <x v="13"/>
    <x v="0"/>
    <x v="3"/>
    <x v="0"/>
    <x v="4"/>
    <x v="1"/>
    <x v="1"/>
    <x v="1"/>
    <x v="0"/>
    <x v="26"/>
    <x v="0"/>
    <x v="0"/>
    <x v="1"/>
    <x v="0"/>
    <x v="0"/>
    <x v="0"/>
  </r>
  <r>
    <x v="794"/>
    <x v="1"/>
    <x v="1"/>
    <x v="0"/>
    <x v="0"/>
    <x v="13"/>
    <x v="0"/>
    <x v="3"/>
    <x v="0"/>
    <x v="4"/>
    <x v="0"/>
    <x v="1"/>
    <x v="1"/>
    <x v="0"/>
    <x v="26"/>
    <x v="0"/>
    <x v="0"/>
    <x v="1"/>
    <x v="0"/>
    <x v="0"/>
    <x v="0"/>
  </r>
  <r>
    <x v="795"/>
    <x v="0"/>
    <x v="0"/>
    <x v="1"/>
    <x v="1"/>
    <x v="13"/>
    <x v="0"/>
    <x v="2"/>
    <x v="0"/>
    <x v="4"/>
    <x v="1"/>
    <x v="4"/>
    <x v="1"/>
    <x v="0"/>
    <x v="26"/>
    <x v="0"/>
    <x v="0"/>
    <x v="1"/>
    <x v="0"/>
    <x v="0"/>
    <x v="0"/>
  </r>
  <r>
    <x v="796"/>
    <x v="0"/>
    <x v="0"/>
    <x v="1"/>
    <x v="1"/>
    <x v="13"/>
    <x v="0"/>
    <x v="5"/>
    <x v="0"/>
    <x v="4"/>
    <x v="1"/>
    <x v="4"/>
    <x v="1"/>
    <x v="0"/>
    <x v="26"/>
    <x v="0"/>
    <x v="0"/>
    <x v="1"/>
    <x v="0"/>
    <x v="0"/>
    <x v="0"/>
  </r>
  <r>
    <x v="797"/>
    <x v="1"/>
    <x v="1"/>
    <x v="1"/>
    <x v="1"/>
    <x v="13"/>
    <x v="0"/>
    <x v="5"/>
    <x v="0"/>
    <x v="4"/>
    <x v="1"/>
    <x v="1"/>
    <x v="1"/>
    <x v="0"/>
    <x v="26"/>
    <x v="0"/>
    <x v="0"/>
    <x v="1"/>
    <x v="0"/>
    <x v="0"/>
    <x v="0"/>
  </r>
  <r>
    <x v="798"/>
    <x v="1"/>
    <x v="1"/>
    <x v="0"/>
    <x v="0"/>
    <x v="13"/>
    <x v="0"/>
    <x v="1"/>
    <x v="1"/>
    <x v="4"/>
    <x v="1"/>
    <x v="1"/>
    <x v="1"/>
    <x v="0"/>
    <x v="6"/>
    <x v="0"/>
    <x v="0"/>
    <x v="0"/>
    <x v="0"/>
    <x v="0"/>
    <x v="0"/>
  </r>
  <r>
    <x v="799"/>
    <x v="0"/>
    <x v="0"/>
    <x v="1"/>
    <x v="1"/>
    <x v="13"/>
    <x v="0"/>
    <x v="2"/>
    <x v="0"/>
    <x v="4"/>
    <x v="1"/>
    <x v="4"/>
    <x v="1"/>
    <x v="0"/>
    <x v="6"/>
    <x v="0"/>
    <x v="0"/>
    <x v="0"/>
    <x v="0"/>
    <x v="0"/>
    <x v="0"/>
  </r>
  <r>
    <x v="800"/>
    <x v="0"/>
    <x v="0"/>
    <x v="0"/>
    <x v="0"/>
    <x v="13"/>
    <x v="0"/>
    <x v="5"/>
    <x v="3"/>
    <x v="4"/>
    <x v="1"/>
    <x v="1"/>
    <x v="1"/>
    <x v="0"/>
    <x v="14"/>
    <x v="0"/>
    <x v="0"/>
    <x v="1"/>
    <x v="0"/>
    <x v="0"/>
    <x v="0"/>
  </r>
  <r>
    <x v="801"/>
    <x v="0"/>
    <x v="0"/>
    <x v="0"/>
    <x v="0"/>
    <x v="13"/>
    <x v="0"/>
    <x v="0"/>
    <x v="1"/>
    <x v="4"/>
    <x v="1"/>
    <x v="1"/>
    <x v="1"/>
    <x v="0"/>
    <x v="14"/>
    <x v="0"/>
    <x v="0"/>
    <x v="1"/>
    <x v="0"/>
    <x v="0"/>
    <x v="0"/>
  </r>
  <r>
    <x v="802"/>
    <x v="0"/>
    <x v="0"/>
    <x v="0"/>
    <x v="0"/>
    <x v="13"/>
    <x v="0"/>
    <x v="0"/>
    <x v="1"/>
    <x v="4"/>
    <x v="1"/>
    <x v="1"/>
    <x v="1"/>
    <x v="0"/>
    <x v="14"/>
    <x v="0"/>
    <x v="0"/>
    <x v="0"/>
    <x v="0"/>
    <x v="0"/>
    <x v="0"/>
  </r>
  <r>
    <x v="803"/>
    <x v="0"/>
    <x v="0"/>
    <x v="0"/>
    <x v="0"/>
    <x v="13"/>
    <x v="0"/>
    <x v="5"/>
    <x v="1"/>
    <x v="4"/>
    <x v="1"/>
    <x v="1"/>
    <x v="1"/>
    <x v="0"/>
    <x v="27"/>
    <x v="0"/>
    <x v="0"/>
    <x v="1"/>
    <x v="0"/>
    <x v="0"/>
    <x v="0"/>
  </r>
  <r>
    <x v="804"/>
    <x v="1"/>
    <x v="1"/>
    <x v="0"/>
    <x v="0"/>
    <x v="13"/>
    <x v="0"/>
    <x v="5"/>
    <x v="3"/>
    <x v="4"/>
    <x v="1"/>
    <x v="1"/>
    <x v="1"/>
    <x v="0"/>
    <x v="27"/>
    <x v="0"/>
    <x v="0"/>
    <x v="0"/>
    <x v="0"/>
    <x v="0"/>
    <x v="0"/>
  </r>
  <r>
    <x v="805"/>
    <x v="1"/>
    <x v="1"/>
    <x v="0"/>
    <x v="0"/>
    <x v="13"/>
    <x v="0"/>
    <x v="2"/>
    <x v="0"/>
    <x v="2"/>
    <x v="0"/>
    <x v="1"/>
    <x v="1"/>
    <x v="0"/>
    <x v="27"/>
    <x v="0"/>
    <x v="0"/>
    <x v="0"/>
    <x v="0"/>
    <x v="0"/>
    <x v="0"/>
  </r>
  <r>
    <x v="806"/>
    <x v="1"/>
    <x v="1"/>
    <x v="0"/>
    <x v="0"/>
    <x v="13"/>
    <x v="0"/>
    <x v="5"/>
    <x v="1"/>
    <x v="4"/>
    <x v="0"/>
    <x v="1"/>
    <x v="1"/>
    <x v="0"/>
    <x v="27"/>
    <x v="0"/>
    <x v="0"/>
    <x v="0"/>
    <x v="0"/>
    <x v="0"/>
    <x v="0"/>
  </r>
  <r>
    <x v="807"/>
    <x v="0"/>
    <x v="0"/>
    <x v="1"/>
    <x v="1"/>
    <x v="13"/>
    <x v="0"/>
    <x v="5"/>
    <x v="1"/>
    <x v="4"/>
    <x v="1"/>
    <x v="1"/>
    <x v="1"/>
    <x v="0"/>
    <x v="27"/>
    <x v="0"/>
    <x v="0"/>
    <x v="0"/>
    <x v="0"/>
    <x v="0"/>
    <x v="0"/>
  </r>
  <r>
    <x v="808"/>
    <x v="0"/>
    <x v="0"/>
    <x v="0"/>
    <x v="0"/>
    <x v="13"/>
    <x v="0"/>
    <x v="2"/>
    <x v="3"/>
    <x v="4"/>
    <x v="1"/>
    <x v="1"/>
    <x v="1"/>
    <x v="0"/>
    <x v="4"/>
    <x v="0"/>
    <x v="0"/>
    <x v="1"/>
    <x v="0"/>
    <x v="0"/>
    <x v="0"/>
  </r>
  <r>
    <x v="809"/>
    <x v="0"/>
    <x v="0"/>
    <x v="0"/>
    <x v="0"/>
    <x v="13"/>
    <x v="0"/>
    <x v="4"/>
    <x v="3"/>
    <x v="4"/>
    <x v="1"/>
    <x v="1"/>
    <x v="1"/>
    <x v="0"/>
    <x v="4"/>
    <x v="0"/>
    <x v="0"/>
    <x v="0"/>
    <x v="0"/>
    <x v="0"/>
    <x v="0"/>
  </r>
  <r>
    <x v="810"/>
    <x v="1"/>
    <x v="1"/>
    <x v="0"/>
    <x v="0"/>
    <x v="13"/>
    <x v="0"/>
    <x v="5"/>
    <x v="3"/>
    <x v="4"/>
    <x v="1"/>
    <x v="1"/>
    <x v="1"/>
    <x v="0"/>
    <x v="4"/>
    <x v="0"/>
    <x v="0"/>
    <x v="0"/>
    <x v="0"/>
    <x v="0"/>
    <x v="0"/>
  </r>
  <r>
    <x v="811"/>
    <x v="1"/>
    <x v="1"/>
    <x v="0"/>
    <x v="0"/>
    <x v="13"/>
    <x v="0"/>
    <x v="5"/>
    <x v="1"/>
    <x v="4"/>
    <x v="1"/>
    <x v="1"/>
    <x v="1"/>
    <x v="0"/>
    <x v="4"/>
    <x v="0"/>
    <x v="0"/>
    <x v="0"/>
    <x v="0"/>
    <x v="0"/>
    <x v="0"/>
  </r>
  <r>
    <x v="812"/>
    <x v="0"/>
    <x v="0"/>
    <x v="1"/>
    <x v="1"/>
    <x v="13"/>
    <x v="0"/>
    <x v="2"/>
    <x v="3"/>
    <x v="4"/>
    <x v="1"/>
    <x v="1"/>
    <x v="1"/>
    <x v="0"/>
    <x v="4"/>
    <x v="0"/>
    <x v="0"/>
    <x v="1"/>
    <x v="0"/>
    <x v="0"/>
    <x v="0"/>
  </r>
  <r>
    <x v="813"/>
    <x v="0"/>
    <x v="0"/>
    <x v="1"/>
    <x v="1"/>
    <x v="13"/>
    <x v="0"/>
    <x v="4"/>
    <x v="3"/>
    <x v="4"/>
    <x v="1"/>
    <x v="1"/>
    <x v="1"/>
    <x v="0"/>
    <x v="4"/>
    <x v="0"/>
    <x v="0"/>
    <x v="0"/>
    <x v="0"/>
    <x v="0"/>
    <x v="0"/>
  </r>
  <r>
    <x v="814"/>
    <x v="0"/>
    <x v="0"/>
    <x v="0"/>
    <x v="0"/>
    <x v="13"/>
    <x v="0"/>
    <x v="3"/>
    <x v="2"/>
    <x v="3"/>
    <x v="1"/>
    <x v="3"/>
    <x v="3"/>
    <x v="1"/>
    <x v="0"/>
    <x v="0"/>
    <x v="0"/>
    <x v="1"/>
    <x v="0"/>
    <x v="0"/>
    <x v="0"/>
  </r>
  <r>
    <x v="815"/>
    <x v="1"/>
    <x v="1"/>
    <x v="0"/>
    <x v="0"/>
    <x v="13"/>
    <x v="0"/>
    <x v="3"/>
    <x v="2"/>
    <x v="3"/>
    <x v="0"/>
    <x v="3"/>
    <x v="1"/>
    <x v="1"/>
    <x v="36"/>
    <x v="0"/>
    <x v="0"/>
    <x v="1"/>
    <x v="0"/>
    <x v="0"/>
    <x v="0"/>
  </r>
  <r>
    <x v="816"/>
    <x v="0"/>
    <x v="0"/>
    <x v="1"/>
    <x v="1"/>
    <x v="13"/>
    <x v="0"/>
    <x v="3"/>
    <x v="2"/>
    <x v="3"/>
    <x v="1"/>
    <x v="3"/>
    <x v="3"/>
    <x v="1"/>
    <x v="36"/>
    <x v="0"/>
    <x v="0"/>
    <x v="1"/>
    <x v="0"/>
    <x v="0"/>
    <x v="0"/>
  </r>
  <r>
    <x v="817"/>
    <x v="0"/>
    <x v="0"/>
    <x v="1"/>
    <x v="1"/>
    <x v="13"/>
    <x v="0"/>
    <x v="3"/>
    <x v="2"/>
    <x v="3"/>
    <x v="1"/>
    <x v="3"/>
    <x v="3"/>
    <x v="1"/>
    <x v="36"/>
    <x v="0"/>
    <x v="0"/>
    <x v="1"/>
    <x v="0"/>
    <x v="0"/>
    <x v="0"/>
  </r>
  <r>
    <x v="818"/>
    <x v="0"/>
    <x v="0"/>
    <x v="1"/>
    <x v="1"/>
    <x v="13"/>
    <x v="0"/>
    <x v="3"/>
    <x v="2"/>
    <x v="3"/>
    <x v="0"/>
    <x v="3"/>
    <x v="1"/>
    <x v="1"/>
    <x v="36"/>
    <x v="0"/>
    <x v="0"/>
    <x v="1"/>
    <x v="0"/>
    <x v="0"/>
    <x v="0"/>
  </r>
  <r>
    <x v="819"/>
    <x v="0"/>
    <x v="0"/>
    <x v="1"/>
    <x v="1"/>
    <x v="13"/>
    <x v="0"/>
    <x v="3"/>
    <x v="2"/>
    <x v="3"/>
    <x v="1"/>
    <x v="3"/>
    <x v="3"/>
    <x v="1"/>
    <x v="15"/>
    <x v="0"/>
    <x v="0"/>
    <x v="1"/>
    <x v="0"/>
    <x v="0"/>
    <x v="0"/>
  </r>
  <r>
    <x v="820"/>
    <x v="1"/>
    <x v="1"/>
    <x v="1"/>
    <x v="1"/>
    <x v="13"/>
    <x v="0"/>
    <x v="3"/>
    <x v="2"/>
    <x v="3"/>
    <x v="1"/>
    <x v="3"/>
    <x v="3"/>
    <x v="1"/>
    <x v="15"/>
    <x v="0"/>
    <x v="0"/>
    <x v="0"/>
    <x v="0"/>
    <x v="0"/>
    <x v="0"/>
  </r>
  <r>
    <x v="821"/>
    <x v="0"/>
    <x v="0"/>
    <x v="1"/>
    <x v="1"/>
    <x v="13"/>
    <x v="0"/>
    <x v="3"/>
    <x v="2"/>
    <x v="3"/>
    <x v="1"/>
    <x v="3"/>
    <x v="3"/>
    <x v="1"/>
    <x v="7"/>
    <x v="0"/>
    <x v="1"/>
    <x v="1"/>
    <x v="0"/>
    <x v="0"/>
    <x v="0"/>
  </r>
  <r>
    <x v="822"/>
    <x v="1"/>
    <x v="1"/>
    <x v="1"/>
    <x v="1"/>
    <x v="13"/>
    <x v="0"/>
    <x v="2"/>
    <x v="2"/>
    <x v="4"/>
    <x v="1"/>
    <x v="3"/>
    <x v="3"/>
    <x v="1"/>
    <x v="7"/>
    <x v="0"/>
    <x v="1"/>
    <x v="0"/>
    <x v="0"/>
    <x v="0"/>
    <x v="0"/>
  </r>
  <r>
    <x v="823"/>
    <x v="0"/>
    <x v="0"/>
    <x v="0"/>
    <x v="0"/>
    <x v="13"/>
    <x v="0"/>
    <x v="2"/>
    <x v="2"/>
    <x v="4"/>
    <x v="1"/>
    <x v="4"/>
    <x v="0"/>
    <x v="1"/>
    <x v="16"/>
    <x v="0"/>
    <x v="1"/>
    <x v="1"/>
    <x v="0"/>
    <x v="0"/>
    <x v="0"/>
  </r>
  <r>
    <x v="824"/>
    <x v="0"/>
    <x v="0"/>
    <x v="1"/>
    <x v="1"/>
    <x v="13"/>
    <x v="0"/>
    <x v="2"/>
    <x v="2"/>
    <x v="4"/>
    <x v="1"/>
    <x v="4"/>
    <x v="4"/>
    <x v="1"/>
    <x v="16"/>
    <x v="0"/>
    <x v="1"/>
    <x v="0"/>
    <x v="0"/>
    <x v="0"/>
    <x v="0"/>
  </r>
  <r>
    <x v="825"/>
    <x v="1"/>
    <x v="1"/>
    <x v="1"/>
    <x v="1"/>
    <x v="13"/>
    <x v="0"/>
    <x v="2"/>
    <x v="2"/>
    <x v="4"/>
    <x v="0"/>
    <x v="4"/>
    <x v="0"/>
    <x v="1"/>
    <x v="16"/>
    <x v="0"/>
    <x v="1"/>
    <x v="1"/>
    <x v="0"/>
    <x v="0"/>
    <x v="0"/>
  </r>
  <r>
    <x v="826"/>
    <x v="0"/>
    <x v="0"/>
    <x v="0"/>
    <x v="0"/>
    <x v="13"/>
    <x v="0"/>
    <x v="2"/>
    <x v="3"/>
    <x v="3"/>
    <x v="1"/>
    <x v="4"/>
    <x v="0"/>
    <x v="1"/>
    <x v="31"/>
    <x v="0"/>
    <x v="1"/>
    <x v="0"/>
    <x v="0"/>
    <x v="0"/>
    <x v="0"/>
  </r>
  <r>
    <x v="827"/>
    <x v="0"/>
    <x v="0"/>
    <x v="0"/>
    <x v="0"/>
    <x v="13"/>
    <x v="0"/>
    <x v="5"/>
    <x v="2"/>
    <x v="3"/>
    <x v="1"/>
    <x v="3"/>
    <x v="0"/>
    <x v="2"/>
    <x v="31"/>
    <x v="0"/>
    <x v="1"/>
    <x v="0"/>
    <x v="0"/>
    <x v="0"/>
    <x v="0"/>
  </r>
  <r>
    <x v="828"/>
    <x v="0"/>
    <x v="0"/>
    <x v="0"/>
    <x v="0"/>
    <x v="13"/>
    <x v="0"/>
    <x v="5"/>
    <x v="2"/>
    <x v="3"/>
    <x v="0"/>
    <x v="3"/>
    <x v="3"/>
    <x v="2"/>
    <x v="17"/>
    <x v="0"/>
    <x v="1"/>
    <x v="0"/>
    <x v="0"/>
    <x v="0"/>
    <x v="0"/>
  </r>
  <r>
    <x v="829"/>
    <x v="0"/>
    <x v="0"/>
    <x v="1"/>
    <x v="1"/>
    <x v="13"/>
    <x v="0"/>
    <x v="5"/>
    <x v="2"/>
    <x v="3"/>
    <x v="1"/>
    <x v="3"/>
    <x v="0"/>
    <x v="2"/>
    <x v="17"/>
    <x v="0"/>
    <x v="1"/>
    <x v="0"/>
    <x v="0"/>
    <x v="0"/>
    <x v="0"/>
  </r>
  <r>
    <x v="830"/>
    <x v="0"/>
    <x v="0"/>
    <x v="1"/>
    <x v="1"/>
    <x v="13"/>
    <x v="0"/>
    <x v="5"/>
    <x v="2"/>
    <x v="3"/>
    <x v="1"/>
    <x v="3"/>
    <x v="0"/>
    <x v="2"/>
    <x v="17"/>
    <x v="0"/>
    <x v="1"/>
    <x v="0"/>
    <x v="0"/>
    <x v="0"/>
    <x v="0"/>
  </r>
  <r>
    <x v="831"/>
    <x v="0"/>
    <x v="0"/>
    <x v="0"/>
    <x v="0"/>
    <x v="13"/>
    <x v="0"/>
    <x v="5"/>
    <x v="0"/>
    <x v="4"/>
    <x v="0"/>
    <x v="3"/>
    <x v="3"/>
    <x v="2"/>
    <x v="1"/>
    <x v="0"/>
    <x v="1"/>
    <x v="0"/>
    <x v="0"/>
    <x v="0"/>
    <x v="0"/>
  </r>
  <r>
    <x v="832"/>
    <x v="1"/>
    <x v="1"/>
    <x v="0"/>
    <x v="0"/>
    <x v="13"/>
    <x v="0"/>
    <x v="5"/>
    <x v="2"/>
    <x v="3"/>
    <x v="1"/>
    <x v="3"/>
    <x v="0"/>
    <x v="2"/>
    <x v="1"/>
    <x v="0"/>
    <x v="1"/>
    <x v="1"/>
    <x v="0"/>
    <x v="0"/>
    <x v="0"/>
  </r>
  <r>
    <x v="833"/>
    <x v="1"/>
    <x v="1"/>
    <x v="0"/>
    <x v="0"/>
    <x v="13"/>
    <x v="0"/>
    <x v="5"/>
    <x v="2"/>
    <x v="3"/>
    <x v="1"/>
    <x v="3"/>
    <x v="0"/>
    <x v="2"/>
    <x v="1"/>
    <x v="0"/>
    <x v="1"/>
    <x v="1"/>
    <x v="0"/>
    <x v="0"/>
    <x v="0"/>
  </r>
  <r>
    <x v="834"/>
    <x v="0"/>
    <x v="0"/>
    <x v="1"/>
    <x v="1"/>
    <x v="13"/>
    <x v="0"/>
    <x v="5"/>
    <x v="2"/>
    <x v="3"/>
    <x v="1"/>
    <x v="3"/>
    <x v="0"/>
    <x v="2"/>
    <x v="1"/>
    <x v="0"/>
    <x v="1"/>
    <x v="1"/>
    <x v="0"/>
    <x v="0"/>
    <x v="0"/>
  </r>
  <r>
    <x v="835"/>
    <x v="0"/>
    <x v="0"/>
    <x v="0"/>
    <x v="0"/>
    <x v="13"/>
    <x v="0"/>
    <x v="5"/>
    <x v="2"/>
    <x v="3"/>
    <x v="0"/>
    <x v="3"/>
    <x v="3"/>
    <x v="2"/>
    <x v="28"/>
    <x v="0"/>
    <x v="1"/>
    <x v="0"/>
    <x v="0"/>
    <x v="0"/>
    <x v="0"/>
  </r>
  <r>
    <x v="836"/>
    <x v="0"/>
    <x v="0"/>
    <x v="1"/>
    <x v="1"/>
    <x v="13"/>
    <x v="0"/>
    <x v="5"/>
    <x v="0"/>
    <x v="4"/>
    <x v="0"/>
    <x v="3"/>
    <x v="0"/>
    <x v="2"/>
    <x v="28"/>
    <x v="0"/>
    <x v="1"/>
    <x v="1"/>
    <x v="0"/>
    <x v="0"/>
    <x v="0"/>
  </r>
  <r>
    <x v="837"/>
    <x v="1"/>
    <x v="1"/>
    <x v="1"/>
    <x v="1"/>
    <x v="13"/>
    <x v="0"/>
    <x v="5"/>
    <x v="0"/>
    <x v="4"/>
    <x v="0"/>
    <x v="3"/>
    <x v="3"/>
    <x v="2"/>
    <x v="19"/>
    <x v="0"/>
    <x v="1"/>
    <x v="0"/>
    <x v="0"/>
    <x v="0"/>
    <x v="0"/>
  </r>
  <r>
    <x v="838"/>
    <x v="1"/>
    <x v="1"/>
    <x v="0"/>
    <x v="0"/>
    <x v="13"/>
    <x v="0"/>
    <x v="3"/>
    <x v="0"/>
    <x v="4"/>
    <x v="0"/>
    <x v="3"/>
    <x v="0"/>
    <x v="2"/>
    <x v="41"/>
    <x v="0"/>
    <x v="1"/>
    <x v="0"/>
    <x v="0"/>
    <x v="0"/>
    <x v="0"/>
  </r>
  <r>
    <x v="839"/>
    <x v="1"/>
    <x v="1"/>
    <x v="0"/>
    <x v="0"/>
    <x v="13"/>
    <x v="0"/>
    <x v="3"/>
    <x v="0"/>
    <x v="4"/>
    <x v="0"/>
    <x v="3"/>
    <x v="0"/>
    <x v="2"/>
    <x v="41"/>
    <x v="0"/>
    <x v="1"/>
    <x v="0"/>
    <x v="0"/>
    <x v="0"/>
    <x v="0"/>
  </r>
  <r>
    <x v="840"/>
    <x v="1"/>
    <x v="1"/>
    <x v="1"/>
    <x v="1"/>
    <x v="13"/>
    <x v="0"/>
    <x v="1"/>
    <x v="4"/>
    <x v="3"/>
    <x v="1"/>
    <x v="0"/>
    <x v="2"/>
    <x v="1"/>
    <x v="41"/>
    <x v="0"/>
    <x v="1"/>
    <x v="0"/>
    <x v="0"/>
    <x v="0"/>
    <x v="0"/>
  </r>
  <r>
    <x v="841"/>
    <x v="1"/>
    <x v="1"/>
    <x v="1"/>
    <x v="1"/>
    <x v="13"/>
    <x v="0"/>
    <x v="2"/>
    <x v="3"/>
    <x v="4"/>
    <x v="1"/>
    <x v="1"/>
    <x v="1"/>
    <x v="0"/>
    <x v="29"/>
    <x v="0"/>
    <x v="1"/>
    <x v="0"/>
    <x v="0"/>
    <x v="0"/>
    <x v="0"/>
  </r>
  <r>
    <x v="842"/>
    <x v="1"/>
    <x v="1"/>
    <x v="1"/>
    <x v="1"/>
    <x v="13"/>
    <x v="0"/>
    <x v="2"/>
    <x v="3"/>
    <x v="4"/>
    <x v="1"/>
    <x v="1"/>
    <x v="1"/>
    <x v="0"/>
    <x v="37"/>
    <x v="0"/>
    <x v="1"/>
    <x v="1"/>
    <x v="0"/>
    <x v="0"/>
    <x v="0"/>
  </r>
  <r>
    <x v="843"/>
    <x v="0"/>
    <x v="0"/>
    <x v="0"/>
    <x v="0"/>
    <x v="13"/>
    <x v="0"/>
    <x v="2"/>
    <x v="3"/>
    <x v="4"/>
    <x v="1"/>
    <x v="1"/>
    <x v="1"/>
    <x v="0"/>
    <x v="30"/>
    <x v="0"/>
    <x v="1"/>
    <x v="1"/>
    <x v="0"/>
    <x v="0"/>
    <x v="0"/>
  </r>
  <r>
    <x v="844"/>
    <x v="0"/>
    <x v="0"/>
    <x v="0"/>
    <x v="0"/>
    <x v="13"/>
    <x v="0"/>
    <x v="2"/>
    <x v="3"/>
    <x v="4"/>
    <x v="1"/>
    <x v="1"/>
    <x v="1"/>
    <x v="0"/>
    <x v="33"/>
    <x v="0"/>
    <x v="1"/>
    <x v="1"/>
    <x v="0"/>
    <x v="0"/>
    <x v="0"/>
  </r>
  <r>
    <x v="845"/>
    <x v="0"/>
    <x v="0"/>
    <x v="1"/>
    <x v="1"/>
    <x v="13"/>
    <x v="0"/>
    <x v="2"/>
    <x v="3"/>
    <x v="4"/>
    <x v="1"/>
    <x v="1"/>
    <x v="1"/>
    <x v="0"/>
    <x v="33"/>
    <x v="0"/>
    <x v="1"/>
    <x v="0"/>
    <x v="0"/>
    <x v="0"/>
    <x v="0"/>
  </r>
  <r>
    <x v="846"/>
    <x v="0"/>
    <x v="0"/>
    <x v="0"/>
    <x v="0"/>
    <x v="13"/>
    <x v="0"/>
    <x v="3"/>
    <x v="0"/>
    <x v="4"/>
    <x v="0"/>
    <x v="3"/>
    <x v="1"/>
    <x v="2"/>
    <x v="21"/>
    <x v="0"/>
    <x v="1"/>
    <x v="1"/>
    <x v="0"/>
    <x v="0"/>
    <x v="0"/>
  </r>
  <r>
    <x v="847"/>
    <x v="1"/>
    <x v="1"/>
    <x v="0"/>
    <x v="0"/>
    <x v="13"/>
    <x v="0"/>
    <x v="3"/>
    <x v="0"/>
    <x v="4"/>
    <x v="0"/>
    <x v="3"/>
    <x v="0"/>
    <x v="2"/>
    <x v="21"/>
    <x v="0"/>
    <x v="1"/>
    <x v="1"/>
    <x v="0"/>
    <x v="0"/>
    <x v="0"/>
  </r>
  <r>
    <x v="848"/>
    <x v="1"/>
    <x v="1"/>
    <x v="0"/>
    <x v="0"/>
    <x v="13"/>
    <x v="0"/>
    <x v="3"/>
    <x v="0"/>
    <x v="4"/>
    <x v="0"/>
    <x v="3"/>
    <x v="0"/>
    <x v="2"/>
    <x v="21"/>
    <x v="0"/>
    <x v="1"/>
    <x v="1"/>
    <x v="0"/>
    <x v="0"/>
    <x v="0"/>
  </r>
  <r>
    <x v="849"/>
    <x v="1"/>
    <x v="1"/>
    <x v="1"/>
    <x v="1"/>
    <x v="13"/>
    <x v="0"/>
    <x v="3"/>
    <x v="0"/>
    <x v="4"/>
    <x v="1"/>
    <x v="3"/>
    <x v="0"/>
    <x v="2"/>
    <x v="42"/>
    <x v="0"/>
    <x v="1"/>
    <x v="1"/>
    <x v="0"/>
    <x v="0"/>
    <x v="0"/>
  </r>
  <r>
    <x v="850"/>
    <x v="0"/>
    <x v="0"/>
    <x v="0"/>
    <x v="0"/>
    <x v="13"/>
    <x v="0"/>
    <x v="3"/>
    <x v="0"/>
    <x v="4"/>
    <x v="0"/>
    <x v="3"/>
    <x v="0"/>
    <x v="2"/>
    <x v="22"/>
    <x v="0"/>
    <x v="1"/>
    <x v="1"/>
    <x v="0"/>
    <x v="0"/>
    <x v="0"/>
  </r>
  <r>
    <x v="851"/>
    <x v="0"/>
    <x v="0"/>
    <x v="0"/>
    <x v="0"/>
    <x v="13"/>
    <x v="0"/>
    <x v="3"/>
    <x v="0"/>
    <x v="4"/>
    <x v="0"/>
    <x v="3"/>
    <x v="1"/>
    <x v="2"/>
    <x v="22"/>
    <x v="0"/>
    <x v="1"/>
    <x v="1"/>
    <x v="0"/>
    <x v="0"/>
    <x v="0"/>
  </r>
  <r>
    <x v="852"/>
    <x v="0"/>
    <x v="0"/>
    <x v="0"/>
    <x v="0"/>
    <x v="13"/>
    <x v="0"/>
    <x v="3"/>
    <x v="0"/>
    <x v="4"/>
    <x v="1"/>
    <x v="3"/>
    <x v="0"/>
    <x v="2"/>
    <x v="22"/>
    <x v="0"/>
    <x v="1"/>
    <x v="1"/>
    <x v="0"/>
    <x v="0"/>
    <x v="0"/>
  </r>
  <r>
    <x v="853"/>
    <x v="1"/>
    <x v="1"/>
    <x v="0"/>
    <x v="0"/>
    <x v="14"/>
    <x v="0"/>
    <x v="4"/>
    <x v="4"/>
    <x v="2"/>
    <x v="0"/>
    <x v="3"/>
    <x v="1"/>
    <x v="0"/>
    <x v="48"/>
    <x v="0"/>
    <x v="2"/>
    <x v="1"/>
    <x v="0"/>
    <x v="0"/>
    <x v="0"/>
  </r>
  <r>
    <x v="854"/>
    <x v="1"/>
    <x v="1"/>
    <x v="1"/>
    <x v="1"/>
    <x v="14"/>
    <x v="0"/>
    <x v="4"/>
    <x v="3"/>
    <x v="4"/>
    <x v="1"/>
    <x v="1"/>
    <x v="1"/>
    <x v="2"/>
    <x v="48"/>
    <x v="0"/>
    <x v="2"/>
    <x v="0"/>
    <x v="0"/>
    <x v="0"/>
    <x v="0"/>
  </r>
  <r>
    <x v="855"/>
    <x v="0"/>
    <x v="0"/>
    <x v="0"/>
    <x v="0"/>
    <x v="14"/>
    <x v="0"/>
    <x v="4"/>
    <x v="3"/>
    <x v="4"/>
    <x v="0"/>
    <x v="1"/>
    <x v="1"/>
    <x v="2"/>
    <x v="49"/>
    <x v="0"/>
    <x v="2"/>
    <x v="0"/>
    <x v="0"/>
    <x v="0"/>
    <x v="0"/>
  </r>
  <r>
    <x v="856"/>
    <x v="1"/>
    <x v="1"/>
    <x v="0"/>
    <x v="0"/>
    <x v="14"/>
    <x v="0"/>
    <x v="4"/>
    <x v="4"/>
    <x v="2"/>
    <x v="0"/>
    <x v="3"/>
    <x v="3"/>
    <x v="0"/>
    <x v="49"/>
    <x v="0"/>
    <x v="2"/>
    <x v="1"/>
    <x v="0"/>
    <x v="0"/>
    <x v="0"/>
  </r>
  <r>
    <x v="857"/>
    <x v="1"/>
    <x v="1"/>
    <x v="0"/>
    <x v="0"/>
    <x v="14"/>
    <x v="0"/>
    <x v="4"/>
    <x v="4"/>
    <x v="2"/>
    <x v="1"/>
    <x v="3"/>
    <x v="3"/>
    <x v="0"/>
    <x v="49"/>
    <x v="0"/>
    <x v="2"/>
    <x v="0"/>
    <x v="0"/>
    <x v="0"/>
    <x v="0"/>
  </r>
  <r>
    <x v="858"/>
    <x v="0"/>
    <x v="0"/>
    <x v="1"/>
    <x v="1"/>
    <x v="14"/>
    <x v="0"/>
    <x v="4"/>
    <x v="3"/>
    <x v="4"/>
    <x v="1"/>
    <x v="1"/>
    <x v="1"/>
    <x v="2"/>
    <x v="49"/>
    <x v="0"/>
    <x v="2"/>
    <x v="0"/>
    <x v="0"/>
    <x v="0"/>
    <x v="0"/>
  </r>
  <r>
    <x v="859"/>
    <x v="1"/>
    <x v="1"/>
    <x v="0"/>
    <x v="0"/>
    <x v="14"/>
    <x v="0"/>
    <x v="1"/>
    <x v="2"/>
    <x v="2"/>
    <x v="1"/>
    <x v="3"/>
    <x v="1"/>
    <x v="0"/>
    <x v="45"/>
    <x v="0"/>
    <x v="2"/>
    <x v="1"/>
    <x v="0"/>
    <x v="0"/>
    <x v="0"/>
  </r>
  <r>
    <x v="860"/>
    <x v="0"/>
    <x v="0"/>
    <x v="1"/>
    <x v="1"/>
    <x v="14"/>
    <x v="0"/>
    <x v="4"/>
    <x v="3"/>
    <x v="4"/>
    <x v="1"/>
    <x v="1"/>
    <x v="1"/>
    <x v="2"/>
    <x v="45"/>
    <x v="0"/>
    <x v="2"/>
    <x v="0"/>
    <x v="0"/>
    <x v="0"/>
    <x v="0"/>
  </r>
  <r>
    <x v="861"/>
    <x v="1"/>
    <x v="1"/>
    <x v="0"/>
    <x v="0"/>
    <x v="14"/>
    <x v="0"/>
    <x v="4"/>
    <x v="2"/>
    <x v="2"/>
    <x v="0"/>
    <x v="4"/>
    <x v="3"/>
    <x v="0"/>
    <x v="50"/>
    <x v="0"/>
    <x v="2"/>
    <x v="1"/>
    <x v="0"/>
    <x v="0"/>
    <x v="0"/>
  </r>
  <r>
    <x v="862"/>
    <x v="1"/>
    <x v="1"/>
    <x v="1"/>
    <x v="1"/>
    <x v="14"/>
    <x v="0"/>
    <x v="4"/>
    <x v="2"/>
    <x v="2"/>
    <x v="0"/>
    <x v="4"/>
    <x v="4"/>
    <x v="0"/>
    <x v="50"/>
    <x v="0"/>
    <x v="2"/>
    <x v="1"/>
    <x v="0"/>
    <x v="0"/>
    <x v="0"/>
  </r>
  <r>
    <x v="863"/>
    <x v="1"/>
    <x v="1"/>
    <x v="1"/>
    <x v="1"/>
    <x v="14"/>
    <x v="0"/>
    <x v="4"/>
    <x v="0"/>
    <x v="2"/>
    <x v="0"/>
    <x v="1"/>
    <x v="1"/>
    <x v="2"/>
    <x v="50"/>
    <x v="0"/>
    <x v="2"/>
    <x v="0"/>
    <x v="0"/>
    <x v="0"/>
    <x v="0"/>
  </r>
  <r>
    <x v="864"/>
    <x v="1"/>
    <x v="1"/>
    <x v="1"/>
    <x v="1"/>
    <x v="14"/>
    <x v="0"/>
    <x v="4"/>
    <x v="0"/>
    <x v="2"/>
    <x v="1"/>
    <x v="1"/>
    <x v="1"/>
    <x v="2"/>
    <x v="50"/>
    <x v="0"/>
    <x v="2"/>
    <x v="0"/>
    <x v="0"/>
    <x v="0"/>
    <x v="0"/>
  </r>
  <r>
    <x v="865"/>
    <x v="1"/>
    <x v="1"/>
    <x v="0"/>
    <x v="0"/>
    <x v="14"/>
    <x v="0"/>
    <x v="4"/>
    <x v="0"/>
    <x v="2"/>
    <x v="1"/>
    <x v="1"/>
    <x v="1"/>
    <x v="2"/>
    <x v="38"/>
    <x v="0"/>
    <x v="2"/>
    <x v="0"/>
    <x v="0"/>
    <x v="0"/>
    <x v="0"/>
  </r>
  <r>
    <x v="866"/>
    <x v="1"/>
    <x v="1"/>
    <x v="0"/>
    <x v="0"/>
    <x v="14"/>
    <x v="0"/>
    <x v="4"/>
    <x v="2"/>
    <x v="2"/>
    <x v="0"/>
    <x v="4"/>
    <x v="4"/>
    <x v="0"/>
    <x v="38"/>
    <x v="0"/>
    <x v="2"/>
    <x v="1"/>
    <x v="0"/>
    <x v="0"/>
    <x v="0"/>
  </r>
  <r>
    <x v="867"/>
    <x v="1"/>
    <x v="1"/>
    <x v="1"/>
    <x v="1"/>
    <x v="14"/>
    <x v="0"/>
    <x v="4"/>
    <x v="2"/>
    <x v="2"/>
    <x v="0"/>
    <x v="4"/>
    <x v="4"/>
    <x v="0"/>
    <x v="38"/>
    <x v="0"/>
    <x v="2"/>
    <x v="1"/>
    <x v="0"/>
    <x v="0"/>
    <x v="0"/>
  </r>
  <r>
    <x v="868"/>
    <x v="1"/>
    <x v="1"/>
    <x v="0"/>
    <x v="0"/>
    <x v="14"/>
    <x v="0"/>
    <x v="4"/>
    <x v="2"/>
    <x v="2"/>
    <x v="0"/>
    <x v="4"/>
    <x v="4"/>
    <x v="0"/>
    <x v="39"/>
    <x v="0"/>
    <x v="0"/>
    <x v="1"/>
    <x v="0"/>
    <x v="0"/>
    <x v="0"/>
  </r>
  <r>
    <x v="869"/>
    <x v="1"/>
    <x v="1"/>
    <x v="1"/>
    <x v="1"/>
    <x v="14"/>
    <x v="0"/>
    <x v="4"/>
    <x v="2"/>
    <x v="2"/>
    <x v="0"/>
    <x v="4"/>
    <x v="4"/>
    <x v="0"/>
    <x v="39"/>
    <x v="0"/>
    <x v="0"/>
    <x v="1"/>
    <x v="0"/>
    <x v="0"/>
    <x v="0"/>
  </r>
  <r>
    <x v="870"/>
    <x v="1"/>
    <x v="1"/>
    <x v="0"/>
    <x v="0"/>
    <x v="14"/>
    <x v="0"/>
    <x v="4"/>
    <x v="2"/>
    <x v="2"/>
    <x v="0"/>
    <x v="4"/>
    <x v="0"/>
    <x v="0"/>
    <x v="8"/>
    <x v="0"/>
    <x v="0"/>
    <x v="1"/>
    <x v="0"/>
    <x v="0"/>
    <x v="0"/>
  </r>
  <r>
    <x v="871"/>
    <x v="1"/>
    <x v="1"/>
    <x v="1"/>
    <x v="1"/>
    <x v="14"/>
    <x v="0"/>
    <x v="4"/>
    <x v="4"/>
    <x v="2"/>
    <x v="1"/>
    <x v="3"/>
    <x v="3"/>
    <x v="0"/>
    <x v="8"/>
    <x v="0"/>
    <x v="0"/>
    <x v="0"/>
    <x v="0"/>
    <x v="0"/>
    <x v="0"/>
  </r>
  <r>
    <x v="872"/>
    <x v="1"/>
    <x v="1"/>
    <x v="0"/>
    <x v="0"/>
    <x v="14"/>
    <x v="0"/>
    <x v="4"/>
    <x v="4"/>
    <x v="2"/>
    <x v="0"/>
    <x v="3"/>
    <x v="1"/>
    <x v="0"/>
    <x v="23"/>
    <x v="0"/>
    <x v="0"/>
    <x v="0"/>
    <x v="0"/>
    <x v="0"/>
    <x v="0"/>
  </r>
  <r>
    <x v="873"/>
    <x v="1"/>
    <x v="1"/>
    <x v="0"/>
    <x v="0"/>
    <x v="14"/>
    <x v="0"/>
    <x v="4"/>
    <x v="4"/>
    <x v="2"/>
    <x v="0"/>
    <x v="3"/>
    <x v="3"/>
    <x v="0"/>
    <x v="23"/>
    <x v="0"/>
    <x v="0"/>
    <x v="1"/>
    <x v="0"/>
    <x v="0"/>
    <x v="0"/>
  </r>
  <r>
    <x v="874"/>
    <x v="0"/>
    <x v="0"/>
    <x v="1"/>
    <x v="1"/>
    <x v="14"/>
    <x v="0"/>
    <x v="4"/>
    <x v="4"/>
    <x v="2"/>
    <x v="1"/>
    <x v="3"/>
    <x v="1"/>
    <x v="0"/>
    <x v="23"/>
    <x v="0"/>
    <x v="0"/>
    <x v="1"/>
    <x v="0"/>
    <x v="0"/>
    <x v="0"/>
  </r>
  <r>
    <x v="875"/>
    <x v="1"/>
    <x v="1"/>
    <x v="0"/>
    <x v="0"/>
    <x v="14"/>
    <x v="0"/>
    <x v="4"/>
    <x v="4"/>
    <x v="2"/>
    <x v="0"/>
    <x v="3"/>
    <x v="3"/>
    <x v="0"/>
    <x v="24"/>
    <x v="0"/>
    <x v="0"/>
    <x v="0"/>
    <x v="0"/>
    <x v="0"/>
    <x v="0"/>
  </r>
  <r>
    <x v="876"/>
    <x v="1"/>
    <x v="1"/>
    <x v="1"/>
    <x v="1"/>
    <x v="14"/>
    <x v="0"/>
    <x v="4"/>
    <x v="4"/>
    <x v="2"/>
    <x v="0"/>
    <x v="3"/>
    <x v="1"/>
    <x v="0"/>
    <x v="24"/>
    <x v="0"/>
    <x v="0"/>
    <x v="1"/>
    <x v="0"/>
    <x v="0"/>
    <x v="0"/>
  </r>
  <r>
    <x v="877"/>
    <x v="1"/>
    <x v="1"/>
    <x v="0"/>
    <x v="0"/>
    <x v="14"/>
    <x v="0"/>
    <x v="4"/>
    <x v="4"/>
    <x v="2"/>
    <x v="0"/>
    <x v="3"/>
    <x v="3"/>
    <x v="0"/>
    <x v="32"/>
    <x v="0"/>
    <x v="0"/>
    <x v="0"/>
    <x v="0"/>
    <x v="0"/>
    <x v="0"/>
  </r>
  <r>
    <x v="878"/>
    <x v="0"/>
    <x v="0"/>
    <x v="1"/>
    <x v="1"/>
    <x v="14"/>
    <x v="0"/>
    <x v="2"/>
    <x v="0"/>
    <x v="2"/>
    <x v="1"/>
    <x v="1"/>
    <x v="3"/>
    <x v="0"/>
    <x v="32"/>
    <x v="0"/>
    <x v="0"/>
    <x v="1"/>
    <x v="0"/>
    <x v="0"/>
    <x v="0"/>
  </r>
  <r>
    <x v="879"/>
    <x v="1"/>
    <x v="1"/>
    <x v="0"/>
    <x v="0"/>
    <x v="14"/>
    <x v="0"/>
    <x v="4"/>
    <x v="0"/>
    <x v="2"/>
    <x v="0"/>
    <x v="4"/>
    <x v="4"/>
    <x v="0"/>
    <x v="9"/>
    <x v="0"/>
    <x v="0"/>
    <x v="0"/>
    <x v="0"/>
    <x v="0"/>
    <x v="0"/>
  </r>
  <r>
    <x v="880"/>
    <x v="1"/>
    <x v="1"/>
    <x v="1"/>
    <x v="1"/>
    <x v="14"/>
    <x v="0"/>
    <x v="4"/>
    <x v="0"/>
    <x v="2"/>
    <x v="0"/>
    <x v="4"/>
    <x v="4"/>
    <x v="0"/>
    <x v="9"/>
    <x v="0"/>
    <x v="0"/>
    <x v="0"/>
    <x v="0"/>
    <x v="0"/>
    <x v="0"/>
  </r>
  <r>
    <x v="881"/>
    <x v="1"/>
    <x v="1"/>
    <x v="1"/>
    <x v="1"/>
    <x v="14"/>
    <x v="0"/>
    <x v="2"/>
    <x v="0"/>
    <x v="2"/>
    <x v="0"/>
    <x v="1"/>
    <x v="1"/>
    <x v="0"/>
    <x v="5"/>
    <x v="0"/>
    <x v="0"/>
    <x v="1"/>
    <x v="0"/>
    <x v="0"/>
    <x v="0"/>
  </r>
  <r>
    <x v="882"/>
    <x v="0"/>
    <x v="0"/>
    <x v="0"/>
    <x v="0"/>
    <x v="14"/>
    <x v="0"/>
    <x v="3"/>
    <x v="2"/>
    <x v="2"/>
    <x v="1"/>
    <x v="1"/>
    <x v="1"/>
    <x v="0"/>
    <x v="11"/>
    <x v="0"/>
    <x v="0"/>
    <x v="0"/>
    <x v="0"/>
    <x v="0"/>
    <x v="0"/>
  </r>
  <r>
    <x v="883"/>
    <x v="1"/>
    <x v="1"/>
    <x v="0"/>
    <x v="0"/>
    <x v="14"/>
    <x v="0"/>
    <x v="4"/>
    <x v="2"/>
    <x v="2"/>
    <x v="1"/>
    <x v="1"/>
    <x v="1"/>
    <x v="0"/>
    <x v="11"/>
    <x v="0"/>
    <x v="0"/>
    <x v="0"/>
    <x v="0"/>
    <x v="0"/>
    <x v="0"/>
  </r>
  <r>
    <x v="884"/>
    <x v="0"/>
    <x v="0"/>
    <x v="1"/>
    <x v="1"/>
    <x v="14"/>
    <x v="0"/>
    <x v="2"/>
    <x v="2"/>
    <x v="2"/>
    <x v="0"/>
    <x v="4"/>
    <x v="3"/>
    <x v="0"/>
    <x v="11"/>
    <x v="0"/>
    <x v="0"/>
    <x v="0"/>
    <x v="0"/>
    <x v="0"/>
    <x v="0"/>
  </r>
  <r>
    <x v="885"/>
    <x v="1"/>
    <x v="1"/>
    <x v="1"/>
    <x v="1"/>
    <x v="14"/>
    <x v="0"/>
    <x v="3"/>
    <x v="2"/>
    <x v="2"/>
    <x v="1"/>
    <x v="4"/>
    <x v="1"/>
    <x v="0"/>
    <x v="11"/>
    <x v="0"/>
    <x v="0"/>
    <x v="1"/>
    <x v="0"/>
    <x v="0"/>
    <x v="0"/>
  </r>
  <r>
    <x v="886"/>
    <x v="0"/>
    <x v="0"/>
    <x v="0"/>
    <x v="0"/>
    <x v="14"/>
    <x v="0"/>
    <x v="5"/>
    <x v="2"/>
    <x v="2"/>
    <x v="1"/>
    <x v="1"/>
    <x v="1"/>
    <x v="0"/>
    <x v="12"/>
    <x v="0"/>
    <x v="0"/>
    <x v="0"/>
    <x v="0"/>
    <x v="0"/>
    <x v="0"/>
  </r>
  <r>
    <x v="887"/>
    <x v="1"/>
    <x v="1"/>
    <x v="0"/>
    <x v="0"/>
    <x v="14"/>
    <x v="0"/>
    <x v="5"/>
    <x v="2"/>
    <x v="2"/>
    <x v="1"/>
    <x v="4"/>
    <x v="1"/>
    <x v="0"/>
    <x v="13"/>
    <x v="0"/>
    <x v="0"/>
    <x v="0"/>
    <x v="0"/>
    <x v="0"/>
    <x v="0"/>
  </r>
  <r>
    <x v="888"/>
    <x v="0"/>
    <x v="0"/>
    <x v="1"/>
    <x v="1"/>
    <x v="14"/>
    <x v="0"/>
    <x v="3"/>
    <x v="2"/>
    <x v="2"/>
    <x v="1"/>
    <x v="3"/>
    <x v="1"/>
    <x v="0"/>
    <x v="13"/>
    <x v="0"/>
    <x v="0"/>
    <x v="1"/>
    <x v="0"/>
    <x v="0"/>
    <x v="0"/>
  </r>
  <r>
    <x v="889"/>
    <x v="1"/>
    <x v="1"/>
    <x v="1"/>
    <x v="1"/>
    <x v="14"/>
    <x v="0"/>
    <x v="3"/>
    <x v="2"/>
    <x v="2"/>
    <x v="1"/>
    <x v="3"/>
    <x v="1"/>
    <x v="0"/>
    <x v="13"/>
    <x v="0"/>
    <x v="0"/>
    <x v="1"/>
    <x v="0"/>
    <x v="0"/>
    <x v="0"/>
  </r>
  <r>
    <x v="890"/>
    <x v="0"/>
    <x v="0"/>
    <x v="0"/>
    <x v="0"/>
    <x v="14"/>
    <x v="0"/>
    <x v="5"/>
    <x v="2"/>
    <x v="2"/>
    <x v="1"/>
    <x v="3"/>
    <x v="1"/>
    <x v="0"/>
    <x v="26"/>
    <x v="0"/>
    <x v="0"/>
    <x v="1"/>
    <x v="0"/>
    <x v="0"/>
    <x v="0"/>
  </r>
  <r>
    <x v="891"/>
    <x v="1"/>
    <x v="1"/>
    <x v="0"/>
    <x v="0"/>
    <x v="14"/>
    <x v="0"/>
    <x v="0"/>
    <x v="2"/>
    <x v="2"/>
    <x v="1"/>
    <x v="4"/>
    <x v="1"/>
    <x v="0"/>
    <x v="26"/>
    <x v="0"/>
    <x v="0"/>
    <x v="0"/>
    <x v="0"/>
    <x v="0"/>
    <x v="0"/>
  </r>
  <r>
    <x v="892"/>
    <x v="0"/>
    <x v="0"/>
    <x v="1"/>
    <x v="1"/>
    <x v="14"/>
    <x v="0"/>
    <x v="2"/>
    <x v="1"/>
    <x v="4"/>
    <x v="1"/>
    <x v="1"/>
    <x v="1"/>
    <x v="0"/>
    <x v="26"/>
    <x v="0"/>
    <x v="0"/>
    <x v="1"/>
    <x v="0"/>
    <x v="0"/>
    <x v="0"/>
  </r>
  <r>
    <x v="893"/>
    <x v="0"/>
    <x v="0"/>
    <x v="1"/>
    <x v="1"/>
    <x v="14"/>
    <x v="0"/>
    <x v="2"/>
    <x v="1"/>
    <x v="4"/>
    <x v="1"/>
    <x v="1"/>
    <x v="1"/>
    <x v="0"/>
    <x v="6"/>
    <x v="0"/>
    <x v="0"/>
    <x v="1"/>
    <x v="0"/>
    <x v="0"/>
    <x v="0"/>
  </r>
  <r>
    <x v="894"/>
    <x v="0"/>
    <x v="0"/>
    <x v="0"/>
    <x v="0"/>
    <x v="14"/>
    <x v="0"/>
    <x v="2"/>
    <x v="1"/>
    <x v="4"/>
    <x v="1"/>
    <x v="1"/>
    <x v="1"/>
    <x v="0"/>
    <x v="14"/>
    <x v="0"/>
    <x v="0"/>
    <x v="1"/>
    <x v="0"/>
    <x v="0"/>
    <x v="0"/>
  </r>
  <r>
    <x v="895"/>
    <x v="0"/>
    <x v="0"/>
    <x v="0"/>
    <x v="0"/>
    <x v="14"/>
    <x v="0"/>
    <x v="3"/>
    <x v="0"/>
    <x v="2"/>
    <x v="1"/>
    <x v="4"/>
    <x v="1"/>
    <x v="0"/>
    <x v="27"/>
    <x v="0"/>
    <x v="0"/>
    <x v="0"/>
    <x v="0"/>
    <x v="0"/>
    <x v="0"/>
  </r>
  <r>
    <x v="896"/>
    <x v="0"/>
    <x v="0"/>
    <x v="0"/>
    <x v="0"/>
    <x v="14"/>
    <x v="0"/>
    <x v="3"/>
    <x v="0"/>
    <x v="2"/>
    <x v="1"/>
    <x v="4"/>
    <x v="4"/>
    <x v="0"/>
    <x v="4"/>
    <x v="0"/>
    <x v="0"/>
    <x v="0"/>
    <x v="0"/>
    <x v="0"/>
    <x v="0"/>
  </r>
  <r>
    <x v="897"/>
    <x v="0"/>
    <x v="0"/>
    <x v="0"/>
    <x v="0"/>
    <x v="14"/>
    <x v="0"/>
    <x v="3"/>
    <x v="4"/>
    <x v="4"/>
    <x v="0"/>
    <x v="1"/>
    <x v="1"/>
    <x v="1"/>
    <x v="0"/>
    <x v="0"/>
    <x v="0"/>
    <x v="1"/>
    <x v="0"/>
    <x v="0"/>
    <x v="0"/>
  </r>
  <r>
    <x v="898"/>
    <x v="0"/>
    <x v="0"/>
    <x v="0"/>
    <x v="0"/>
    <x v="14"/>
    <x v="0"/>
    <x v="3"/>
    <x v="4"/>
    <x v="4"/>
    <x v="1"/>
    <x v="3"/>
    <x v="1"/>
    <x v="1"/>
    <x v="36"/>
    <x v="0"/>
    <x v="0"/>
    <x v="1"/>
    <x v="0"/>
    <x v="0"/>
    <x v="0"/>
  </r>
  <r>
    <x v="899"/>
    <x v="1"/>
    <x v="1"/>
    <x v="0"/>
    <x v="0"/>
    <x v="14"/>
    <x v="0"/>
    <x v="5"/>
    <x v="4"/>
    <x v="4"/>
    <x v="0"/>
    <x v="3"/>
    <x v="1"/>
    <x v="1"/>
    <x v="36"/>
    <x v="0"/>
    <x v="0"/>
    <x v="1"/>
    <x v="0"/>
    <x v="0"/>
    <x v="0"/>
  </r>
  <r>
    <x v="900"/>
    <x v="1"/>
    <x v="1"/>
    <x v="0"/>
    <x v="0"/>
    <x v="14"/>
    <x v="0"/>
    <x v="3"/>
    <x v="4"/>
    <x v="4"/>
    <x v="1"/>
    <x v="3"/>
    <x v="3"/>
    <x v="1"/>
    <x v="36"/>
    <x v="0"/>
    <x v="0"/>
    <x v="1"/>
    <x v="0"/>
    <x v="0"/>
    <x v="0"/>
  </r>
  <r>
    <x v="901"/>
    <x v="0"/>
    <x v="0"/>
    <x v="1"/>
    <x v="1"/>
    <x v="14"/>
    <x v="0"/>
    <x v="3"/>
    <x v="4"/>
    <x v="4"/>
    <x v="1"/>
    <x v="3"/>
    <x v="3"/>
    <x v="1"/>
    <x v="36"/>
    <x v="0"/>
    <x v="0"/>
    <x v="1"/>
    <x v="0"/>
    <x v="0"/>
    <x v="0"/>
  </r>
  <r>
    <x v="902"/>
    <x v="0"/>
    <x v="0"/>
    <x v="0"/>
    <x v="0"/>
    <x v="14"/>
    <x v="0"/>
    <x v="2"/>
    <x v="3"/>
    <x v="4"/>
    <x v="1"/>
    <x v="1"/>
    <x v="1"/>
    <x v="0"/>
    <x v="15"/>
    <x v="0"/>
    <x v="0"/>
    <x v="0"/>
    <x v="0"/>
    <x v="0"/>
    <x v="0"/>
  </r>
  <r>
    <x v="903"/>
    <x v="1"/>
    <x v="1"/>
    <x v="0"/>
    <x v="0"/>
    <x v="14"/>
    <x v="0"/>
    <x v="5"/>
    <x v="4"/>
    <x v="4"/>
    <x v="1"/>
    <x v="3"/>
    <x v="3"/>
    <x v="1"/>
    <x v="15"/>
    <x v="0"/>
    <x v="0"/>
    <x v="1"/>
    <x v="0"/>
    <x v="0"/>
    <x v="0"/>
  </r>
  <r>
    <x v="904"/>
    <x v="1"/>
    <x v="1"/>
    <x v="1"/>
    <x v="1"/>
    <x v="14"/>
    <x v="0"/>
    <x v="5"/>
    <x v="4"/>
    <x v="4"/>
    <x v="0"/>
    <x v="3"/>
    <x v="1"/>
    <x v="1"/>
    <x v="15"/>
    <x v="0"/>
    <x v="0"/>
    <x v="1"/>
    <x v="0"/>
    <x v="0"/>
    <x v="0"/>
  </r>
  <r>
    <x v="905"/>
    <x v="1"/>
    <x v="1"/>
    <x v="1"/>
    <x v="1"/>
    <x v="14"/>
    <x v="0"/>
    <x v="2"/>
    <x v="3"/>
    <x v="4"/>
    <x v="0"/>
    <x v="1"/>
    <x v="1"/>
    <x v="0"/>
    <x v="7"/>
    <x v="0"/>
    <x v="1"/>
    <x v="1"/>
    <x v="0"/>
    <x v="0"/>
    <x v="0"/>
  </r>
  <r>
    <x v="906"/>
    <x v="0"/>
    <x v="0"/>
    <x v="1"/>
    <x v="1"/>
    <x v="14"/>
    <x v="0"/>
    <x v="5"/>
    <x v="4"/>
    <x v="4"/>
    <x v="0"/>
    <x v="3"/>
    <x v="1"/>
    <x v="1"/>
    <x v="16"/>
    <x v="0"/>
    <x v="1"/>
    <x v="1"/>
    <x v="0"/>
    <x v="0"/>
    <x v="0"/>
  </r>
  <r>
    <x v="907"/>
    <x v="0"/>
    <x v="0"/>
    <x v="0"/>
    <x v="0"/>
    <x v="14"/>
    <x v="0"/>
    <x v="3"/>
    <x v="2"/>
    <x v="2"/>
    <x v="0"/>
    <x v="3"/>
    <x v="3"/>
    <x v="1"/>
    <x v="31"/>
    <x v="0"/>
    <x v="1"/>
    <x v="0"/>
    <x v="0"/>
    <x v="0"/>
    <x v="0"/>
  </r>
  <r>
    <x v="908"/>
    <x v="1"/>
    <x v="1"/>
    <x v="0"/>
    <x v="0"/>
    <x v="14"/>
    <x v="0"/>
    <x v="3"/>
    <x v="0"/>
    <x v="2"/>
    <x v="0"/>
    <x v="4"/>
    <x v="1"/>
    <x v="0"/>
    <x v="31"/>
    <x v="0"/>
    <x v="1"/>
    <x v="0"/>
    <x v="0"/>
    <x v="0"/>
    <x v="0"/>
  </r>
  <r>
    <x v="909"/>
    <x v="0"/>
    <x v="0"/>
    <x v="1"/>
    <x v="1"/>
    <x v="14"/>
    <x v="0"/>
    <x v="3"/>
    <x v="2"/>
    <x v="2"/>
    <x v="0"/>
    <x v="3"/>
    <x v="1"/>
    <x v="1"/>
    <x v="31"/>
    <x v="0"/>
    <x v="1"/>
    <x v="1"/>
    <x v="0"/>
    <x v="0"/>
    <x v="0"/>
  </r>
  <r>
    <x v="910"/>
    <x v="1"/>
    <x v="1"/>
    <x v="0"/>
    <x v="0"/>
    <x v="14"/>
    <x v="0"/>
    <x v="3"/>
    <x v="0"/>
    <x v="2"/>
    <x v="0"/>
    <x v="4"/>
    <x v="1"/>
    <x v="0"/>
    <x v="17"/>
    <x v="0"/>
    <x v="1"/>
    <x v="0"/>
    <x v="0"/>
    <x v="0"/>
    <x v="0"/>
  </r>
  <r>
    <x v="911"/>
    <x v="0"/>
    <x v="0"/>
    <x v="1"/>
    <x v="1"/>
    <x v="14"/>
    <x v="0"/>
    <x v="3"/>
    <x v="4"/>
    <x v="4"/>
    <x v="1"/>
    <x v="0"/>
    <x v="0"/>
    <x v="2"/>
    <x v="17"/>
    <x v="0"/>
    <x v="1"/>
    <x v="1"/>
    <x v="0"/>
    <x v="0"/>
    <x v="0"/>
  </r>
  <r>
    <x v="912"/>
    <x v="0"/>
    <x v="0"/>
    <x v="0"/>
    <x v="0"/>
    <x v="14"/>
    <x v="0"/>
    <x v="3"/>
    <x v="4"/>
    <x v="4"/>
    <x v="1"/>
    <x v="3"/>
    <x v="0"/>
    <x v="2"/>
    <x v="1"/>
    <x v="0"/>
    <x v="1"/>
    <x v="0"/>
    <x v="0"/>
    <x v="0"/>
    <x v="0"/>
  </r>
  <r>
    <x v="913"/>
    <x v="1"/>
    <x v="1"/>
    <x v="1"/>
    <x v="1"/>
    <x v="14"/>
    <x v="0"/>
    <x v="3"/>
    <x v="4"/>
    <x v="4"/>
    <x v="1"/>
    <x v="3"/>
    <x v="0"/>
    <x v="2"/>
    <x v="1"/>
    <x v="0"/>
    <x v="1"/>
    <x v="0"/>
    <x v="0"/>
    <x v="0"/>
    <x v="0"/>
  </r>
  <r>
    <x v="914"/>
    <x v="1"/>
    <x v="1"/>
    <x v="1"/>
    <x v="1"/>
    <x v="14"/>
    <x v="0"/>
    <x v="3"/>
    <x v="4"/>
    <x v="4"/>
    <x v="1"/>
    <x v="3"/>
    <x v="0"/>
    <x v="2"/>
    <x v="40"/>
    <x v="0"/>
    <x v="1"/>
    <x v="1"/>
    <x v="0"/>
    <x v="0"/>
    <x v="0"/>
  </r>
  <r>
    <x v="915"/>
    <x v="0"/>
    <x v="0"/>
    <x v="1"/>
    <x v="1"/>
    <x v="14"/>
    <x v="0"/>
    <x v="3"/>
    <x v="4"/>
    <x v="4"/>
    <x v="1"/>
    <x v="3"/>
    <x v="0"/>
    <x v="2"/>
    <x v="18"/>
    <x v="0"/>
    <x v="1"/>
    <x v="1"/>
    <x v="0"/>
    <x v="0"/>
    <x v="0"/>
  </r>
  <r>
    <x v="916"/>
    <x v="0"/>
    <x v="0"/>
    <x v="1"/>
    <x v="1"/>
    <x v="14"/>
    <x v="0"/>
    <x v="0"/>
    <x v="2"/>
    <x v="3"/>
    <x v="1"/>
    <x v="3"/>
    <x v="0"/>
    <x v="2"/>
    <x v="18"/>
    <x v="0"/>
    <x v="1"/>
    <x v="0"/>
    <x v="0"/>
    <x v="0"/>
    <x v="0"/>
  </r>
  <r>
    <x v="917"/>
    <x v="0"/>
    <x v="0"/>
    <x v="1"/>
    <x v="1"/>
    <x v="14"/>
    <x v="0"/>
    <x v="0"/>
    <x v="2"/>
    <x v="3"/>
    <x v="1"/>
    <x v="3"/>
    <x v="0"/>
    <x v="2"/>
    <x v="41"/>
    <x v="0"/>
    <x v="1"/>
    <x v="1"/>
    <x v="0"/>
    <x v="0"/>
    <x v="0"/>
  </r>
  <r>
    <x v="918"/>
    <x v="0"/>
    <x v="0"/>
    <x v="1"/>
    <x v="1"/>
    <x v="14"/>
    <x v="0"/>
    <x v="0"/>
    <x v="2"/>
    <x v="3"/>
    <x v="0"/>
    <x v="3"/>
    <x v="3"/>
    <x v="2"/>
    <x v="41"/>
    <x v="0"/>
    <x v="1"/>
    <x v="1"/>
    <x v="0"/>
    <x v="0"/>
    <x v="0"/>
  </r>
  <r>
    <x v="919"/>
    <x v="0"/>
    <x v="0"/>
    <x v="0"/>
    <x v="0"/>
    <x v="14"/>
    <x v="0"/>
    <x v="5"/>
    <x v="2"/>
    <x v="3"/>
    <x v="0"/>
    <x v="3"/>
    <x v="3"/>
    <x v="2"/>
    <x v="29"/>
    <x v="0"/>
    <x v="1"/>
    <x v="1"/>
    <x v="0"/>
    <x v="0"/>
    <x v="0"/>
  </r>
  <r>
    <x v="920"/>
    <x v="0"/>
    <x v="0"/>
    <x v="0"/>
    <x v="0"/>
    <x v="14"/>
    <x v="0"/>
    <x v="3"/>
    <x v="0"/>
    <x v="2"/>
    <x v="1"/>
    <x v="1"/>
    <x v="1"/>
    <x v="0"/>
    <x v="37"/>
    <x v="0"/>
    <x v="1"/>
    <x v="1"/>
    <x v="0"/>
    <x v="0"/>
    <x v="0"/>
  </r>
  <r>
    <x v="921"/>
    <x v="0"/>
    <x v="0"/>
    <x v="1"/>
    <x v="1"/>
    <x v="14"/>
    <x v="0"/>
    <x v="2"/>
    <x v="3"/>
    <x v="4"/>
    <x v="1"/>
    <x v="1"/>
    <x v="1"/>
    <x v="0"/>
    <x v="30"/>
    <x v="0"/>
    <x v="1"/>
    <x v="0"/>
    <x v="0"/>
    <x v="0"/>
    <x v="0"/>
  </r>
  <r>
    <x v="922"/>
    <x v="0"/>
    <x v="0"/>
    <x v="0"/>
    <x v="0"/>
    <x v="14"/>
    <x v="0"/>
    <x v="2"/>
    <x v="0"/>
    <x v="2"/>
    <x v="1"/>
    <x v="1"/>
    <x v="1"/>
    <x v="0"/>
    <x v="33"/>
    <x v="0"/>
    <x v="1"/>
    <x v="1"/>
    <x v="0"/>
    <x v="0"/>
    <x v="0"/>
  </r>
  <r>
    <x v="923"/>
    <x v="0"/>
    <x v="0"/>
    <x v="0"/>
    <x v="0"/>
    <x v="14"/>
    <x v="0"/>
    <x v="2"/>
    <x v="3"/>
    <x v="4"/>
    <x v="1"/>
    <x v="1"/>
    <x v="1"/>
    <x v="0"/>
    <x v="33"/>
    <x v="0"/>
    <x v="1"/>
    <x v="1"/>
    <x v="0"/>
    <x v="0"/>
    <x v="0"/>
  </r>
  <r>
    <x v="924"/>
    <x v="0"/>
    <x v="0"/>
    <x v="0"/>
    <x v="0"/>
    <x v="14"/>
    <x v="0"/>
    <x v="2"/>
    <x v="3"/>
    <x v="4"/>
    <x v="1"/>
    <x v="1"/>
    <x v="1"/>
    <x v="0"/>
    <x v="2"/>
    <x v="0"/>
    <x v="1"/>
    <x v="0"/>
    <x v="0"/>
    <x v="0"/>
    <x v="0"/>
  </r>
  <r>
    <x v="925"/>
    <x v="0"/>
    <x v="0"/>
    <x v="1"/>
    <x v="1"/>
    <x v="14"/>
    <x v="0"/>
    <x v="2"/>
    <x v="3"/>
    <x v="4"/>
    <x v="1"/>
    <x v="1"/>
    <x v="1"/>
    <x v="0"/>
    <x v="2"/>
    <x v="0"/>
    <x v="1"/>
    <x v="1"/>
    <x v="0"/>
    <x v="0"/>
    <x v="0"/>
  </r>
  <r>
    <x v="926"/>
    <x v="1"/>
    <x v="1"/>
    <x v="0"/>
    <x v="0"/>
    <x v="14"/>
    <x v="0"/>
    <x v="5"/>
    <x v="2"/>
    <x v="3"/>
    <x v="1"/>
    <x v="3"/>
    <x v="4"/>
    <x v="1"/>
    <x v="35"/>
    <x v="0"/>
    <x v="1"/>
    <x v="1"/>
    <x v="0"/>
    <x v="0"/>
    <x v="0"/>
  </r>
  <r>
    <x v="927"/>
    <x v="0"/>
    <x v="0"/>
    <x v="0"/>
    <x v="0"/>
    <x v="15"/>
    <x v="0"/>
    <x v="4"/>
    <x v="0"/>
    <x v="2"/>
    <x v="0"/>
    <x v="4"/>
    <x v="1"/>
    <x v="2"/>
    <x v="48"/>
    <x v="0"/>
    <x v="2"/>
    <x v="1"/>
    <x v="0"/>
    <x v="0"/>
    <x v="0"/>
  </r>
  <r>
    <x v="928"/>
    <x v="0"/>
    <x v="0"/>
    <x v="1"/>
    <x v="1"/>
    <x v="15"/>
    <x v="0"/>
    <x v="4"/>
    <x v="0"/>
    <x v="2"/>
    <x v="1"/>
    <x v="4"/>
    <x v="4"/>
    <x v="2"/>
    <x v="48"/>
    <x v="0"/>
    <x v="2"/>
    <x v="0"/>
    <x v="0"/>
    <x v="0"/>
    <x v="0"/>
  </r>
  <r>
    <x v="929"/>
    <x v="0"/>
    <x v="0"/>
    <x v="0"/>
    <x v="0"/>
    <x v="15"/>
    <x v="0"/>
    <x v="4"/>
    <x v="0"/>
    <x v="2"/>
    <x v="0"/>
    <x v="4"/>
    <x v="1"/>
    <x v="2"/>
    <x v="49"/>
    <x v="0"/>
    <x v="2"/>
    <x v="0"/>
    <x v="0"/>
    <x v="0"/>
    <x v="0"/>
  </r>
  <r>
    <x v="930"/>
    <x v="1"/>
    <x v="1"/>
    <x v="0"/>
    <x v="0"/>
    <x v="15"/>
    <x v="0"/>
    <x v="4"/>
    <x v="0"/>
    <x v="2"/>
    <x v="0"/>
    <x v="4"/>
    <x v="1"/>
    <x v="2"/>
    <x v="49"/>
    <x v="0"/>
    <x v="2"/>
    <x v="0"/>
    <x v="0"/>
    <x v="0"/>
    <x v="0"/>
  </r>
  <r>
    <x v="931"/>
    <x v="0"/>
    <x v="0"/>
    <x v="1"/>
    <x v="1"/>
    <x v="15"/>
    <x v="0"/>
    <x v="4"/>
    <x v="0"/>
    <x v="2"/>
    <x v="0"/>
    <x v="4"/>
    <x v="1"/>
    <x v="2"/>
    <x v="49"/>
    <x v="0"/>
    <x v="2"/>
    <x v="0"/>
    <x v="0"/>
    <x v="0"/>
    <x v="0"/>
  </r>
  <r>
    <x v="932"/>
    <x v="1"/>
    <x v="1"/>
    <x v="1"/>
    <x v="1"/>
    <x v="15"/>
    <x v="0"/>
    <x v="4"/>
    <x v="0"/>
    <x v="2"/>
    <x v="1"/>
    <x v="4"/>
    <x v="3"/>
    <x v="2"/>
    <x v="49"/>
    <x v="0"/>
    <x v="2"/>
    <x v="0"/>
    <x v="0"/>
    <x v="0"/>
    <x v="0"/>
  </r>
  <r>
    <x v="933"/>
    <x v="1"/>
    <x v="1"/>
    <x v="1"/>
    <x v="1"/>
    <x v="15"/>
    <x v="0"/>
    <x v="4"/>
    <x v="0"/>
    <x v="2"/>
    <x v="1"/>
    <x v="4"/>
    <x v="3"/>
    <x v="2"/>
    <x v="49"/>
    <x v="0"/>
    <x v="2"/>
    <x v="0"/>
    <x v="0"/>
    <x v="0"/>
    <x v="0"/>
  </r>
  <r>
    <x v="934"/>
    <x v="0"/>
    <x v="0"/>
    <x v="0"/>
    <x v="0"/>
    <x v="15"/>
    <x v="0"/>
    <x v="4"/>
    <x v="0"/>
    <x v="2"/>
    <x v="1"/>
    <x v="4"/>
    <x v="4"/>
    <x v="2"/>
    <x v="45"/>
    <x v="0"/>
    <x v="2"/>
    <x v="1"/>
    <x v="0"/>
    <x v="0"/>
    <x v="0"/>
  </r>
  <r>
    <x v="935"/>
    <x v="0"/>
    <x v="0"/>
    <x v="1"/>
    <x v="1"/>
    <x v="15"/>
    <x v="0"/>
    <x v="2"/>
    <x v="2"/>
    <x v="2"/>
    <x v="1"/>
    <x v="1"/>
    <x v="4"/>
    <x v="2"/>
    <x v="45"/>
    <x v="0"/>
    <x v="2"/>
    <x v="0"/>
    <x v="0"/>
    <x v="0"/>
    <x v="0"/>
  </r>
  <r>
    <x v="936"/>
    <x v="1"/>
    <x v="1"/>
    <x v="0"/>
    <x v="0"/>
    <x v="15"/>
    <x v="0"/>
    <x v="4"/>
    <x v="0"/>
    <x v="2"/>
    <x v="0"/>
    <x v="4"/>
    <x v="1"/>
    <x v="2"/>
    <x v="50"/>
    <x v="0"/>
    <x v="2"/>
    <x v="0"/>
    <x v="0"/>
    <x v="0"/>
    <x v="0"/>
  </r>
  <r>
    <x v="937"/>
    <x v="0"/>
    <x v="0"/>
    <x v="0"/>
    <x v="0"/>
    <x v="15"/>
    <x v="0"/>
    <x v="4"/>
    <x v="4"/>
    <x v="2"/>
    <x v="0"/>
    <x v="3"/>
    <x v="1"/>
    <x v="0"/>
    <x v="39"/>
    <x v="0"/>
    <x v="0"/>
    <x v="1"/>
    <x v="0"/>
    <x v="0"/>
    <x v="0"/>
  </r>
  <r>
    <x v="938"/>
    <x v="0"/>
    <x v="0"/>
    <x v="1"/>
    <x v="1"/>
    <x v="15"/>
    <x v="0"/>
    <x v="4"/>
    <x v="4"/>
    <x v="2"/>
    <x v="0"/>
    <x v="3"/>
    <x v="1"/>
    <x v="0"/>
    <x v="39"/>
    <x v="0"/>
    <x v="0"/>
    <x v="1"/>
    <x v="0"/>
    <x v="0"/>
    <x v="0"/>
  </r>
  <r>
    <x v="939"/>
    <x v="1"/>
    <x v="1"/>
    <x v="1"/>
    <x v="1"/>
    <x v="15"/>
    <x v="0"/>
    <x v="4"/>
    <x v="1"/>
    <x v="2"/>
    <x v="0"/>
    <x v="1"/>
    <x v="1"/>
    <x v="0"/>
    <x v="39"/>
    <x v="0"/>
    <x v="0"/>
    <x v="0"/>
    <x v="0"/>
    <x v="0"/>
    <x v="0"/>
  </r>
  <r>
    <x v="940"/>
    <x v="0"/>
    <x v="0"/>
    <x v="0"/>
    <x v="0"/>
    <x v="15"/>
    <x v="0"/>
    <x v="4"/>
    <x v="4"/>
    <x v="2"/>
    <x v="1"/>
    <x v="3"/>
    <x v="3"/>
    <x v="0"/>
    <x v="23"/>
    <x v="0"/>
    <x v="0"/>
    <x v="1"/>
    <x v="0"/>
    <x v="0"/>
    <x v="0"/>
  </r>
  <r>
    <x v="941"/>
    <x v="1"/>
    <x v="1"/>
    <x v="0"/>
    <x v="0"/>
    <x v="15"/>
    <x v="0"/>
    <x v="4"/>
    <x v="4"/>
    <x v="2"/>
    <x v="0"/>
    <x v="3"/>
    <x v="1"/>
    <x v="0"/>
    <x v="23"/>
    <x v="0"/>
    <x v="0"/>
    <x v="1"/>
    <x v="0"/>
    <x v="0"/>
    <x v="0"/>
  </r>
  <r>
    <x v="942"/>
    <x v="0"/>
    <x v="0"/>
    <x v="1"/>
    <x v="1"/>
    <x v="15"/>
    <x v="0"/>
    <x v="4"/>
    <x v="4"/>
    <x v="2"/>
    <x v="1"/>
    <x v="3"/>
    <x v="1"/>
    <x v="0"/>
    <x v="23"/>
    <x v="0"/>
    <x v="0"/>
    <x v="1"/>
    <x v="0"/>
    <x v="0"/>
    <x v="0"/>
  </r>
  <r>
    <x v="943"/>
    <x v="1"/>
    <x v="1"/>
    <x v="0"/>
    <x v="0"/>
    <x v="15"/>
    <x v="0"/>
    <x v="4"/>
    <x v="4"/>
    <x v="2"/>
    <x v="1"/>
    <x v="3"/>
    <x v="3"/>
    <x v="0"/>
    <x v="3"/>
    <x v="0"/>
    <x v="0"/>
    <x v="1"/>
    <x v="0"/>
    <x v="0"/>
    <x v="0"/>
  </r>
  <r>
    <x v="944"/>
    <x v="0"/>
    <x v="0"/>
    <x v="1"/>
    <x v="1"/>
    <x v="15"/>
    <x v="0"/>
    <x v="4"/>
    <x v="4"/>
    <x v="2"/>
    <x v="0"/>
    <x v="3"/>
    <x v="1"/>
    <x v="0"/>
    <x v="3"/>
    <x v="0"/>
    <x v="0"/>
    <x v="1"/>
    <x v="0"/>
    <x v="0"/>
    <x v="0"/>
  </r>
  <r>
    <x v="945"/>
    <x v="1"/>
    <x v="1"/>
    <x v="0"/>
    <x v="0"/>
    <x v="15"/>
    <x v="0"/>
    <x v="4"/>
    <x v="4"/>
    <x v="2"/>
    <x v="1"/>
    <x v="3"/>
    <x v="3"/>
    <x v="0"/>
    <x v="24"/>
    <x v="0"/>
    <x v="0"/>
    <x v="1"/>
    <x v="0"/>
    <x v="0"/>
    <x v="0"/>
  </r>
  <r>
    <x v="946"/>
    <x v="1"/>
    <x v="1"/>
    <x v="1"/>
    <x v="1"/>
    <x v="15"/>
    <x v="0"/>
    <x v="4"/>
    <x v="4"/>
    <x v="2"/>
    <x v="0"/>
    <x v="3"/>
    <x v="1"/>
    <x v="0"/>
    <x v="24"/>
    <x v="0"/>
    <x v="0"/>
    <x v="1"/>
    <x v="0"/>
    <x v="0"/>
    <x v="0"/>
  </r>
  <r>
    <x v="947"/>
    <x v="1"/>
    <x v="1"/>
    <x v="0"/>
    <x v="0"/>
    <x v="15"/>
    <x v="0"/>
    <x v="4"/>
    <x v="4"/>
    <x v="2"/>
    <x v="0"/>
    <x v="3"/>
    <x v="1"/>
    <x v="0"/>
    <x v="32"/>
    <x v="0"/>
    <x v="0"/>
    <x v="1"/>
    <x v="0"/>
    <x v="0"/>
    <x v="0"/>
  </r>
  <r>
    <x v="948"/>
    <x v="1"/>
    <x v="1"/>
    <x v="0"/>
    <x v="0"/>
    <x v="15"/>
    <x v="0"/>
    <x v="3"/>
    <x v="2"/>
    <x v="2"/>
    <x v="1"/>
    <x v="1"/>
    <x v="1"/>
    <x v="0"/>
    <x v="32"/>
    <x v="0"/>
    <x v="0"/>
    <x v="1"/>
    <x v="0"/>
    <x v="0"/>
    <x v="0"/>
  </r>
  <r>
    <x v="949"/>
    <x v="1"/>
    <x v="1"/>
    <x v="0"/>
    <x v="0"/>
    <x v="15"/>
    <x v="0"/>
    <x v="2"/>
    <x v="2"/>
    <x v="2"/>
    <x v="0"/>
    <x v="4"/>
    <x v="0"/>
    <x v="0"/>
    <x v="32"/>
    <x v="0"/>
    <x v="0"/>
    <x v="0"/>
    <x v="0"/>
    <x v="0"/>
    <x v="0"/>
  </r>
  <r>
    <x v="950"/>
    <x v="1"/>
    <x v="1"/>
    <x v="1"/>
    <x v="1"/>
    <x v="15"/>
    <x v="0"/>
    <x v="3"/>
    <x v="2"/>
    <x v="2"/>
    <x v="1"/>
    <x v="1"/>
    <x v="1"/>
    <x v="0"/>
    <x v="32"/>
    <x v="0"/>
    <x v="0"/>
    <x v="1"/>
    <x v="0"/>
    <x v="0"/>
    <x v="0"/>
  </r>
  <r>
    <x v="951"/>
    <x v="1"/>
    <x v="1"/>
    <x v="1"/>
    <x v="1"/>
    <x v="15"/>
    <x v="0"/>
    <x v="4"/>
    <x v="4"/>
    <x v="2"/>
    <x v="1"/>
    <x v="3"/>
    <x v="3"/>
    <x v="0"/>
    <x v="32"/>
    <x v="0"/>
    <x v="0"/>
    <x v="1"/>
    <x v="0"/>
    <x v="0"/>
    <x v="0"/>
  </r>
  <r>
    <x v="952"/>
    <x v="1"/>
    <x v="1"/>
    <x v="1"/>
    <x v="1"/>
    <x v="15"/>
    <x v="0"/>
    <x v="4"/>
    <x v="4"/>
    <x v="2"/>
    <x v="0"/>
    <x v="3"/>
    <x v="3"/>
    <x v="0"/>
    <x v="32"/>
    <x v="0"/>
    <x v="0"/>
    <x v="1"/>
    <x v="0"/>
    <x v="0"/>
    <x v="0"/>
  </r>
  <r>
    <x v="953"/>
    <x v="1"/>
    <x v="1"/>
    <x v="0"/>
    <x v="0"/>
    <x v="15"/>
    <x v="0"/>
    <x v="3"/>
    <x v="2"/>
    <x v="2"/>
    <x v="1"/>
    <x v="1"/>
    <x v="1"/>
    <x v="0"/>
    <x v="9"/>
    <x v="0"/>
    <x v="0"/>
    <x v="0"/>
    <x v="0"/>
    <x v="0"/>
    <x v="0"/>
  </r>
  <r>
    <x v="954"/>
    <x v="0"/>
    <x v="0"/>
    <x v="0"/>
    <x v="0"/>
    <x v="15"/>
    <x v="0"/>
    <x v="4"/>
    <x v="1"/>
    <x v="2"/>
    <x v="1"/>
    <x v="1"/>
    <x v="1"/>
    <x v="0"/>
    <x v="5"/>
    <x v="0"/>
    <x v="0"/>
    <x v="0"/>
    <x v="0"/>
    <x v="0"/>
    <x v="0"/>
  </r>
  <r>
    <x v="955"/>
    <x v="0"/>
    <x v="0"/>
    <x v="0"/>
    <x v="0"/>
    <x v="15"/>
    <x v="0"/>
    <x v="3"/>
    <x v="2"/>
    <x v="2"/>
    <x v="1"/>
    <x v="1"/>
    <x v="1"/>
    <x v="0"/>
    <x v="5"/>
    <x v="0"/>
    <x v="0"/>
    <x v="0"/>
    <x v="0"/>
    <x v="0"/>
    <x v="0"/>
  </r>
  <r>
    <x v="956"/>
    <x v="0"/>
    <x v="0"/>
    <x v="1"/>
    <x v="1"/>
    <x v="15"/>
    <x v="0"/>
    <x v="2"/>
    <x v="1"/>
    <x v="2"/>
    <x v="1"/>
    <x v="1"/>
    <x v="1"/>
    <x v="0"/>
    <x v="5"/>
    <x v="0"/>
    <x v="0"/>
    <x v="1"/>
    <x v="0"/>
    <x v="0"/>
    <x v="0"/>
  </r>
  <r>
    <x v="957"/>
    <x v="1"/>
    <x v="1"/>
    <x v="1"/>
    <x v="1"/>
    <x v="15"/>
    <x v="0"/>
    <x v="5"/>
    <x v="2"/>
    <x v="2"/>
    <x v="1"/>
    <x v="1"/>
    <x v="1"/>
    <x v="0"/>
    <x v="5"/>
    <x v="0"/>
    <x v="0"/>
    <x v="0"/>
    <x v="0"/>
    <x v="0"/>
    <x v="0"/>
  </r>
  <r>
    <x v="958"/>
    <x v="0"/>
    <x v="0"/>
    <x v="0"/>
    <x v="0"/>
    <x v="15"/>
    <x v="0"/>
    <x v="3"/>
    <x v="2"/>
    <x v="2"/>
    <x v="0"/>
    <x v="4"/>
    <x v="1"/>
    <x v="0"/>
    <x v="10"/>
    <x v="0"/>
    <x v="0"/>
    <x v="1"/>
    <x v="0"/>
    <x v="0"/>
    <x v="0"/>
  </r>
  <r>
    <x v="959"/>
    <x v="1"/>
    <x v="1"/>
    <x v="0"/>
    <x v="0"/>
    <x v="15"/>
    <x v="0"/>
    <x v="3"/>
    <x v="2"/>
    <x v="2"/>
    <x v="1"/>
    <x v="4"/>
    <x v="1"/>
    <x v="0"/>
    <x v="10"/>
    <x v="0"/>
    <x v="0"/>
    <x v="0"/>
    <x v="0"/>
    <x v="0"/>
    <x v="0"/>
  </r>
  <r>
    <x v="960"/>
    <x v="1"/>
    <x v="1"/>
    <x v="0"/>
    <x v="0"/>
    <x v="15"/>
    <x v="0"/>
    <x v="3"/>
    <x v="2"/>
    <x v="2"/>
    <x v="1"/>
    <x v="4"/>
    <x v="1"/>
    <x v="0"/>
    <x v="10"/>
    <x v="0"/>
    <x v="0"/>
    <x v="0"/>
    <x v="0"/>
    <x v="0"/>
    <x v="0"/>
  </r>
  <r>
    <x v="961"/>
    <x v="1"/>
    <x v="1"/>
    <x v="1"/>
    <x v="1"/>
    <x v="15"/>
    <x v="0"/>
    <x v="5"/>
    <x v="2"/>
    <x v="2"/>
    <x v="1"/>
    <x v="4"/>
    <x v="1"/>
    <x v="0"/>
    <x v="25"/>
    <x v="0"/>
    <x v="0"/>
    <x v="0"/>
    <x v="0"/>
    <x v="0"/>
    <x v="0"/>
  </r>
  <r>
    <x v="962"/>
    <x v="0"/>
    <x v="0"/>
    <x v="0"/>
    <x v="0"/>
    <x v="15"/>
    <x v="0"/>
    <x v="2"/>
    <x v="1"/>
    <x v="2"/>
    <x v="1"/>
    <x v="1"/>
    <x v="1"/>
    <x v="0"/>
    <x v="11"/>
    <x v="0"/>
    <x v="0"/>
    <x v="1"/>
    <x v="0"/>
    <x v="0"/>
    <x v="0"/>
  </r>
  <r>
    <x v="963"/>
    <x v="1"/>
    <x v="1"/>
    <x v="0"/>
    <x v="0"/>
    <x v="15"/>
    <x v="0"/>
    <x v="0"/>
    <x v="4"/>
    <x v="2"/>
    <x v="1"/>
    <x v="3"/>
    <x v="1"/>
    <x v="0"/>
    <x v="11"/>
    <x v="0"/>
    <x v="0"/>
    <x v="0"/>
    <x v="0"/>
    <x v="0"/>
    <x v="0"/>
  </r>
  <r>
    <x v="964"/>
    <x v="1"/>
    <x v="1"/>
    <x v="0"/>
    <x v="0"/>
    <x v="15"/>
    <x v="0"/>
    <x v="0"/>
    <x v="4"/>
    <x v="2"/>
    <x v="1"/>
    <x v="3"/>
    <x v="1"/>
    <x v="0"/>
    <x v="11"/>
    <x v="0"/>
    <x v="0"/>
    <x v="1"/>
    <x v="0"/>
    <x v="0"/>
    <x v="0"/>
  </r>
  <r>
    <x v="965"/>
    <x v="0"/>
    <x v="0"/>
    <x v="1"/>
    <x v="1"/>
    <x v="15"/>
    <x v="0"/>
    <x v="0"/>
    <x v="4"/>
    <x v="2"/>
    <x v="1"/>
    <x v="4"/>
    <x v="1"/>
    <x v="0"/>
    <x v="11"/>
    <x v="0"/>
    <x v="0"/>
    <x v="0"/>
    <x v="0"/>
    <x v="0"/>
    <x v="0"/>
  </r>
  <r>
    <x v="966"/>
    <x v="1"/>
    <x v="1"/>
    <x v="0"/>
    <x v="0"/>
    <x v="15"/>
    <x v="0"/>
    <x v="0"/>
    <x v="4"/>
    <x v="2"/>
    <x v="1"/>
    <x v="3"/>
    <x v="1"/>
    <x v="0"/>
    <x v="12"/>
    <x v="0"/>
    <x v="0"/>
    <x v="0"/>
    <x v="0"/>
    <x v="0"/>
    <x v="0"/>
  </r>
  <r>
    <x v="967"/>
    <x v="1"/>
    <x v="1"/>
    <x v="0"/>
    <x v="0"/>
    <x v="15"/>
    <x v="0"/>
    <x v="0"/>
    <x v="4"/>
    <x v="2"/>
    <x v="1"/>
    <x v="3"/>
    <x v="1"/>
    <x v="0"/>
    <x v="12"/>
    <x v="0"/>
    <x v="0"/>
    <x v="0"/>
    <x v="0"/>
    <x v="0"/>
    <x v="0"/>
  </r>
  <r>
    <x v="968"/>
    <x v="1"/>
    <x v="1"/>
    <x v="0"/>
    <x v="0"/>
    <x v="15"/>
    <x v="0"/>
    <x v="1"/>
    <x v="4"/>
    <x v="2"/>
    <x v="0"/>
    <x v="3"/>
    <x v="1"/>
    <x v="0"/>
    <x v="12"/>
    <x v="0"/>
    <x v="0"/>
    <x v="1"/>
    <x v="0"/>
    <x v="0"/>
    <x v="0"/>
  </r>
  <r>
    <x v="969"/>
    <x v="1"/>
    <x v="1"/>
    <x v="0"/>
    <x v="0"/>
    <x v="15"/>
    <x v="0"/>
    <x v="5"/>
    <x v="4"/>
    <x v="2"/>
    <x v="1"/>
    <x v="3"/>
    <x v="1"/>
    <x v="0"/>
    <x v="26"/>
    <x v="0"/>
    <x v="0"/>
    <x v="1"/>
    <x v="0"/>
    <x v="0"/>
    <x v="0"/>
  </r>
  <r>
    <x v="970"/>
    <x v="1"/>
    <x v="1"/>
    <x v="0"/>
    <x v="0"/>
    <x v="15"/>
    <x v="0"/>
    <x v="5"/>
    <x v="4"/>
    <x v="2"/>
    <x v="1"/>
    <x v="3"/>
    <x v="1"/>
    <x v="0"/>
    <x v="26"/>
    <x v="0"/>
    <x v="0"/>
    <x v="1"/>
    <x v="0"/>
    <x v="0"/>
    <x v="0"/>
  </r>
  <r>
    <x v="971"/>
    <x v="0"/>
    <x v="0"/>
    <x v="1"/>
    <x v="1"/>
    <x v="15"/>
    <x v="0"/>
    <x v="5"/>
    <x v="4"/>
    <x v="2"/>
    <x v="1"/>
    <x v="3"/>
    <x v="1"/>
    <x v="0"/>
    <x v="26"/>
    <x v="0"/>
    <x v="0"/>
    <x v="1"/>
    <x v="0"/>
    <x v="0"/>
    <x v="0"/>
  </r>
  <r>
    <x v="972"/>
    <x v="0"/>
    <x v="0"/>
    <x v="1"/>
    <x v="1"/>
    <x v="15"/>
    <x v="0"/>
    <x v="2"/>
    <x v="1"/>
    <x v="2"/>
    <x v="1"/>
    <x v="1"/>
    <x v="1"/>
    <x v="0"/>
    <x v="6"/>
    <x v="0"/>
    <x v="0"/>
    <x v="1"/>
    <x v="0"/>
    <x v="0"/>
    <x v="0"/>
  </r>
  <r>
    <x v="973"/>
    <x v="1"/>
    <x v="1"/>
    <x v="1"/>
    <x v="1"/>
    <x v="15"/>
    <x v="0"/>
    <x v="2"/>
    <x v="1"/>
    <x v="2"/>
    <x v="1"/>
    <x v="1"/>
    <x v="1"/>
    <x v="0"/>
    <x v="6"/>
    <x v="0"/>
    <x v="0"/>
    <x v="1"/>
    <x v="0"/>
    <x v="0"/>
    <x v="0"/>
  </r>
  <r>
    <x v="974"/>
    <x v="1"/>
    <x v="1"/>
    <x v="0"/>
    <x v="0"/>
    <x v="15"/>
    <x v="0"/>
    <x v="2"/>
    <x v="2"/>
    <x v="2"/>
    <x v="0"/>
    <x v="4"/>
    <x v="3"/>
    <x v="0"/>
    <x v="14"/>
    <x v="0"/>
    <x v="0"/>
    <x v="1"/>
    <x v="0"/>
    <x v="0"/>
    <x v="0"/>
  </r>
  <r>
    <x v="975"/>
    <x v="1"/>
    <x v="1"/>
    <x v="0"/>
    <x v="0"/>
    <x v="15"/>
    <x v="0"/>
    <x v="2"/>
    <x v="2"/>
    <x v="2"/>
    <x v="0"/>
    <x v="4"/>
    <x v="4"/>
    <x v="0"/>
    <x v="27"/>
    <x v="0"/>
    <x v="0"/>
    <x v="0"/>
    <x v="0"/>
    <x v="0"/>
    <x v="0"/>
  </r>
  <r>
    <x v="976"/>
    <x v="0"/>
    <x v="0"/>
    <x v="0"/>
    <x v="0"/>
    <x v="15"/>
    <x v="0"/>
    <x v="2"/>
    <x v="3"/>
    <x v="2"/>
    <x v="1"/>
    <x v="1"/>
    <x v="1"/>
    <x v="0"/>
    <x v="0"/>
    <x v="0"/>
    <x v="0"/>
    <x v="1"/>
    <x v="0"/>
    <x v="0"/>
    <x v="0"/>
  </r>
  <r>
    <x v="977"/>
    <x v="1"/>
    <x v="1"/>
    <x v="1"/>
    <x v="1"/>
    <x v="15"/>
    <x v="0"/>
    <x v="2"/>
    <x v="3"/>
    <x v="2"/>
    <x v="1"/>
    <x v="1"/>
    <x v="1"/>
    <x v="0"/>
    <x v="0"/>
    <x v="0"/>
    <x v="0"/>
    <x v="1"/>
    <x v="0"/>
    <x v="0"/>
    <x v="0"/>
  </r>
  <r>
    <x v="978"/>
    <x v="0"/>
    <x v="0"/>
    <x v="0"/>
    <x v="0"/>
    <x v="15"/>
    <x v="0"/>
    <x v="3"/>
    <x v="0"/>
    <x v="2"/>
    <x v="1"/>
    <x v="1"/>
    <x v="3"/>
    <x v="0"/>
    <x v="36"/>
    <x v="0"/>
    <x v="0"/>
    <x v="1"/>
    <x v="0"/>
    <x v="0"/>
    <x v="0"/>
  </r>
  <r>
    <x v="979"/>
    <x v="0"/>
    <x v="0"/>
    <x v="1"/>
    <x v="1"/>
    <x v="15"/>
    <x v="0"/>
    <x v="3"/>
    <x v="0"/>
    <x v="2"/>
    <x v="1"/>
    <x v="1"/>
    <x v="3"/>
    <x v="0"/>
    <x v="36"/>
    <x v="0"/>
    <x v="0"/>
    <x v="1"/>
    <x v="0"/>
    <x v="0"/>
    <x v="0"/>
  </r>
  <r>
    <x v="980"/>
    <x v="1"/>
    <x v="1"/>
    <x v="1"/>
    <x v="1"/>
    <x v="15"/>
    <x v="0"/>
    <x v="2"/>
    <x v="0"/>
    <x v="2"/>
    <x v="1"/>
    <x v="1"/>
    <x v="1"/>
    <x v="0"/>
    <x v="36"/>
    <x v="0"/>
    <x v="0"/>
    <x v="1"/>
    <x v="0"/>
    <x v="0"/>
    <x v="0"/>
  </r>
  <r>
    <x v="981"/>
    <x v="0"/>
    <x v="0"/>
    <x v="0"/>
    <x v="0"/>
    <x v="15"/>
    <x v="0"/>
    <x v="3"/>
    <x v="0"/>
    <x v="2"/>
    <x v="1"/>
    <x v="1"/>
    <x v="3"/>
    <x v="0"/>
    <x v="15"/>
    <x v="0"/>
    <x v="0"/>
    <x v="1"/>
    <x v="0"/>
    <x v="0"/>
    <x v="0"/>
  </r>
  <r>
    <x v="982"/>
    <x v="0"/>
    <x v="0"/>
    <x v="0"/>
    <x v="0"/>
    <x v="15"/>
    <x v="0"/>
    <x v="3"/>
    <x v="0"/>
    <x v="2"/>
    <x v="1"/>
    <x v="4"/>
    <x v="1"/>
    <x v="0"/>
    <x v="15"/>
    <x v="0"/>
    <x v="0"/>
    <x v="0"/>
    <x v="0"/>
    <x v="0"/>
    <x v="0"/>
  </r>
  <r>
    <x v="983"/>
    <x v="1"/>
    <x v="1"/>
    <x v="1"/>
    <x v="1"/>
    <x v="15"/>
    <x v="0"/>
    <x v="3"/>
    <x v="0"/>
    <x v="2"/>
    <x v="0"/>
    <x v="1"/>
    <x v="1"/>
    <x v="0"/>
    <x v="15"/>
    <x v="0"/>
    <x v="0"/>
    <x v="1"/>
    <x v="0"/>
    <x v="0"/>
    <x v="0"/>
  </r>
  <r>
    <x v="984"/>
    <x v="0"/>
    <x v="0"/>
    <x v="0"/>
    <x v="0"/>
    <x v="15"/>
    <x v="0"/>
    <x v="3"/>
    <x v="0"/>
    <x v="2"/>
    <x v="1"/>
    <x v="1"/>
    <x v="3"/>
    <x v="0"/>
    <x v="7"/>
    <x v="0"/>
    <x v="1"/>
    <x v="1"/>
    <x v="0"/>
    <x v="0"/>
    <x v="0"/>
  </r>
  <r>
    <x v="985"/>
    <x v="1"/>
    <x v="1"/>
    <x v="0"/>
    <x v="0"/>
    <x v="15"/>
    <x v="0"/>
    <x v="3"/>
    <x v="0"/>
    <x v="2"/>
    <x v="1"/>
    <x v="1"/>
    <x v="1"/>
    <x v="0"/>
    <x v="7"/>
    <x v="0"/>
    <x v="1"/>
    <x v="0"/>
    <x v="0"/>
    <x v="0"/>
    <x v="0"/>
  </r>
  <r>
    <x v="986"/>
    <x v="0"/>
    <x v="0"/>
    <x v="1"/>
    <x v="1"/>
    <x v="15"/>
    <x v="0"/>
    <x v="3"/>
    <x v="0"/>
    <x v="2"/>
    <x v="1"/>
    <x v="1"/>
    <x v="3"/>
    <x v="0"/>
    <x v="7"/>
    <x v="0"/>
    <x v="1"/>
    <x v="1"/>
    <x v="0"/>
    <x v="0"/>
    <x v="0"/>
  </r>
  <r>
    <x v="987"/>
    <x v="1"/>
    <x v="1"/>
    <x v="1"/>
    <x v="1"/>
    <x v="15"/>
    <x v="0"/>
    <x v="3"/>
    <x v="0"/>
    <x v="2"/>
    <x v="1"/>
    <x v="4"/>
    <x v="1"/>
    <x v="0"/>
    <x v="7"/>
    <x v="0"/>
    <x v="1"/>
    <x v="0"/>
    <x v="0"/>
    <x v="0"/>
    <x v="0"/>
  </r>
  <r>
    <x v="988"/>
    <x v="0"/>
    <x v="0"/>
    <x v="1"/>
    <x v="1"/>
    <x v="15"/>
    <x v="0"/>
    <x v="3"/>
    <x v="0"/>
    <x v="2"/>
    <x v="1"/>
    <x v="4"/>
    <x v="4"/>
    <x v="0"/>
    <x v="16"/>
    <x v="0"/>
    <x v="1"/>
    <x v="1"/>
    <x v="0"/>
    <x v="0"/>
    <x v="0"/>
  </r>
  <r>
    <x v="989"/>
    <x v="1"/>
    <x v="1"/>
    <x v="1"/>
    <x v="1"/>
    <x v="15"/>
    <x v="0"/>
    <x v="3"/>
    <x v="0"/>
    <x v="2"/>
    <x v="1"/>
    <x v="4"/>
    <x v="1"/>
    <x v="0"/>
    <x v="16"/>
    <x v="0"/>
    <x v="1"/>
    <x v="0"/>
    <x v="0"/>
    <x v="0"/>
    <x v="0"/>
  </r>
  <r>
    <x v="990"/>
    <x v="0"/>
    <x v="0"/>
    <x v="0"/>
    <x v="0"/>
    <x v="15"/>
    <x v="0"/>
    <x v="3"/>
    <x v="2"/>
    <x v="2"/>
    <x v="1"/>
    <x v="3"/>
    <x v="3"/>
    <x v="1"/>
    <x v="31"/>
    <x v="0"/>
    <x v="1"/>
    <x v="1"/>
    <x v="0"/>
    <x v="0"/>
    <x v="0"/>
  </r>
  <r>
    <x v="991"/>
    <x v="1"/>
    <x v="1"/>
    <x v="0"/>
    <x v="0"/>
    <x v="15"/>
    <x v="0"/>
    <x v="3"/>
    <x v="2"/>
    <x v="2"/>
    <x v="1"/>
    <x v="3"/>
    <x v="3"/>
    <x v="1"/>
    <x v="31"/>
    <x v="0"/>
    <x v="1"/>
    <x v="0"/>
    <x v="0"/>
    <x v="0"/>
    <x v="0"/>
  </r>
  <r>
    <x v="992"/>
    <x v="0"/>
    <x v="0"/>
    <x v="0"/>
    <x v="0"/>
    <x v="15"/>
    <x v="0"/>
    <x v="3"/>
    <x v="4"/>
    <x v="4"/>
    <x v="1"/>
    <x v="3"/>
    <x v="0"/>
    <x v="2"/>
    <x v="18"/>
    <x v="0"/>
    <x v="1"/>
    <x v="1"/>
    <x v="0"/>
    <x v="0"/>
    <x v="0"/>
  </r>
  <r>
    <x v="993"/>
    <x v="1"/>
    <x v="1"/>
    <x v="1"/>
    <x v="1"/>
    <x v="15"/>
    <x v="0"/>
    <x v="3"/>
    <x v="4"/>
    <x v="4"/>
    <x v="1"/>
    <x v="3"/>
    <x v="0"/>
    <x v="2"/>
    <x v="18"/>
    <x v="0"/>
    <x v="1"/>
    <x v="1"/>
    <x v="0"/>
    <x v="0"/>
    <x v="0"/>
  </r>
  <r>
    <x v="994"/>
    <x v="0"/>
    <x v="0"/>
    <x v="0"/>
    <x v="0"/>
    <x v="15"/>
    <x v="0"/>
    <x v="1"/>
    <x v="2"/>
    <x v="3"/>
    <x v="0"/>
    <x v="0"/>
    <x v="3"/>
    <x v="2"/>
    <x v="29"/>
    <x v="0"/>
    <x v="1"/>
    <x v="1"/>
    <x v="0"/>
    <x v="0"/>
    <x v="0"/>
  </r>
  <r>
    <x v="995"/>
    <x v="1"/>
    <x v="1"/>
    <x v="0"/>
    <x v="0"/>
    <x v="15"/>
    <x v="0"/>
    <x v="1"/>
    <x v="2"/>
    <x v="3"/>
    <x v="0"/>
    <x v="3"/>
    <x v="3"/>
    <x v="2"/>
    <x v="29"/>
    <x v="0"/>
    <x v="1"/>
    <x v="1"/>
    <x v="0"/>
    <x v="0"/>
    <x v="0"/>
  </r>
  <r>
    <x v="996"/>
    <x v="0"/>
    <x v="0"/>
    <x v="1"/>
    <x v="1"/>
    <x v="15"/>
    <x v="0"/>
    <x v="3"/>
    <x v="3"/>
    <x v="4"/>
    <x v="1"/>
    <x v="4"/>
    <x v="1"/>
    <x v="0"/>
    <x v="2"/>
    <x v="0"/>
    <x v="1"/>
    <x v="1"/>
    <x v="0"/>
    <x v="0"/>
    <x v="0"/>
  </r>
  <r>
    <x v="997"/>
    <x v="1"/>
    <x v="1"/>
    <x v="0"/>
    <x v="0"/>
    <x v="15"/>
    <x v="0"/>
    <x v="3"/>
    <x v="3"/>
    <x v="4"/>
    <x v="0"/>
    <x v="4"/>
    <x v="4"/>
    <x v="0"/>
    <x v="42"/>
    <x v="0"/>
    <x v="1"/>
    <x v="1"/>
    <x v="0"/>
    <x v="0"/>
    <x v="0"/>
  </r>
  <r>
    <x v="998"/>
    <x v="0"/>
    <x v="0"/>
    <x v="0"/>
    <x v="0"/>
    <x v="15"/>
    <x v="0"/>
    <x v="2"/>
    <x v="1"/>
    <x v="4"/>
    <x v="1"/>
    <x v="1"/>
    <x v="1"/>
    <x v="0"/>
    <x v="43"/>
    <x v="0"/>
    <x v="1"/>
    <x v="0"/>
    <x v="0"/>
    <x v="0"/>
    <x v="0"/>
  </r>
  <r>
    <x v="999"/>
    <x v="0"/>
    <x v="0"/>
    <x v="1"/>
    <x v="1"/>
    <x v="15"/>
    <x v="0"/>
    <x v="2"/>
    <x v="1"/>
    <x v="4"/>
    <x v="1"/>
    <x v="1"/>
    <x v="1"/>
    <x v="0"/>
    <x v="43"/>
    <x v="0"/>
    <x v="1"/>
    <x v="1"/>
    <x v="0"/>
    <x v="0"/>
    <x v="0"/>
  </r>
</pivotCacheRecords>
</file>

<file path=xl/pivotCache/pivotCacheRecords3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0"/>
    <x v="0"/>
    <x v="1"/>
    <x v="0"/>
    <x v="0"/>
    <x v="1"/>
    <x v="1"/>
    <x v="1"/>
    <x v="0"/>
    <x v="1"/>
    <x v="0"/>
    <x v="1"/>
    <x v="1"/>
    <x v="0"/>
    <x v="0"/>
    <x v="0"/>
  </r>
  <r>
    <x v="2"/>
    <x v="1"/>
    <x v="1"/>
    <x v="1"/>
    <x v="1"/>
    <x v="0"/>
    <x v="0"/>
    <x v="2"/>
    <x v="1"/>
    <x v="1"/>
    <x v="0"/>
    <x v="2"/>
    <x v="1"/>
    <x v="1"/>
    <x v="2"/>
    <x v="0"/>
    <x v="1"/>
    <x v="1"/>
    <x v="0"/>
    <x v="0"/>
    <x v="0"/>
  </r>
  <r>
    <x v="3"/>
    <x v="1"/>
    <x v="1"/>
    <x v="1"/>
    <x v="1"/>
    <x v="1"/>
    <x v="0"/>
    <x v="3"/>
    <x v="2"/>
    <x v="1"/>
    <x v="1"/>
    <x v="2"/>
    <x v="1"/>
    <x v="2"/>
    <x v="3"/>
    <x v="0"/>
    <x v="0"/>
    <x v="0"/>
    <x v="0"/>
    <x v="0"/>
    <x v="0"/>
  </r>
  <r>
    <x v="4"/>
    <x v="1"/>
    <x v="1"/>
    <x v="0"/>
    <x v="0"/>
    <x v="1"/>
    <x v="0"/>
    <x v="4"/>
    <x v="1"/>
    <x v="1"/>
    <x v="0"/>
    <x v="0"/>
    <x v="1"/>
    <x v="2"/>
    <x v="4"/>
    <x v="0"/>
    <x v="0"/>
    <x v="0"/>
    <x v="0"/>
    <x v="0"/>
    <x v="0"/>
  </r>
  <r>
    <x v="5"/>
    <x v="0"/>
    <x v="0"/>
    <x v="1"/>
    <x v="1"/>
    <x v="1"/>
    <x v="0"/>
    <x v="0"/>
    <x v="0"/>
    <x v="0"/>
    <x v="0"/>
    <x v="3"/>
    <x v="2"/>
    <x v="0"/>
    <x v="1"/>
    <x v="0"/>
    <x v="1"/>
    <x v="0"/>
    <x v="0"/>
    <x v="0"/>
    <x v="0"/>
  </r>
  <r>
    <x v="6"/>
    <x v="0"/>
    <x v="0"/>
    <x v="1"/>
    <x v="1"/>
    <x v="2"/>
    <x v="0"/>
    <x v="4"/>
    <x v="3"/>
    <x v="1"/>
    <x v="1"/>
    <x v="2"/>
    <x v="1"/>
    <x v="2"/>
    <x v="5"/>
    <x v="0"/>
    <x v="0"/>
    <x v="0"/>
    <x v="0"/>
    <x v="0"/>
    <x v="0"/>
  </r>
  <r>
    <x v="7"/>
    <x v="1"/>
    <x v="1"/>
    <x v="1"/>
    <x v="1"/>
    <x v="2"/>
    <x v="0"/>
    <x v="2"/>
    <x v="0"/>
    <x v="0"/>
    <x v="0"/>
    <x v="0"/>
    <x v="1"/>
    <x v="1"/>
    <x v="6"/>
    <x v="0"/>
    <x v="0"/>
    <x v="0"/>
    <x v="0"/>
    <x v="0"/>
    <x v="0"/>
  </r>
  <r>
    <x v="8"/>
    <x v="0"/>
    <x v="0"/>
    <x v="1"/>
    <x v="1"/>
    <x v="2"/>
    <x v="0"/>
    <x v="3"/>
    <x v="2"/>
    <x v="0"/>
    <x v="1"/>
    <x v="2"/>
    <x v="1"/>
    <x v="0"/>
    <x v="0"/>
    <x v="0"/>
    <x v="0"/>
    <x v="1"/>
    <x v="0"/>
    <x v="0"/>
    <x v="0"/>
  </r>
  <r>
    <x v="9"/>
    <x v="0"/>
    <x v="0"/>
    <x v="0"/>
    <x v="0"/>
    <x v="2"/>
    <x v="0"/>
    <x v="5"/>
    <x v="2"/>
    <x v="0"/>
    <x v="1"/>
    <x v="0"/>
    <x v="1"/>
    <x v="0"/>
    <x v="7"/>
    <x v="0"/>
    <x v="1"/>
    <x v="0"/>
    <x v="0"/>
    <x v="0"/>
    <x v="0"/>
  </r>
  <r>
    <x v="10"/>
    <x v="1"/>
    <x v="1"/>
    <x v="0"/>
    <x v="0"/>
    <x v="3"/>
    <x v="0"/>
    <x v="0"/>
    <x v="2"/>
    <x v="1"/>
    <x v="1"/>
    <x v="2"/>
    <x v="1"/>
    <x v="2"/>
    <x v="8"/>
    <x v="0"/>
    <x v="0"/>
    <x v="1"/>
    <x v="0"/>
    <x v="0"/>
    <x v="0"/>
  </r>
  <r>
    <x v="11"/>
    <x v="1"/>
    <x v="1"/>
    <x v="0"/>
    <x v="0"/>
    <x v="3"/>
    <x v="0"/>
    <x v="2"/>
    <x v="1"/>
    <x v="1"/>
    <x v="0"/>
    <x v="4"/>
    <x v="1"/>
    <x v="2"/>
    <x v="9"/>
    <x v="0"/>
    <x v="0"/>
    <x v="0"/>
    <x v="0"/>
    <x v="0"/>
    <x v="0"/>
  </r>
  <r>
    <x v="12"/>
    <x v="1"/>
    <x v="1"/>
    <x v="1"/>
    <x v="1"/>
    <x v="3"/>
    <x v="0"/>
    <x v="4"/>
    <x v="1"/>
    <x v="1"/>
    <x v="0"/>
    <x v="3"/>
    <x v="1"/>
    <x v="1"/>
    <x v="10"/>
    <x v="0"/>
    <x v="0"/>
    <x v="0"/>
    <x v="0"/>
    <x v="0"/>
    <x v="0"/>
  </r>
  <r>
    <x v="13"/>
    <x v="0"/>
    <x v="0"/>
    <x v="0"/>
    <x v="0"/>
    <x v="3"/>
    <x v="0"/>
    <x v="4"/>
    <x v="1"/>
    <x v="1"/>
    <x v="1"/>
    <x v="0"/>
    <x v="3"/>
    <x v="1"/>
    <x v="11"/>
    <x v="0"/>
    <x v="0"/>
    <x v="1"/>
    <x v="0"/>
    <x v="0"/>
    <x v="0"/>
  </r>
  <r>
    <x v="14"/>
    <x v="0"/>
    <x v="0"/>
    <x v="1"/>
    <x v="1"/>
    <x v="3"/>
    <x v="0"/>
    <x v="2"/>
    <x v="1"/>
    <x v="1"/>
    <x v="1"/>
    <x v="2"/>
    <x v="1"/>
    <x v="1"/>
    <x v="11"/>
    <x v="0"/>
    <x v="0"/>
    <x v="1"/>
    <x v="0"/>
    <x v="0"/>
    <x v="0"/>
  </r>
  <r>
    <x v="15"/>
    <x v="0"/>
    <x v="0"/>
    <x v="1"/>
    <x v="1"/>
    <x v="3"/>
    <x v="0"/>
    <x v="3"/>
    <x v="1"/>
    <x v="1"/>
    <x v="1"/>
    <x v="3"/>
    <x v="1"/>
    <x v="1"/>
    <x v="12"/>
    <x v="0"/>
    <x v="0"/>
    <x v="1"/>
    <x v="0"/>
    <x v="0"/>
    <x v="0"/>
  </r>
  <r>
    <x v="16"/>
    <x v="0"/>
    <x v="0"/>
    <x v="1"/>
    <x v="1"/>
    <x v="3"/>
    <x v="0"/>
    <x v="2"/>
    <x v="1"/>
    <x v="1"/>
    <x v="1"/>
    <x v="2"/>
    <x v="1"/>
    <x v="1"/>
    <x v="12"/>
    <x v="0"/>
    <x v="0"/>
    <x v="1"/>
    <x v="0"/>
    <x v="0"/>
    <x v="0"/>
  </r>
  <r>
    <x v="17"/>
    <x v="0"/>
    <x v="0"/>
    <x v="1"/>
    <x v="1"/>
    <x v="3"/>
    <x v="0"/>
    <x v="3"/>
    <x v="1"/>
    <x v="1"/>
    <x v="1"/>
    <x v="0"/>
    <x v="1"/>
    <x v="1"/>
    <x v="13"/>
    <x v="0"/>
    <x v="0"/>
    <x v="0"/>
    <x v="0"/>
    <x v="0"/>
    <x v="0"/>
  </r>
  <r>
    <x v="18"/>
    <x v="0"/>
    <x v="0"/>
    <x v="0"/>
    <x v="0"/>
    <x v="3"/>
    <x v="0"/>
    <x v="2"/>
    <x v="3"/>
    <x v="1"/>
    <x v="1"/>
    <x v="2"/>
    <x v="4"/>
    <x v="1"/>
    <x v="6"/>
    <x v="0"/>
    <x v="0"/>
    <x v="0"/>
    <x v="0"/>
    <x v="0"/>
    <x v="0"/>
  </r>
  <r>
    <x v="19"/>
    <x v="1"/>
    <x v="1"/>
    <x v="1"/>
    <x v="1"/>
    <x v="3"/>
    <x v="0"/>
    <x v="2"/>
    <x v="3"/>
    <x v="1"/>
    <x v="0"/>
    <x v="2"/>
    <x v="1"/>
    <x v="1"/>
    <x v="6"/>
    <x v="0"/>
    <x v="0"/>
    <x v="1"/>
    <x v="0"/>
    <x v="0"/>
    <x v="0"/>
  </r>
  <r>
    <x v="20"/>
    <x v="0"/>
    <x v="0"/>
    <x v="0"/>
    <x v="0"/>
    <x v="3"/>
    <x v="0"/>
    <x v="5"/>
    <x v="3"/>
    <x v="1"/>
    <x v="1"/>
    <x v="0"/>
    <x v="1"/>
    <x v="1"/>
    <x v="14"/>
    <x v="0"/>
    <x v="0"/>
    <x v="0"/>
    <x v="0"/>
    <x v="0"/>
    <x v="0"/>
  </r>
  <r>
    <x v="21"/>
    <x v="0"/>
    <x v="0"/>
    <x v="0"/>
    <x v="0"/>
    <x v="3"/>
    <x v="0"/>
    <x v="2"/>
    <x v="3"/>
    <x v="1"/>
    <x v="1"/>
    <x v="3"/>
    <x v="1"/>
    <x v="1"/>
    <x v="14"/>
    <x v="0"/>
    <x v="0"/>
    <x v="0"/>
    <x v="0"/>
    <x v="0"/>
    <x v="0"/>
  </r>
  <r>
    <x v="22"/>
    <x v="1"/>
    <x v="1"/>
    <x v="0"/>
    <x v="0"/>
    <x v="3"/>
    <x v="0"/>
    <x v="2"/>
    <x v="3"/>
    <x v="1"/>
    <x v="0"/>
    <x v="0"/>
    <x v="1"/>
    <x v="1"/>
    <x v="14"/>
    <x v="0"/>
    <x v="0"/>
    <x v="0"/>
    <x v="0"/>
    <x v="0"/>
    <x v="0"/>
  </r>
  <r>
    <x v="23"/>
    <x v="1"/>
    <x v="1"/>
    <x v="0"/>
    <x v="0"/>
    <x v="3"/>
    <x v="0"/>
    <x v="2"/>
    <x v="3"/>
    <x v="1"/>
    <x v="0"/>
    <x v="4"/>
    <x v="4"/>
    <x v="1"/>
    <x v="14"/>
    <x v="0"/>
    <x v="0"/>
    <x v="1"/>
    <x v="0"/>
    <x v="0"/>
    <x v="0"/>
  </r>
  <r>
    <x v="24"/>
    <x v="0"/>
    <x v="0"/>
    <x v="0"/>
    <x v="0"/>
    <x v="3"/>
    <x v="0"/>
    <x v="4"/>
    <x v="1"/>
    <x v="1"/>
    <x v="1"/>
    <x v="4"/>
    <x v="2"/>
    <x v="2"/>
    <x v="0"/>
    <x v="0"/>
    <x v="0"/>
    <x v="1"/>
    <x v="0"/>
    <x v="0"/>
    <x v="0"/>
  </r>
  <r>
    <x v="25"/>
    <x v="0"/>
    <x v="0"/>
    <x v="1"/>
    <x v="1"/>
    <x v="3"/>
    <x v="0"/>
    <x v="4"/>
    <x v="1"/>
    <x v="1"/>
    <x v="1"/>
    <x v="1"/>
    <x v="0"/>
    <x v="2"/>
    <x v="0"/>
    <x v="0"/>
    <x v="0"/>
    <x v="1"/>
    <x v="0"/>
    <x v="0"/>
    <x v="0"/>
  </r>
  <r>
    <x v="26"/>
    <x v="1"/>
    <x v="1"/>
    <x v="1"/>
    <x v="1"/>
    <x v="3"/>
    <x v="0"/>
    <x v="4"/>
    <x v="1"/>
    <x v="1"/>
    <x v="1"/>
    <x v="1"/>
    <x v="4"/>
    <x v="2"/>
    <x v="0"/>
    <x v="0"/>
    <x v="0"/>
    <x v="0"/>
    <x v="0"/>
    <x v="0"/>
    <x v="0"/>
  </r>
  <r>
    <x v="27"/>
    <x v="0"/>
    <x v="0"/>
    <x v="0"/>
    <x v="0"/>
    <x v="3"/>
    <x v="0"/>
    <x v="5"/>
    <x v="0"/>
    <x v="0"/>
    <x v="1"/>
    <x v="0"/>
    <x v="0"/>
    <x v="0"/>
    <x v="15"/>
    <x v="0"/>
    <x v="0"/>
    <x v="0"/>
    <x v="0"/>
    <x v="0"/>
    <x v="0"/>
  </r>
  <r>
    <x v="28"/>
    <x v="0"/>
    <x v="0"/>
    <x v="0"/>
    <x v="0"/>
    <x v="3"/>
    <x v="0"/>
    <x v="5"/>
    <x v="0"/>
    <x v="0"/>
    <x v="1"/>
    <x v="0"/>
    <x v="1"/>
    <x v="0"/>
    <x v="7"/>
    <x v="0"/>
    <x v="1"/>
    <x v="0"/>
    <x v="0"/>
    <x v="0"/>
    <x v="0"/>
  </r>
  <r>
    <x v="29"/>
    <x v="0"/>
    <x v="0"/>
    <x v="1"/>
    <x v="1"/>
    <x v="3"/>
    <x v="0"/>
    <x v="5"/>
    <x v="0"/>
    <x v="0"/>
    <x v="0"/>
    <x v="0"/>
    <x v="0"/>
    <x v="0"/>
    <x v="7"/>
    <x v="0"/>
    <x v="1"/>
    <x v="0"/>
    <x v="0"/>
    <x v="0"/>
    <x v="0"/>
  </r>
  <r>
    <x v="30"/>
    <x v="0"/>
    <x v="0"/>
    <x v="1"/>
    <x v="1"/>
    <x v="3"/>
    <x v="0"/>
    <x v="5"/>
    <x v="2"/>
    <x v="0"/>
    <x v="1"/>
    <x v="2"/>
    <x v="0"/>
    <x v="0"/>
    <x v="7"/>
    <x v="0"/>
    <x v="1"/>
    <x v="0"/>
    <x v="0"/>
    <x v="0"/>
    <x v="0"/>
  </r>
  <r>
    <x v="31"/>
    <x v="1"/>
    <x v="1"/>
    <x v="1"/>
    <x v="1"/>
    <x v="3"/>
    <x v="0"/>
    <x v="5"/>
    <x v="0"/>
    <x v="0"/>
    <x v="0"/>
    <x v="0"/>
    <x v="1"/>
    <x v="0"/>
    <x v="7"/>
    <x v="0"/>
    <x v="1"/>
    <x v="0"/>
    <x v="0"/>
    <x v="0"/>
    <x v="0"/>
  </r>
  <r>
    <x v="32"/>
    <x v="0"/>
    <x v="0"/>
    <x v="0"/>
    <x v="0"/>
    <x v="3"/>
    <x v="0"/>
    <x v="5"/>
    <x v="0"/>
    <x v="0"/>
    <x v="1"/>
    <x v="2"/>
    <x v="1"/>
    <x v="0"/>
    <x v="16"/>
    <x v="0"/>
    <x v="1"/>
    <x v="1"/>
    <x v="0"/>
    <x v="0"/>
    <x v="0"/>
  </r>
  <r>
    <x v="33"/>
    <x v="0"/>
    <x v="0"/>
    <x v="0"/>
    <x v="0"/>
    <x v="3"/>
    <x v="0"/>
    <x v="5"/>
    <x v="2"/>
    <x v="0"/>
    <x v="1"/>
    <x v="2"/>
    <x v="1"/>
    <x v="0"/>
    <x v="16"/>
    <x v="0"/>
    <x v="1"/>
    <x v="1"/>
    <x v="0"/>
    <x v="0"/>
    <x v="0"/>
  </r>
  <r>
    <x v="34"/>
    <x v="0"/>
    <x v="0"/>
    <x v="1"/>
    <x v="1"/>
    <x v="3"/>
    <x v="0"/>
    <x v="0"/>
    <x v="0"/>
    <x v="0"/>
    <x v="0"/>
    <x v="0"/>
    <x v="2"/>
    <x v="0"/>
    <x v="17"/>
    <x v="0"/>
    <x v="1"/>
    <x v="1"/>
    <x v="0"/>
    <x v="0"/>
    <x v="0"/>
  </r>
  <r>
    <x v="35"/>
    <x v="0"/>
    <x v="0"/>
    <x v="1"/>
    <x v="1"/>
    <x v="3"/>
    <x v="0"/>
    <x v="0"/>
    <x v="2"/>
    <x v="0"/>
    <x v="1"/>
    <x v="0"/>
    <x v="1"/>
    <x v="0"/>
    <x v="1"/>
    <x v="0"/>
    <x v="1"/>
    <x v="1"/>
    <x v="0"/>
    <x v="0"/>
    <x v="0"/>
  </r>
  <r>
    <x v="36"/>
    <x v="0"/>
    <x v="0"/>
    <x v="0"/>
    <x v="0"/>
    <x v="3"/>
    <x v="0"/>
    <x v="0"/>
    <x v="2"/>
    <x v="1"/>
    <x v="0"/>
    <x v="2"/>
    <x v="2"/>
    <x v="0"/>
    <x v="18"/>
    <x v="0"/>
    <x v="1"/>
    <x v="1"/>
    <x v="0"/>
    <x v="0"/>
    <x v="0"/>
  </r>
  <r>
    <x v="37"/>
    <x v="0"/>
    <x v="0"/>
    <x v="0"/>
    <x v="0"/>
    <x v="3"/>
    <x v="0"/>
    <x v="1"/>
    <x v="0"/>
    <x v="0"/>
    <x v="1"/>
    <x v="2"/>
    <x v="1"/>
    <x v="0"/>
    <x v="19"/>
    <x v="0"/>
    <x v="1"/>
    <x v="1"/>
    <x v="0"/>
    <x v="0"/>
    <x v="0"/>
  </r>
  <r>
    <x v="38"/>
    <x v="0"/>
    <x v="0"/>
    <x v="0"/>
    <x v="0"/>
    <x v="3"/>
    <x v="0"/>
    <x v="0"/>
    <x v="0"/>
    <x v="0"/>
    <x v="1"/>
    <x v="2"/>
    <x v="0"/>
    <x v="0"/>
    <x v="20"/>
    <x v="0"/>
    <x v="1"/>
    <x v="0"/>
    <x v="0"/>
    <x v="0"/>
    <x v="0"/>
  </r>
  <r>
    <x v="39"/>
    <x v="0"/>
    <x v="0"/>
    <x v="1"/>
    <x v="1"/>
    <x v="3"/>
    <x v="0"/>
    <x v="0"/>
    <x v="0"/>
    <x v="0"/>
    <x v="0"/>
    <x v="2"/>
    <x v="0"/>
    <x v="0"/>
    <x v="20"/>
    <x v="0"/>
    <x v="1"/>
    <x v="0"/>
    <x v="0"/>
    <x v="0"/>
    <x v="0"/>
  </r>
  <r>
    <x v="40"/>
    <x v="1"/>
    <x v="1"/>
    <x v="0"/>
    <x v="0"/>
    <x v="3"/>
    <x v="0"/>
    <x v="3"/>
    <x v="3"/>
    <x v="1"/>
    <x v="0"/>
    <x v="2"/>
    <x v="1"/>
    <x v="1"/>
    <x v="21"/>
    <x v="0"/>
    <x v="1"/>
    <x v="1"/>
    <x v="0"/>
    <x v="0"/>
    <x v="0"/>
  </r>
  <r>
    <x v="41"/>
    <x v="0"/>
    <x v="0"/>
    <x v="1"/>
    <x v="1"/>
    <x v="3"/>
    <x v="0"/>
    <x v="3"/>
    <x v="1"/>
    <x v="1"/>
    <x v="1"/>
    <x v="0"/>
    <x v="4"/>
    <x v="1"/>
    <x v="22"/>
    <x v="0"/>
    <x v="1"/>
    <x v="1"/>
    <x v="0"/>
    <x v="0"/>
    <x v="0"/>
  </r>
  <r>
    <x v="42"/>
    <x v="0"/>
    <x v="0"/>
    <x v="1"/>
    <x v="1"/>
    <x v="4"/>
    <x v="0"/>
    <x v="4"/>
    <x v="4"/>
    <x v="0"/>
    <x v="1"/>
    <x v="2"/>
    <x v="2"/>
    <x v="2"/>
    <x v="23"/>
    <x v="0"/>
    <x v="0"/>
    <x v="0"/>
    <x v="0"/>
    <x v="0"/>
    <x v="0"/>
  </r>
  <r>
    <x v="43"/>
    <x v="1"/>
    <x v="1"/>
    <x v="0"/>
    <x v="0"/>
    <x v="4"/>
    <x v="0"/>
    <x v="4"/>
    <x v="4"/>
    <x v="0"/>
    <x v="1"/>
    <x v="2"/>
    <x v="2"/>
    <x v="2"/>
    <x v="24"/>
    <x v="0"/>
    <x v="0"/>
    <x v="0"/>
    <x v="0"/>
    <x v="0"/>
    <x v="0"/>
  </r>
  <r>
    <x v="44"/>
    <x v="0"/>
    <x v="0"/>
    <x v="1"/>
    <x v="1"/>
    <x v="4"/>
    <x v="0"/>
    <x v="4"/>
    <x v="4"/>
    <x v="0"/>
    <x v="1"/>
    <x v="2"/>
    <x v="2"/>
    <x v="2"/>
    <x v="9"/>
    <x v="0"/>
    <x v="0"/>
    <x v="0"/>
    <x v="0"/>
    <x v="0"/>
    <x v="0"/>
  </r>
  <r>
    <x v="45"/>
    <x v="0"/>
    <x v="0"/>
    <x v="1"/>
    <x v="1"/>
    <x v="4"/>
    <x v="0"/>
    <x v="2"/>
    <x v="3"/>
    <x v="1"/>
    <x v="1"/>
    <x v="2"/>
    <x v="1"/>
    <x v="1"/>
    <x v="10"/>
    <x v="0"/>
    <x v="0"/>
    <x v="1"/>
    <x v="0"/>
    <x v="0"/>
    <x v="0"/>
  </r>
  <r>
    <x v="46"/>
    <x v="1"/>
    <x v="1"/>
    <x v="1"/>
    <x v="1"/>
    <x v="4"/>
    <x v="0"/>
    <x v="3"/>
    <x v="3"/>
    <x v="1"/>
    <x v="0"/>
    <x v="0"/>
    <x v="1"/>
    <x v="1"/>
    <x v="25"/>
    <x v="0"/>
    <x v="0"/>
    <x v="0"/>
    <x v="0"/>
    <x v="0"/>
    <x v="0"/>
  </r>
  <r>
    <x v="47"/>
    <x v="0"/>
    <x v="0"/>
    <x v="1"/>
    <x v="1"/>
    <x v="4"/>
    <x v="0"/>
    <x v="3"/>
    <x v="0"/>
    <x v="2"/>
    <x v="1"/>
    <x v="4"/>
    <x v="1"/>
    <x v="0"/>
    <x v="11"/>
    <x v="0"/>
    <x v="0"/>
    <x v="0"/>
    <x v="0"/>
    <x v="0"/>
    <x v="0"/>
  </r>
  <r>
    <x v="48"/>
    <x v="1"/>
    <x v="1"/>
    <x v="1"/>
    <x v="1"/>
    <x v="4"/>
    <x v="0"/>
    <x v="3"/>
    <x v="3"/>
    <x v="1"/>
    <x v="0"/>
    <x v="2"/>
    <x v="3"/>
    <x v="1"/>
    <x v="11"/>
    <x v="0"/>
    <x v="0"/>
    <x v="1"/>
    <x v="0"/>
    <x v="0"/>
    <x v="0"/>
  </r>
  <r>
    <x v="49"/>
    <x v="1"/>
    <x v="1"/>
    <x v="0"/>
    <x v="0"/>
    <x v="4"/>
    <x v="0"/>
    <x v="0"/>
    <x v="0"/>
    <x v="0"/>
    <x v="1"/>
    <x v="0"/>
    <x v="0"/>
    <x v="1"/>
    <x v="26"/>
    <x v="0"/>
    <x v="0"/>
    <x v="0"/>
    <x v="0"/>
    <x v="0"/>
    <x v="0"/>
  </r>
  <r>
    <x v="50"/>
    <x v="0"/>
    <x v="0"/>
    <x v="0"/>
    <x v="0"/>
    <x v="4"/>
    <x v="0"/>
    <x v="2"/>
    <x v="2"/>
    <x v="0"/>
    <x v="0"/>
    <x v="2"/>
    <x v="4"/>
    <x v="1"/>
    <x v="14"/>
    <x v="0"/>
    <x v="0"/>
    <x v="1"/>
    <x v="0"/>
    <x v="0"/>
    <x v="0"/>
  </r>
  <r>
    <x v="51"/>
    <x v="0"/>
    <x v="0"/>
    <x v="0"/>
    <x v="0"/>
    <x v="4"/>
    <x v="0"/>
    <x v="2"/>
    <x v="3"/>
    <x v="1"/>
    <x v="1"/>
    <x v="3"/>
    <x v="1"/>
    <x v="2"/>
    <x v="27"/>
    <x v="0"/>
    <x v="0"/>
    <x v="0"/>
    <x v="0"/>
    <x v="0"/>
    <x v="0"/>
  </r>
  <r>
    <x v="52"/>
    <x v="0"/>
    <x v="0"/>
    <x v="1"/>
    <x v="1"/>
    <x v="4"/>
    <x v="0"/>
    <x v="2"/>
    <x v="2"/>
    <x v="0"/>
    <x v="1"/>
    <x v="2"/>
    <x v="0"/>
    <x v="1"/>
    <x v="27"/>
    <x v="0"/>
    <x v="0"/>
    <x v="0"/>
    <x v="0"/>
    <x v="0"/>
    <x v="0"/>
  </r>
  <r>
    <x v="53"/>
    <x v="0"/>
    <x v="0"/>
    <x v="1"/>
    <x v="1"/>
    <x v="4"/>
    <x v="0"/>
    <x v="0"/>
    <x v="3"/>
    <x v="1"/>
    <x v="1"/>
    <x v="4"/>
    <x v="4"/>
    <x v="2"/>
    <x v="4"/>
    <x v="0"/>
    <x v="0"/>
    <x v="1"/>
    <x v="0"/>
    <x v="0"/>
    <x v="0"/>
  </r>
  <r>
    <x v="54"/>
    <x v="1"/>
    <x v="1"/>
    <x v="0"/>
    <x v="0"/>
    <x v="4"/>
    <x v="0"/>
    <x v="5"/>
    <x v="2"/>
    <x v="0"/>
    <x v="1"/>
    <x v="2"/>
    <x v="0"/>
    <x v="0"/>
    <x v="15"/>
    <x v="0"/>
    <x v="0"/>
    <x v="0"/>
    <x v="0"/>
    <x v="0"/>
    <x v="0"/>
  </r>
  <r>
    <x v="55"/>
    <x v="1"/>
    <x v="1"/>
    <x v="1"/>
    <x v="1"/>
    <x v="4"/>
    <x v="0"/>
    <x v="5"/>
    <x v="2"/>
    <x v="0"/>
    <x v="0"/>
    <x v="2"/>
    <x v="0"/>
    <x v="0"/>
    <x v="15"/>
    <x v="0"/>
    <x v="0"/>
    <x v="1"/>
    <x v="0"/>
    <x v="0"/>
    <x v="0"/>
  </r>
  <r>
    <x v="56"/>
    <x v="0"/>
    <x v="0"/>
    <x v="0"/>
    <x v="0"/>
    <x v="4"/>
    <x v="0"/>
    <x v="5"/>
    <x v="3"/>
    <x v="1"/>
    <x v="0"/>
    <x v="3"/>
    <x v="2"/>
    <x v="0"/>
    <x v="16"/>
    <x v="0"/>
    <x v="1"/>
    <x v="0"/>
    <x v="0"/>
    <x v="0"/>
    <x v="0"/>
  </r>
  <r>
    <x v="57"/>
    <x v="0"/>
    <x v="0"/>
    <x v="1"/>
    <x v="1"/>
    <x v="4"/>
    <x v="0"/>
    <x v="0"/>
    <x v="0"/>
    <x v="1"/>
    <x v="1"/>
    <x v="0"/>
    <x v="2"/>
    <x v="0"/>
    <x v="28"/>
    <x v="0"/>
    <x v="1"/>
    <x v="1"/>
    <x v="0"/>
    <x v="0"/>
    <x v="0"/>
  </r>
  <r>
    <x v="58"/>
    <x v="0"/>
    <x v="0"/>
    <x v="0"/>
    <x v="0"/>
    <x v="4"/>
    <x v="0"/>
    <x v="3"/>
    <x v="3"/>
    <x v="1"/>
    <x v="1"/>
    <x v="0"/>
    <x v="0"/>
    <x v="1"/>
    <x v="29"/>
    <x v="0"/>
    <x v="1"/>
    <x v="1"/>
    <x v="0"/>
    <x v="0"/>
    <x v="0"/>
  </r>
  <r>
    <x v="59"/>
    <x v="0"/>
    <x v="0"/>
    <x v="1"/>
    <x v="1"/>
    <x v="4"/>
    <x v="0"/>
    <x v="3"/>
    <x v="1"/>
    <x v="1"/>
    <x v="1"/>
    <x v="0"/>
    <x v="0"/>
    <x v="1"/>
    <x v="30"/>
    <x v="0"/>
    <x v="1"/>
    <x v="1"/>
    <x v="0"/>
    <x v="0"/>
    <x v="0"/>
  </r>
  <r>
    <x v="60"/>
    <x v="1"/>
    <x v="1"/>
    <x v="0"/>
    <x v="0"/>
    <x v="5"/>
    <x v="0"/>
    <x v="4"/>
    <x v="0"/>
    <x v="1"/>
    <x v="1"/>
    <x v="0"/>
    <x v="2"/>
    <x v="2"/>
    <x v="23"/>
    <x v="0"/>
    <x v="0"/>
    <x v="0"/>
    <x v="0"/>
    <x v="0"/>
    <x v="0"/>
  </r>
  <r>
    <x v="61"/>
    <x v="1"/>
    <x v="1"/>
    <x v="1"/>
    <x v="1"/>
    <x v="5"/>
    <x v="0"/>
    <x v="4"/>
    <x v="0"/>
    <x v="1"/>
    <x v="0"/>
    <x v="0"/>
    <x v="2"/>
    <x v="2"/>
    <x v="23"/>
    <x v="0"/>
    <x v="0"/>
    <x v="0"/>
    <x v="0"/>
    <x v="0"/>
    <x v="0"/>
  </r>
  <r>
    <x v="62"/>
    <x v="0"/>
    <x v="0"/>
    <x v="0"/>
    <x v="0"/>
    <x v="5"/>
    <x v="0"/>
    <x v="4"/>
    <x v="2"/>
    <x v="1"/>
    <x v="1"/>
    <x v="0"/>
    <x v="2"/>
    <x v="2"/>
    <x v="24"/>
    <x v="0"/>
    <x v="0"/>
    <x v="0"/>
    <x v="0"/>
    <x v="0"/>
    <x v="0"/>
  </r>
  <r>
    <x v="63"/>
    <x v="1"/>
    <x v="1"/>
    <x v="1"/>
    <x v="1"/>
    <x v="5"/>
    <x v="0"/>
    <x v="3"/>
    <x v="3"/>
    <x v="1"/>
    <x v="0"/>
    <x v="0"/>
    <x v="1"/>
    <x v="1"/>
    <x v="5"/>
    <x v="0"/>
    <x v="0"/>
    <x v="0"/>
    <x v="0"/>
    <x v="0"/>
    <x v="0"/>
  </r>
  <r>
    <x v="64"/>
    <x v="1"/>
    <x v="1"/>
    <x v="1"/>
    <x v="1"/>
    <x v="5"/>
    <x v="0"/>
    <x v="5"/>
    <x v="3"/>
    <x v="1"/>
    <x v="1"/>
    <x v="2"/>
    <x v="4"/>
    <x v="1"/>
    <x v="11"/>
    <x v="0"/>
    <x v="0"/>
    <x v="0"/>
    <x v="0"/>
    <x v="0"/>
    <x v="0"/>
  </r>
  <r>
    <x v="65"/>
    <x v="1"/>
    <x v="1"/>
    <x v="0"/>
    <x v="0"/>
    <x v="5"/>
    <x v="0"/>
    <x v="5"/>
    <x v="3"/>
    <x v="1"/>
    <x v="0"/>
    <x v="2"/>
    <x v="3"/>
    <x v="1"/>
    <x v="13"/>
    <x v="0"/>
    <x v="0"/>
    <x v="1"/>
    <x v="0"/>
    <x v="0"/>
    <x v="0"/>
  </r>
  <r>
    <x v="66"/>
    <x v="1"/>
    <x v="1"/>
    <x v="1"/>
    <x v="1"/>
    <x v="5"/>
    <x v="0"/>
    <x v="0"/>
    <x v="3"/>
    <x v="1"/>
    <x v="1"/>
    <x v="2"/>
    <x v="0"/>
    <x v="1"/>
    <x v="13"/>
    <x v="0"/>
    <x v="0"/>
    <x v="0"/>
    <x v="0"/>
    <x v="0"/>
    <x v="0"/>
  </r>
  <r>
    <x v="67"/>
    <x v="1"/>
    <x v="1"/>
    <x v="1"/>
    <x v="1"/>
    <x v="5"/>
    <x v="0"/>
    <x v="2"/>
    <x v="3"/>
    <x v="1"/>
    <x v="1"/>
    <x v="4"/>
    <x v="0"/>
    <x v="1"/>
    <x v="26"/>
    <x v="0"/>
    <x v="0"/>
    <x v="1"/>
    <x v="0"/>
    <x v="0"/>
    <x v="0"/>
  </r>
  <r>
    <x v="68"/>
    <x v="0"/>
    <x v="0"/>
    <x v="0"/>
    <x v="0"/>
    <x v="5"/>
    <x v="0"/>
    <x v="2"/>
    <x v="3"/>
    <x v="1"/>
    <x v="1"/>
    <x v="3"/>
    <x v="3"/>
    <x v="1"/>
    <x v="6"/>
    <x v="0"/>
    <x v="0"/>
    <x v="1"/>
    <x v="0"/>
    <x v="0"/>
    <x v="0"/>
  </r>
  <r>
    <x v="69"/>
    <x v="0"/>
    <x v="0"/>
    <x v="1"/>
    <x v="1"/>
    <x v="5"/>
    <x v="0"/>
    <x v="2"/>
    <x v="3"/>
    <x v="1"/>
    <x v="1"/>
    <x v="0"/>
    <x v="0"/>
    <x v="1"/>
    <x v="14"/>
    <x v="0"/>
    <x v="0"/>
    <x v="1"/>
    <x v="0"/>
    <x v="0"/>
    <x v="0"/>
  </r>
  <r>
    <x v="70"/>
    <x v="1"/>
    <x v="1"/>
    <x v="1"/>
    <x v="1"/>
    <x v="5"/>
    <x v="0"/>
    <x v="2"/>
    <x v="0"/>
    <x v="0"/>
    <x v="1"/>
    <x v="2"/>
    <x v="0"/>
    <x v="1"/>
    <x v="14"/>
    <x v="0"/>
    <x v="0"/>
    <x v="0"/>
    <x v="0"/>
    <x v="0"/>
    <x v="0"/>
  </r>
  <r>
    <x v="71"/>
    <x v="0"/>
    <x v="0"/>
    <x v="1"/>
    <x v="1"/>
    <x v="5"/>
    <x v="0"/>
    <x v="1"/>
    <x v="0"/>
    <x v="0"/>
    <x v="1"/>
    <x v="2"/>
    <x v="4"/>
    <x v="1"/>
    <x v="27"/>
    <x v="0"/>
    <x v="0"/>
    <x v="1"/>
    <x v="0"/>
    <x v="0"/>
    <x v="0"/>
  </r>
  <r>
    <x v="72"/>
    <x v="1"/>
    <x v="1"/>
    <x v="0"/>
    <x v="0"/>
    <x v="5"/>
    <x v="0"/>
    <x v="3"/>
    <x v="0"/>
    <x v="0"/>
    <x v="0"/>
    <x v="0"/>
    <x v="0"/>
    <x v="0"/>
    <x v="0"/>
    <x v="0"/>
    <x v="0"/>
    <x v="1"/>
    <x v="0"/>
    <x v="0"/>
    <x v="0"/>
  </r>
  <r>
    <x v="73"/>
    <x v="0"/>
    <x v="0"/>
    <x v="1"/>
    <x v="1"/>
    <x v="5"/>
    <x v="0"/>
    <x v="1"/>
    <x v="3"/>
    <x v="1"/>
    <x v="1"/>
    <x v="2"/>
    <x v="4"/>
    <x v="2"/>
    <x v="0"/>
    <x v="0"/>
    <x v="0"/>
    <x v="0"/>
    <x v="0"/>
    <x v="0"/>
    <x v="0"/>
  </r>
  <r>
    <x v="74"/>
    <x v="0"/>
    <x v="0"/>
    <x v="1"/>
    <x v="1"/>
    <x v="5"/>
    <x v="0"/>
    <x v="0"/>
    <x v="3"/>
    <x v="1"/>
    <x v="1"/>
    <x v="0"/>
    <x v="4"/>
    <x v="2"/>
    <x v="0"/>
    <x v="0"/>
    <x v="0"/>
    <x v="1"/>
    <x v="0"/>
    <x v="0"/>
    <x v="0"/>
  </r>
  <r>
    <x v="75"/>
    <x v="1"/>
    <x v="1"/>
    <x v="0"/>
    <x v="0"/>
    <x v="5"/>
    <x v="0"/>
    <x v="5"/>
    <x v="3"/>
    <x v="1"/>
    <x v="1"/>
    <x v="2"/>
    <x v="2"/>
    <x v="0"/>
    <x v="31"/>
    <x v="0"/>
    <x v="1"/>
    <x v="1"/>
    <x v="0"/>
    <x v="0"/>
    <x v="0"/>
  </r>
  <r>
    <x v="76"/>
    <x v="0"/>
    <x v="0"/>
    <x v="0"/>
    <x v="0"/>
    <x v="6"/>
    <x v="0"/>
    <x v="4"/>
    <x v="2"/>
    <x v="1"/>
    <x v="1"/>
    <x v="2"/>
    <x v="2"/>
    <x v="2"/>
    <x v="24"/>
    <x v="0"/>
    <x v="0"/>
    <x v="0"/>
    <x v="0"/>
    <x v="0"/>
    <x v="0"/>
  </r>
  <r>
    <x v="77"/>
    <x v="0"/>
    <x v="0"/>
    <x v="1"/>
    <x v="1"/>
    <x v="6"/>
    <x v="0"/>
    <x v="4"/>
    <x v="2"/>
    <x v="1"/>
    <x v="1"/>
    <x v="0"/>
    <x v="2"/>
    <x v="2"/>
    <x v="32"/>
    <x v="0"/>
    <x v="0"/>
    <x v="0"/>
    <x v="0"/>
    <x v="0"/>
    <x v="0"/>
  </r>
  <r>
    <x v="78"/>
    <x v="1"/>
    <x v="1"/>
    <x v="1"/>
    <x v="1"/>
    <x v="6"/>
    <x v="0"/>
    <x v="4"/>
    <x v="2"/>
    <x v="1"/>
    <x v="1"/>
    <x v="0"/>
    <x v="2"/>
    <x v="2"/>
    <x v="32"/>
    <x v="0"/>
    <x v="0"/>
    <x v="1"/>
    <x v="0"/>
    <x v="0"/>
    <x v="0"/>
  </r>
  <r>
    <x v="79"/>
    <x v="0"/>
    <x v="0"/>
    <x v="1"/>
    <x v="1"/>
    <x v="6"/>
    <x v="0"/>
    <x v="2"/>
    <x v="1"/>
    <x v="1"/>
    <x v="1"/>
    <x v="1"/>
    <x v="4"/>
    <x v="2"/>
    <x v="9"/>
    <x v="0"/>
    <x v="0"/>
    <x v="0"/>
    <x v="0"/>
    <x v="0"/>
    <x v="0"/>
  </r>
  <r>
    <x v="80"/>
    <x v="1"/>
    <x v="1"/>
    <x v="1"/>
    <x v="1"/>
    <x v="6"/>
    <x v="0"/>
    <x v="5"/>
    <x v="3"/>
    <x v="1"/>
    <x v="0"/>
    <x v="0"/>
    <x v="3"/>
    <x v="1"/>
    <x v="10"/>
    <x v="0"/>
    <x v="0"/>
    <x v="1"/>
    <x v="0"/>
    <x v="0"/>
    <x v="0"/>
  </r>
  <r>
    <x v="81"/>
    <x v="1"/>
    <x v="1"/>
    <x v="0"/>
    <x v="0"/>
    <x v="6"/>
    <x v="0"/>
    <x v="4"/>
    <x v="1"/>
    <x v="1"/>
    <x v="0"/>
    <x v="4"/>
    <x v="3"/>
    <x v="2"/>
    <x v="25"/>
    <x v="0"/>
    <x v="0"/>
    <x v="0"/>
    <x v="0"/>
    <x v="0"/>
    <x v="0"/>
  </r>
  <r>
    <x v="82"/>
    <x v="0"/>
    <x v="0"/>
    <x v="0"/>
    <x v="0"/>
    <x v="6"/>
    <x v="0"/>
    <x v="0"/>
    <x v="3"/>
    <x v="1"/>
    <x v="1"/>
    <x v="2"/>
    <x v="1"/>
    <x v="1"/>
    <x v="11"/>
    <x v="0"/>
    <x v="0"/>
    <x v="1"/>
    <x v="0"/>
    <x v="0"/>
    <x v="0"/>
  </r>
  <r>
    <x v="83"/>
    <x v="1"/>
    <x v="1"/>
    <x v="0"/>
    <x v="0"/>
    <x v="6"/>
    <x v="0"/>
    <x v="4"/>
    <x v="3"/>
    <x v="0"/>
    <x v="0"/>
    <x v="4"/>
    <x v="0"/>
    <x v="2"/>
    <x v="11"/>
    <x v="0"/>
    <x v="0"/>
    <x v="1"/>
    <x v="0"/>
    <x v="0"/>
    <x v="0"/>
  </r>
  <r>
    <x v="84"/>
    <x v="0"/>
    <x v="0"/>
    <x v="1"/>
    <x v="1"/>
    <x v="6"/>
    <x v="0"/>
    <x v="0"/>
    <x v="0"/>
    <x v="0"/>
    <x v="1"/>
    <x v="2"/>
    <x v="1"/>
    <x v="1"/>
    <x v="11"/>
    <x v="0"/>
    <x v="0"/>
    <x v="1"/>
    <x v="0"/>
    <x v="0"/>
    <x v="0"/>
  </r>
  <r>
    <x v="85"/>
    <x v="0"/>
    <x v="0"/>
    <x v="1"/>
    <x v="1"/>
    <x v="6"/>
    <x v="0"/>
    <x v="4"/>
    <x v="1"/>
    <x v="1"/>
    <x v="1"/>
    <x v="1"/>
    <x v="4"/>
    <x v="2"/>
    <x v="11"/>
    <x v="0"/>
    <x v="0"/>
    <x v="0"/>
    <x v="0"/>
    <x v="0"/>
    <x v="0"/>
  </r>
  <r>
    <x v="86"/>
    <x v="0"/>
    <x v="0"/>
    <x v="0"/>
    <x v="0"/>
    <x v="6"/>
    <x v="0"/>
    <x v="0"/>
    <x v="0"/>
    <x v="0"/>
    <x v="1"/>
    <x v="2"/>
    <x v="4"/>
    <x v="1"/>
    <x v="12"/>
    <x v="0"/>
    <x v="0"/>
    <x v="0"/>
    <x v="0"/>
    <x v="0"/>
    <x v="0"/>
  </r>
  <r>
    <x v="87"/>
    <x v="0"/>
    <x v="0"/>
    <x v="1"/>
    <x v="1"/>
    <x v="6"/>
    <x v="0"/>
    <x v="5"/>
    <x v="3"/>
    <x v="1"/>
    <x v="1"/>
    <x v="2"/>
    <x v="1"/>
    <x v="1"/>
    <x v="12"/>
    <x v="0"/>
    <x v="0"/>
    <x v="1"/>
    <x v="0"/>
    <x v="0"/>
    <x v="0"/>
  </r>
  <r>
    <x v="88"/>
    <x v="1"/>
    <x v="1"/>
    <x v="0"/>
    <x v="0"/>
    <x v="6"/>
    <x v="0"/>
    <x v="2"/>
    <x v="0"/>
    <x v="0"/>
    <x v="0"/>
    <x v="0"/>
    <x v="3"/>
    <x v="1"/>
    <x v="6"/>
    <x v="0"/>
    <x v="0"/>
    <x v="1"/>
    <x v="0"/>
    <x v="0"/>
    <x v="0"/>
  </r>
  <r>
    <x v="89"/>
    <x v="1"/>
    <x v="1"/>
    <x v="1"/>
    <x v="1"/>
    <x v="6"/>
    <x v="0"/>
    <x v="2"/>
    <x v="0"/>
    <x v="0"/>
    <x v="0"/>
    <x v="0"/>
    <x v="3"/>
    <x v="1"/>
    <x v="6"/>
    <x v="0"/>
    <x v="0"/>
    <x v="1"/>
    <x v="0"/>
    <x v="0"/>
    <x v="0"/>
  </r>
  <r>
    <x v="90"/>
    <x v="0"/>
    <x v="0"/>
    <x v="0"/>
    <x v="0"/>
    <x v="6"/>
    <x v="0"/>
    <x v="5"/>
    <x v="0"/>
    <x v="0"/>
    <x v="1"/>
    <x v="2"/>
    <x v="3"/>
    <x v="1"/>
    <x v="14"/>
    <x v="0"/>
    <x v="0"/>
    <x v="1"/>
    <x v="0"/>
    <x v="0"/>
    <x v="0"/>
  </r>
  <r>
    <x v="91"/>
    <x v="1"/>
    <x v="1"/>
    <x v="1"/>
    <x v="1"/>
    <x v="6"/>
    <x v="0"/>
    <x v="4"/>
    <x v="0"/>
    <x v="0"/>
    <x v="0"/>
    <x v="2"/>
    <x v="3"/>
    <x v="1"/>
    <x v="14"/>
    <x v="0"/>
    <x v="0"/>
    <x v="1"/>
    <x v="0"/>
    <x v="0"/>
    <x v="0"/>
  </r>
  <r>
    <x v="92"/>
    <x v="0"/>
    <x v="0"/>
    <x v="0"/>
    <x v="0"/>
    <x v="6"/>
    <x v="0"/>
    <x v="0"/>
    <x v="3"/>
    <x v="0"/>
    <x v="1"/>
    <x v="4"/>
    <x v="2"/>
    <x v="2"/>
    <x v="27"/>
    <x v="0"/>
    <x v="0"/>
    <x v="1"/>
    <x v="0"/>
    <x v="0"/>
    <x v="0"/>
  </r>
  <r>
    <x v="93"/>
    <x v="1"/>
    <x v="1"/>
    <x v="1"/>
    <x v="1"/>
    <x v="6"/>
    <x v="0"/>
    <x v="2"/>
    <x v="3"/>
    <x v="1"/>
    <x v="0"/>
    <x v="0"/>
    <x v="1"/>
    <x v="2"/>
    <x v="27"/>
    <x v="0"/>
    <x v="0"/>
    <x v="0"/>
    <x v="0"/>
    <x v="0"/>
    <x v="0"/>
  </r>
  <r>
    <x v="94"/>
    <x v="0"/>
    <x v="0"/>
    <x v="1"/>
    <x v="1"/>
    <x v="6"/>
    <x v="0"/>
    <x v="2"/>
    <x v="3"/>
    <x v="1"/>
    <x v="1"/>
    <x v="0"/>
    <x v="4"/>
    <x v="2"/>
    <x v="4"/>
    <x v="0"/>
    <x v="0"/>
    <x v="1"/>
    <x v="0"/>
    <x v="0"/>
    <x v="0"/>
  </r>
  <r>
    <x v="95"/>
    <x v="1"/>
    <x v="1"/>
    <x v="1"/>
    <x v="1"/>
    <x v="6"/>
    <x v="0"/>
    <x v="1"/>
    <x v="3"/>
    <x v="0"/>
    <x v="1"/>
    <x v="4"/>
    <x v="0"/>
    <x v="2"/>
    <x v="4"/>
    <x v="0"/>
    <x v="0"/>
    <x v="0"/>
    <x v="0"/>
    <x v="0"/>
    <x v="0"/>
  </r>
  <r>
    <x v="96"/>
    <x v="1"/>
    <x v="1"/>
    <x v="0"/>
    <x v="0"/>
    <x v="6"/>
    <x v="0"/>
    <x v="2"/>
    <x v="3"/>
    <x v="1"/>
    <x v="1"/>
    <x v="2"/>
    <x v="4"/>
    <x v="2"/>
    <x v="0"/>
    <x v="0"/>
    <x v="0"/>
    <x v="1"/>
    <x v="0"/>
    <x v="0"/>
    <x v="0"/>
  </r>
  <r>
    <x v="97"/>
    <x v="1"/>
    <x v="1"/>
    <x v="1"/>
    <x v="1"/>
    <x v="6"/>
    <x v="0"/>
    <x v="2"/>
    <x v="3"/>
    <x v="1"/>
    <x v="0"/>
    <x v="0"/>
    <x v="1"/>
    <x v="2"/>
    <x v="0"/>
    <x v="0"/>
    <x v="0"/>
    <x v="1"/>
    <x v="0"/>
    <x v="0"/>
    <x v="0"/>
  </r>
  <r>
    <x v="98"/>
    <x v="1"/>
    <x v="1"/>
    <x v="0"/>
    <x v="0"/>
    <x v="6"/>
    <x v="0"/>
    <x v="5"/>
    <x v="0"/>
    <x v="1"/>
    <x v="1"/>
    <x v="2"/>
    <x v="2"/>
    <x v="0"/>
    <x v="28"/>
    <x v="0"/>
    <x v="1"/>
    <x v="1"/>
    <x v="0"/>
    <x v="0"/>
    <x v="0"/>
  </r>
  <r>
    <x v="99"/>
    <x v="1"/>
    <x v="1"/>
    <x v="0"/>
    <x v="0"/>
    <x v="6"/>
    <x v="0"/>
    <x v="5"/>
    <x v="0"/>
    <x v="1"/>
    <x v="0"/>
    <x v="2"/>
    <x v="0"/>
    <x v="0"/>
    <x v="28"/>
    <x v="0"/>
    <x v="1"/>
    <x v="1"/>
    <x v="0"/>
    <x v="0"/>
    <x v="0"/>
  </r>
  <r>
    <x v="100"/>
    <x v="0"/>
    <x v="0"/>
    <x v="0"/>
    <x v="0"/>
    <x v="6"/>
    <x v="0"/>
    <x v="3"/>
    <x v="3"/>
    <x v="1"/>
    <x v="1"/>
    <x v="2"/>
    <x v="2"/>
    <x v="0"/>
    <x v="19"/>
    <x v="0"/>
    <x v="1"/>
    <x v="1"/>
    <x v="0"/>
    <x v="0"/>
    <x v="0"/>
  </r>
  <r>
    <x v="101"/>
    <x v="0"/>
    <x v="0"/>
    <x v="1"/>
    <x v="1"/>
    <x v="6"/>
    <x v="0"/>
    <x v="5"/>
    <x v="4"/>
    <x v="0"/>
    <x v="1"/>
    <x v="1"/>
    <x v="2"/>
    <x v="0"/>
    <x v="19"/>
    <x v="0"/>
    <x v="1"/>
    <x v="0"/>
    <x v="0"/>
    <x v="0"/>
    <x v="0"/>
  </r>
  <r>
    <x v="102"/>
    <x v="0"/>
    <x v="0"/>
    <x v="1"/>
    <x v="1"/>
    <x v="6"/>
    <x v="0"/>
    <x v="3"/>
    <x v="1"/>
    <x v="1"/>
    <x v="1"/>
    <x v="0"/>
    <x v="3"/>
    <x v="1"/>
    <x v="33"/>
    <x v="0"/>
    <x v="1"/>
    <x v="1"/>
    <x v="0"/>
    <x v="0"/>
    <x v="0"/>
  </r>
  <r>
    <x v="103"/>
    <x v="1"/>
    <x v="1"/>
    <x v="1"/>
    <x v="1"/>
    <x v="6"/>
    <x v="0"/>
    <x v="2"/>
    <x v="1"/>
    <x v="1"/>
    <x v="1"/>
    <x v="0"/>
    <x v="4"/>
    <x v="1"/>
    <x v="34"/>
    <x v="0"/>
    <x v="1"/>
    <x v="0"/>
    <x v="0"/>
    <x v="0"/>
    <x v="0"/>
  </r>
  <r>
    <x v="104"/>
    <x v="0"/>
    <x v="0"/>
    <x v="1"/>
    <x v="1"/>
    <x v="6"/>
    <x v="0"/>
    <x v="1"/>
    <x v="1"/>
    <x v="1"/>
    <x v="0"/>
    <x v="4"/>
    <x v="3"/>
    <x v="2"/>
    <x v="35"/>
    <x v="0"/>
    <x v="1"/>
    <x v="0"/>
    <x v="0"/>
    <x v="0"/>
    <x v="0"/>
  </r>
  <r>
    <x v="105"/>
    <x v="1"/>
    <x v="1"/>
    <x v="1"/>
    <x v="1"/>
    <x v="7"/>
    <x v="0"/>
    <x v="4"/>
    <x v="3"/>
    <x v="0"/>
    <x v="0"/>
    <x v="0"/>
    <x v="2"/>
    <x v="2"/>
    <x v="24"/>
    <x v="0"/>
    <x v="0"/>
    <x v="0"/>
    <x v="0"/>
    <x v="0"/>
    <x v="0"/>
  </r>
  <r>
    <x v="106"/>
    <x v="1"/>
    <x v="1"/>
    <x v="1"/>
    <x v="1"/>
    <x v="7"/>
    <x v="0"/>
    <x v="4"/>
    <x v="3"/>
    <x v="0"/>
    <x v="0"/>
    <x v="2"/>
    <x v="2"/>
    <x v="2"/>
    <x v="32"/>
    <x v="0"/>
    <x v="0"/>
    <x v="0"/>
    <x v="0"/>
    <x v="0"/>
    <x v="0"/>
  </r>
  <r>
    <x v="107"/>
    <x v="0"/>
    <x v="0"/>
    <x v="0"/>
    <x v="0"/>
    <x v="7"/>
    <x v="0"/>
    <x v="3"/>
    <x v="3"/>
    <x v="0"/>
    <x v="0"/>
    <x v="1"/>
    <x v="1"/>
    <x v="2"/>
    <x v="9"/>
    <x v="0"/>
    <x v="0"/>
    <x v="0"/>
    <x v="0"/>
    <x v="0"/>
    <x v="0"/>
  </r>
  <r>
    <x v="108"/>
    <x v="1"/>
    <x v="1"/>
    <x v="0"/>
    <x v="0"/>
    <x v="7"/>
    <x v="0"/>
    <x v="4"/>
    <x v="3"/>
    <x v="0"/>
    <x v="0"/>
    <x v="2"/>
    <x v="2"/>
    <x v="2"/>
    <x v="9"/>
    <x v="0"/>
    <x v="0"/>
    <x v="1"/>
    <x v="0"/>
    <x v="0"/>
    <x v="0"/>
  </r>
  <r>
    <x v="109"/>
    <x v="1"/>
    <x v="1"/>
    <x v="0"/>
    <x v="0"/>
    <x v="7"/>
    <x v="0"/>
    <x v="2"/>
    <x v="1"/>
    <x v="1"/>
    <x v="1"/>
    <x v="1"/>
    <x v="1"/>
    <x v="2"/>
    <x v="9"/>
    <x v="0"/>
    <x v="0"/>
    <x v="0"/>
    <x v="0"/>
    <x v="0"/>
    <x v="0"/>
  </r>
  <r>
    <x v="110"/>
    <x v="1"/>
    <x v="1"/>
    <x v="0"/>
    <x v="0"/>
    <x v="7"/>
    <x v="0"/>
    <x v="3"/>
    <x v="3"/>
    <x v="0"/>
    <x v="0"/>
    <x v="1"/>
    <x v="1"/>
    <x v="2"/>
    <x v="9"/>
    <x v="0"/>
    <x v="0"/>
    <x v="0"/>
    <x v="0"/>
    <x v="0"/>
    <x v="0"/>
  </r>
  <r>
    <x v="111"/>
    <x v="1"/>
    <x v="1"/>
    <x v="1"/>
    <x v="1"/>
    <x v="7"/>
    <x v="0"/>
    <x v="3"/>
    <x v="2"/>
    <x v="2"/>
    <x v="1"/>
    <x v="1"/>
    <x v="1"/>
    <x v="0"/>
    <x v="9"/>
    <x v="0"/>
    <x v="0"/>
    <x v="0"/>
    <x v="0"/>
    <x v="0"/>
    <x v="0"/>
  </r>
  <r>
    <x v="112"/>
    <x v="0"/>
    <x v="0"/>
    <x v="0"/>
    <x v="0"/>
    <x v="7"/>
    <x v="0"/>
    <x v="2"/>
    <x v="1"/>
    <x v="1"/>
    <x v="1"/>
    <x v="1"/>
    <x v="1"/>
    <x v="2"/>
    <x v="5"/>
    <x v="0"/>
    <x v="0"/>
    <x v="0"/>
    <x v="0"/>
    <x v="0"/>
    <x v="0"/>
  </r>
  <r>
    <x v="113"/>
    <x v="0"/>
    <x v="0"/>
    <x v="1"/>
    <x v="1"/>
    <x v="7"/>
    <x v="0"/>
    <x v="0"/>
    <x v="3"/>
    <x v="0"/>
    <x v="1"/>
    <x v="1"/>
    <x v="3"/>
    <x v="2"/>
    <x v="10"/>
    <x v="0"/>
    <x v="0"/>
    <x v="0"/>
    <x v="0"/>
    <x v="0"/>
    <x v="0"/>
  </r>
  <r>
    <x v="114"/>
    <x v="1"/>
    <x v="1"/>
    <x v="1"/>
    <x v="1"/>
    <x v="7"/>
    <x v="0"/>
    <x v="0"/>
    <x v="3"/>
    <x v="1"/>
    <x v="1"/>
    <x v="4"/>
    <x v="3"/>
    <x v="1"/>
    <x v="10"/>
    <x v="0"/>
    <x v="0"/>
    <x v="0"/>
    <x v="0"/>
    <x v="0"/>
    <x v="0"/>
  </r>
  <r>
    <x v="115"/>
    <x v="1"/>
    <x v="1"/>
    <x v="1"/>
    <x v="1"/>
    <x v="7"/>
    <x v="0"/>
    <x v="0"/>
    <x v="3"/>
    <x v="1"/>
    <x v="1"/>
    <x v="4"/>
    <x v="3"/>
    <x v="1"/>
    <x v="10"/>
    <x v="0"/>
    <x v="0"/>
    <x v="0"/>
    <x v="0"/>
    <x v="0"/>
    <x v="0"/>
  </r>
  <r>
    <x v="116"/>
    <x v="0"/>
    <x v="0"/>
    <x v="0"/>
    <x v="0"/>
    <x v="7"/>
    <x v="0"/>
    <x v="1"/>
    <x v="0"/>
    <x v="0"/>
    <x v="1"/>
    <x v="0"/>
    <x v="4"/>
    <x v="1"/>
    <x v="11"/>
    <x v="0"/>
    <x v="0"/>
    <x v="1"/>
    <x v="0"/>
    <x v="0"/>
    <x v="0"/>
  </r>
  <r>
    <x v="117"/>
    <x v="0"/>
    <x v="0"/>
    <x v="1"/>
    <x v="1"/>
    <x v="7"/>
    <x v="0"/>
    <x v="3"/>
    <x v="3"/>
    <x v="0"/>
    <x v="1"/>
    <x v="1"/>
    <x v="3"/>
    <x v="2"/>
    <x v="11"/>
    <x v="0"/>
    <x v="0"/>
    <x v="0"/>
    <x v="0"/>
    <x v="0"/>
    <x v="0"/>
  </r>
  <r>
    <x v="118"/>
    <x v="0"/>
    <x v="0"/>
    <x v="1"/>
    <x v="1"/>
    <x v="7"/>
    <x v="0"/>
    <x v="1"/>
    <x v="0"/>
    <x v="0"/>
    <x v="1"/>
    <x v="0"/>
    <x v="1"/>
    <x v="1"/>
    <x v="12"/>
    <x v="0"/>
    <x v="0"/>
    <x v="1"/>
    <x v="0"/>
    <x v="0"/>
    <x v="0"/>
  </r>
  <r>
    <x v="119"/>
    <x v="1"/>
    <x v="1"/>
    <x v="1"/>
    <x v="1"/>
    <x v="7"/>
    <x v="0"/>
    <x v="4"/>
    <x v="0"/>
    <x v="0"/>
    <x v="0"/>
    <x v="3"/>
    <x v="1"/>
    <x v="1"/>
    <x v="26"/>
    <x v="0"/>
    <x v="0"/>
    <x v="0"/>
    <x v="0"/>
    <x v="0"/>
    <x v="0"/>
  </r>
  <r>
    <x v="120"/>
    <x v="0"/>
    <x v="0"/>
    <x v="0"/>
    <x v="0"/>
    <x v="7"/>
    <x v="0"/>
    <x v="0"/>
    <x v="0"/>
    <x v="0"/>
    <x v="1"/>
    <x v="4"/>
    <x v="3"/>
    <x v="1"/>
    <x v="14"/>
    <x v="0"/>
    <x v="0"/>
    <x v="1"/>
    <x v="0"/>
    <x v="0"/>
    <x v="0"/>
  </r>
  <r>
    <x v="121"/>
    <x v="1"/>
    <x v="1"/>
    <x v="0"/>
    <x v="0"/>
    <x v="7"/>
    <x v="0"/>
    <x v="0"/>
    <x v="2"/>
    <x v="0"/>
    <x v="0"/>
    <x v="0"/>
    <x v="3"/>
    <x v="1"/>
    <x v="14"/>
    <x v="0"/>
    <x v="0"/>
    <x v="0"/>
    <x v="0"/>
    <x v="0"/>
    <x v="0"/>
  </r>
  <r>
    <x v="122"/>
    <x v="0"/>
    <x v="0"/>
    <x v="1"/>
    <x v="1"/>
    <x v="7"/>
    <x v="0"/>
    <x v="0"/>
    <x v="2"/>
    <x v="0"/>
    <x v="1"/>
    <x v="3"/>
    <x v="3"/>
    <x v="1"/>
    <x v="14"/>
    <x v="0"/>
    <x v="0"/>
    <x v="1"/>
    <x v="0"/>
    <x v="0"/>
    <x v="0"/>
  </r>
  <r>
    <x v="123"/>
    <x v="0"/>
    <x v="0"/>
    <x v="0"/>
    <x v="0"/>
    <x v="7"/>
    <x v="0"/>
    <x v="2"/>
    <x v="3"/>
    <x v="0"/>
    <x v="1"/>
    <x v="4"/>
    <x v="0"/>
    <x v="2"/>
    <x v="27"/>
    <x v="0"/>
    <x v="0"/>
    <x v="1"/>
    <x v="0"/>
    <x v="0"/>
    <x v="0"/>
  </r>
  <r>
    <x v="124"/>
    <x v="0"/>
    <x v="0"/>
    <x v="0"/>
    <x v="0"/>
    <x v="7"/>
    <x v="0"/>
    <x v="2"/>
    <x v="3"/>
    <x v="0"/>
    <x v="1"/>
    <x v="4"/>
    <x v="4"/>
    <x v="2"/>
    <x v="4"/>
    <x v="0"/>
    <x v="0"/>
    <x v="0"/>
    <x v="0"/>
    <x v="0"/>
    <x v="0"/>
  </r>
  <r>
    <x v="125"/>
    <x v="0"/>
    <x v="0"/>
    <x v="1"/>
    <x v="1"/>
    <x v="7"/>
    <x v="0"/>
    <x v="1"/>
    <x v="1"/>
    <x v="0"/>
    <x v="1"/>
    <x v="1"/>
    <x v="1"/>
    <x v="1"/>
    <x v="4"/>
    <x v="0"/>
    <x v="0"/>
    <x v="0"/>
    <x v="0"/>
    <x v="0"/>
    <x v="0"/>
  </r>
  <r>
    <x v="126"/>
    <x v="0"/>
    <x v="0"/>
    <x v="1"/>
    <x v="1"/>
    <x v="7"/>
    <x v="0"/>
    <x v="3"/>
    <x v="3"/>
    <x v="0"/>
    <x v="1"/>
    <x v="4"/>
    <x v="0"/>
    <x v="2"/>
    <x v="4"/>
    <x v="0"/>
    <x v="0"/>
    <x v="1"/>
    <x v="0"/>
    <x v="0"/>
    <x v="0"/>
  </r>
  <r>
    <x v="127"/>
    <x v="1"/>
    <x v="1"/>
    <x v="1"/>
    <x v="1"/>
    <x v="7"/>
    <x v="0"/>
    <x v="2"/>
    <x v="3"/>
    <x v="0"/>
    <x v="1"/>
    <x v="4"/>
    <x v="4"/>
    <x v="2"/>
    <x v="4"/>
    <x v="0"/>
    <x v="0"/>
    <x v="0"/>
    <x v="0"/>
    <x v="0"/>
    <x v="0"/>
  </r>
  <r>
    <x v="128"/>
    <x v="1"/>
    <x v="1"/>
    <x v="1"/>
    <x v="1"/>
    <x v="7"/>
    <x v="0"/>
    <x v="3"/>
    <x v="0"/>
    <x v="0"/>
    <x v="1"/>
    <x v="4"/>
    <x v="4"/>
    <x v="1"/>
    <x v="0"/>
    <x v="0"/>
    <x v="0"/>
    <x v="0"/>
    <x v="0"/>
    <x v="0"/>
    <x v="0"/>
  </r>
  <r>
    <x v="129"/>
    <x v="0"/>
    <x v="0"/>
    <x v="1"/>
    <x v="1"/>
    <x v="7"/>
    <x v="0"/>
    <x v="3"/>
    <x v="0"/>
    <x v="0"/>
    <x v="0"/>
    <x v="1"/>
    <x v="0"/>
    <x v="1"/>
    <x v="36"/>
    <x v="0"/>
    <x v="0"/>
    <x v="0"/>
    <x v="0"/>
    <x v="0"/>
    <x v="0"/>
  </r>
  <r>
    <x v="130"/>
    <x v="0"/>
    <x v="0"/>
    <x v="0"/>
    <x v="0"/>
    <x v="7"/>
    <x v="0"/>
    <x v="3"/>
    <x v="2"/>
    <x v="0"/>
    <x v="1"/>
    <x v="4"/>
    <x v="2"/>
    <x v="1"/>
    <x v="7"/>
    <x v="0"/>
    <x v="1"/>
    <x v="0"/>
    <x v="0"/>
    <x v="0"/>
    <x v="0"/>
  </r>
  <r>
    <x v="131"/>
    <x v="1"/>
    <x v="1"/>
    <x v="0"/>
    <x v="0"/>
    <x v="7"/>
    <x v="0"/>
    <x v="5"/>
    <x v="2"/>
    <x v="0"/>
    <x v="0"/>
    <x v="4"/>
    <x v="4"/>
    <x v="0"/>
    <x v="7"/>
    <x v="0"/>
    <x v="1"/>
    <x v="1"/>
    <x v="0"/>
    <x v="0"/>
    <x v="0"/>
  </r>
  <r>
    <x v="132"/>
    <x v="0"/>
    <x v="0"/>
    <x v="0"/>
    <x v="0"/>
    <x v="7"/>
    <x v="0"/>
    <x v="0"/>
    <x v="2"/>
    <x v="0"/>
    <x v="0"/>
    <x v="3"/>
    <x v="4"/>
    <x v="0"/>
    <x v="17"/>
    <x v="0"/>
    <x v="1"/>
    <x v="0"/>
    <x v="0"/>
    <x v="0"/>
    <x v="0"/>
  </r>
  <r>
    <x v="133"/>
    <x v="1"/>
    <x v="1"/>
    <x v="0"/>
    <x v="0"/>
    <x v="7"/>
    <x v="0"/>
    <x v="0"/>
    <x v="2"/>
    <x v="1"/>
    <x v="0"/>
    <x v="0"/>
    <x v="0"/>
    <x v="0"/>
    <x v="28"/>
    <x v="0"/>
    <x v="1"/>
    <x v="1"/>
    <x v="0"/>
    <x v="0"/>
    <x v="0"/>
  </r>
  <r>
    <x v="134"/>
    <x v="0"/>
    <x v="0"/>
    <x v="1"/>
    <x v="1"/>
    <x v="7"/>
    <x v="0"/>
    <x v="0"/>
    <x v="2"/>
    <x v="1"/>
    <x v="1"/>
    <x v="0"/>
    <x v="0"/>
    <x v="0"/>
    <x v="28"/>
    <x v="0"/>
    <x v="1"/>
    <x v="0"/>
    <x v="0"/>
    <x v="0"/>
    <x v="0"/>
  </r>
  <r>
    <x v="135"/>
    <x v="0"/>
    <x v="0"/>
    <x v="0"/>
    <x v="0"/>
    <x v="7"/>
    <x v="0"/>
    <x v="0"/>
    <x v="4"/>
    <x v="3"/>
    <x v="1"/>
    <x v="2"/>
    <x v="2"/>
    <x v="0"/>
    <x v="18"/>
    <x v="0"/>
    <x v="1"/>
    <x v="1"/>
    <x v="0"/>
    <x v="0"/>
    <x v="0"/>
  </r>
  <r>
    <x v="136"/>
    <x v="0"/>
    <x v="0"/>
    <x v="1"/>
    <x v="1"/>
    <x v="7"/>
    <x v="0"/>
    <x v="0"/>
    <x v="2"/>
    <x v="1"/>
    <x v="1"/>
    <x v="0"/>
    <x v="0"/>
    <x v="0"/>
    <x v="18"/>
    <x v="0"/>
    <x v="1"/>
    <x v="0"/>
    <x v="0"/>
    <x v="0"/>
    <x v="0"/>
  </r>
  <r>
    <x v="137"/>
    <x v="0"/>
    <x v="0"/>
    <x v="0"/>
    <x v="0"/>
    <x v="7"/>
    <x v="0"/>
    <x v="1"/>
    <x v="4"/>
    <x v="3"/>
    <x v="1"/>
    <x v="3"/>
    <x v="2"/>
    <x v="0"/>
    <x v="19"/>
    <x v="0"/>
    <x v="1"/>
    <x v="1"/>
    <x v="0"/>
    <x v="0"/>
    <x v="0"/>
  </r>
  <r>
    <x v="138"/>
    <x v="1"/>
    <x v="1"/>
    <x v="0"/>
    <x v="0"/>
    <x v="7"/>
    <x v="0"/>
    <x v="1"/>
    <x v="0"/>
    <x v="0"/>
    <x v="1"/>
    <x v="3"/>
    <x v="2"/>
    <x v="0"/>
    <x v="29"/>
    <x v="0"/>
    <x v="1"/>
    <x v="1"/>
    <x v="0"/>
    <x v="0"/>
    <x v="0"/>
  </r>
  <r>
    <x v="139"/>
    <x v="1"/>
    <x v="1"/>
    <x v="1"/>
    <x v="1"/>
    <x v="7"/>
    <x v="0"/>
    <x v="1"/>
    <x v="0"/>
    <x v="0"/>
    <x v="0"/>
    <x v="3"/>
    <x v="2"/>
    <x v="0"/>
    <x v="29"/>
    <x v="0"/>
    <x v="1"/>
    <x v="1"/>
    <x v="0"/>
    <x v="0"/>
    <x v="0"/>
  </r>
  <r>
    <x v="140"/>
    <x v="1"/>
    <x v="1"/>
    <x v="1"/>
    <x v="1"/>
    <x v="7"/>
    <x v="0"/>
    <x v="1"/>
    <x v="0"/>
    <x v="0"/>
    <x v="0"/>
    <x v="3"/>
    <x v="4"/>
    <x v="0"/>
    <x v="29"/>
    <x v="0"/>
    <x v="1"/>
    <x v="0"/>
    <x v="0"/>
    <x v="0"/>
    <x v="0"/>
  </r>
  <r>
    <x v="141"/>
    <x v="0"/>
    <x v="0"/>
    <x v="0"/>
    <x v="0"/>
    <x v="7"/>
    <x v="0"/>
    <x v="1"/>
    <x v="3"/>
    <x v="1"/>
    <x v="1"/>
    <x v="3"/>
    <x v="3"/>
    <x v="1"/>
    <x v="37"/>
    <x v="0"/>
    <x v="1"/>
    <x v="0"/>
    <x v="0"/>
    <x v="0"/>
    <x v="0"/>
  </r>
  <r>
    <x v="142"/>
    <x v="0"/>
    <x v="0"/>
    <x v="0"/>
    <x v="0"/>
    <x v="7"/>
    <x v="0"/>
    <x v="1"/>
    <x v="3"/>
    <x v="1"/>
    <x v="1"/>
    <x v="3"/>
    <x v="3"/>
    <x v="1"/>
    <x v="2"/>
    <x v="0"/>
    <x v="1"/>
    <x v="0"/>
    <x v="0"/>
    <x v="0"/>
    <x v="0"/>
  </r>
  <r>
    <x v="143"/>
    <x v="1"/>
    <x v="1"/>
    <x v="1"/>
    <x v="1"/>
    <x v="7"/>
    <x v="0"/>
    <x v="0"/>
    <x v="1"/>
    <x v="1"/>
    <x v="1"/>
    <x v="4"/>
    <x v="0"/>
    <x v="1"/>
    <x v="34"/>
    <x v="0"/>
    <x v="1"/>
    <x v="1"/>
    <x v="0"/>
    <x v="0"/>
    <x v="0"/>
  </r>
  <r>
    <x v="144"/>
    <x v="0"/>
    <x v="0"/>
    <x v="1"/>
    <x v="1"/>
    <x v="8"/>
    <x v="0"/>
    <x v="4"/>
    <x v="3"/>
    <x v="0"/>
    <x v="1"/>
    <x v="3"/>
    <x v="2"/>
    <x v="2"/>
    <x v="38"/>
    <x v="0"/>
    <x v="2"/>
    <x v="0"/>
    <x v="0"/>
    <x v="0"/>
    <x v="0"/>
  </r>
  <r>
    <x v="145"/>
    <x v="0"/>
    <x v="0"/>
    <x v="1"/>
    <x v="1"/>
    <x v="8"/>
    <x v="0"/>
    <x v="4"/>
    <x v="3"/>
    <x v="0"/>
    <x v="1"/>
    <x v="0"/>
    <x v="2"/>
    <x v="2"/>
    <x v="39"/>
    <x v="0"/>
    <x v="0"/>
    <x v="1"/>
    <x v="0"/>
    <x v="0"/>
    <x v="0"/>
  </r>
  <r>
    <x v="146"/>
    <x v="1"/>
    <x v="1"/>
    <x v="0"/>
    <x v="0"/>
    <x v="8"/>
    <x v="0"/>
    <x v="4"/>
    <x v="3"/>
    <x v="0"/>
    <x v="0"/>
    <x v="0"/>
    <x v="2"/>
    <x v="2"/>
    <x v="8"/>
    <x v="0"/>
    <x v="0"/>
    <x v="1"/>
    <x v="0"/>
    <x v="0"/>
    <x v="0"/>
  </r>
  <r>
    <x v="147"/>
    <x v="0"/>
    <x v="0"/>
    <x v="0"/>
    <x v="0"/>
    <x v="8"/>
    <x v="0"/>
    <x v="4"/>
    <x v="3"/>
    <x v="0"/>
    <x v="1"/>
    <x v="0"/>
    <x v="2"/>
    <x v="2"/>
    <x v="23"/>
    <x v="0"/>
    <x v="0"/>
    <x v="1"/>
    <x v="0"/>
    <x v="0"/>
    <x v="0"/>
  </r>
  <r>
    <x v="148"/>
    <x v="1"/>
    <x v="1"/>
    <x v="0"/>
    <x v="0"/>
    <x v="8"/>
    <x v="0"/>
    <x v="4"/>
    <x v="3"/>
    <x v="0"/>
    <x v="1"/>
    <x v="0"/>
    <x v="2"/>
    <x v="2"/>
    <x v="23"/>
    <x v="0"/>
    <x v="0"/>
    <x v="1"/>
    <x v="0"/>
    <x v="0"/>
    <x v="0"/>
  </r>
  <r>
    <x v="149"/>
    <x v="1"/>
    <x v="1"/>
    <x v="1"/>
    <x v="1"/>
    <x v="8"/>
    <x v="0"/>
    <x v="4"/>
    <x v="3"/>
    <x v="0"/>
    <x v="1"/>
    <x v="0"/>
    <x v="2"/>
    <x v="2"/>
    <x v="23"/>
    <x v="0"/>
    <x v="0"/>
    <x v="1"/>
    <x v="0"/>
    <x v="0"/>
    <x v="0"/>
  </r>
  <r>
    <x v="150"/>
    <x v="1"/>
    <x v="1"/>
    <x v="0"/>
    <x v="0"/>
    <x v="8"/>
    <x v="0"/>
    <x v="4"/>
    <x v="3"/>
    <x v="0"/>
    <x v="0"/>
    <x v="0"/>
    <x v="2"/>
    <x v="2"/>
    <x v="3"/>
    <x v="0"/>
    <x v="0"/>
    <x v="1"/>
    <x v="0"/>
    <x v="0"/>
    <x v="0"/>
  </r>
  <r>
    <x v="151"/>
    <x v="1"/>
    <x v="1"/>
    <x v="1"/>
    <x v="1"/>
    <x v="8"/>
    <x v="0"/>
    <x v="4"/>
    <x v="3"/>
    <x v="0"/>
    <x v="0"/>
    <x v="0"/>
    <x v="2"/>
    <x v="2"/>
    <x v="3"/>
    <x v="0"/>
    <x v="0"/>
    <x v="0"/>
    <x v="0"/>
    <x v="0"/>
    <x v="0"/>
  </r>
  <r>
    <x v="152"/>
    <x v="0"/>
    <x v="0"/>
    <x v="0"/>
    <x v="0"/>
    <x v="8"/>
    <x v="0"/>
    <x v="4"/>
    <x v="3"/>
    <x v="1"/>
    <x v="1"/>
    <x v="4"/>
    <x v="3"/>
    <x v="1"/>
    <x v="24"/>
    <x v="0"/>
    <x v="0"/>
    <x v="0"/>
    <x v="0"/>
    <x v="0"/>
    <x v="0"/>
  </r>
  <r>
    <x v="153"/>
    <x v="0"/>
    <x v="0"/>
    <x v="0"/>
    <x v="0"/>
    <x v="8"/>
    <x v="0"/>
    <x v="4"/>
    <x v="3"/>
    <x v="1"/>
    <x v="1"/>
    <x v="4"/>
    <x v="3"/>
    <x v="1"/>
    <x v="24"/>
    <x v="0"/>
    <x v="0"/>
    <x v="0"/>
    <x v="0"/>
    <x v="0"/>
    <x v="0"/>
  </r>
  <r>
    <x v="154"/>
    <x v="1"/>
    <x v="1"/>
    <x v="0"/>
    <x v="0"/>
    <x v="8"/>
    <x v="0"/>
    <x v="4"/>
    <x v="3"/>
    <x v="1"/>
    <x v="1"/>
    <x v="4"/>
    <x v="3"/>
    <x v="1"/>
    <x v="24"/>
    <x v="0"/>
    <x v="0"/>
    <x v="0"/>
    <x v="0"/>
    <x v="0"/>
    <x v="0"/>
  </r>
  <r>
    <x v="155"/>
    <x v="1"/>
    <x v="1"/>
    <x v="0"/>
    <x v="0"/>
    <x v="8"/>
    <x v="0"/>
    <x v="4"/>
    <x v="3"/>
    <x v="0"/>
    <x v="1"/>
    <x v="2"/>
    <x v="2"/>
    <x v="2"/>
    <x v="32"/>
    <x v="0"/>
    <x v="0"/>
    <x v="1"/>
    <x v="0"/>
    <x v="0"/>
    <x v="0"/>
  </r>
  <r>
    <x v="156"/>
    <x v="1"/>
    <x v="1"/>
    <x v="1"/>
    <x v="1"/>
    <x v="8"/>
    <x v="0"/>
    <x v="4"/>
    <x v="3"/>
    <x v="0"/>
    <x v="0"/>
    <x v="2"/>
    <x v="2"/>
    <x v="2"/>
    <x v="32"/>
    <x v="0"/>
    <x v="0"/>
    <x v="1"/>
    <x v="0"/>
    <x v="0"/>
    <x v="0"/>
  </r>
  <r>
    <x v="157"/>
    <x v="0"/>
    <x v="0"/>
    <x v="0"/>
    <x v="0"/>
    <x v="8"/>
    <x v="0"/>
    <x v="5"/>
    <x v="1"/>
    <x v="0"/>
    <x v="1"/>
    <x v="1"/>
    <x v="1"/>
    <x v="1"/>
    <x v="9"/>
    <x v="0"/>
    <x v="0"/>
    <x v="0"/>
    <x v="0"/>
    <x v="0"/>
    <x v="0"/>
  </r>
  <r>
    <x v="158"/>
    <x v="0"/>
    <x v="0"/>
    <x v="0"/>
    <x v="0"/>
    <x v="8"/>
    <x v="0"/>
    <x v="0"/>
    <x v="1"/>
    <x v="1"/>
    <x v="1"/>
    <x v="4"/>
    <x v="1"/>
    <x v="2"/>
    <x v="9"/>
    <x v="0"/>
    <x v="0"/>
    <x v="1"/>
    <x v="0"/>
    <x v="0"/>
    <x v="0"/>
  </r>
  <r>
    <x v="159"/>
    <x v="1"/>
    <x v="1"/>
    <x v="0"/>
    <x v="0"/>
    <x v="8"/>
    <x v="0"/>
    <x v="5"/>
    <x v="1"/>
    <x v="0"/>
    <x v="0"/>
    <x v="1"/>
    <x v="1"/>
    <x v="1"/>
    <x v="9"/>
    <x v="0"/>
    <x v="0"/>
    <x v="0"/>
    <x v="0"/>
    <x v="0"/>
    <x v="0"/>
  </r>
  <r>
    <x v="160"/>
    <x v="0"/>
    <x v="0"/>
    <x v="1"/>
    <x v="1"/>
    <x v="8"/>
    <x v="0"/>
    <x v="0"/>
    <x v="1"/>
    <x v="1"/>
    <x v="1"/>
    <x v="4"/>
    <x v="1"/>
    <x v="2"/>
    <x v="9"/>
    <x v="0"/>
    <x v="0"/>
    <x v="0"/>
    <x v="0"/>
    <x v="0"/>
    <x v="0"/>
  </r>
  <r>
    <x v="161"/>
    <x v="1"/>
    <x v="1"/>
    <x v="1"/>
    <x v="1"/>
    <x v="8"/>
    <x v="0"/>
    <x v="0"/>
    <x v="1"/>
    <x v="1"/>
    <x v="1"/>
    <x v="1"/>
    <x v="1"/>
    <x v="2"/>
    <x v="9"/>
    <x v="0"/>
    <x v="0"/>
    <x v="0"/>
    <x v="0"/>
    <x v="0"/>
    <x v="0"/>
  </r>
  <r>
    <x v="162"/>
    <x v="1"/>
    <x v="1"/>
    <x v="0"/>
    <x v="0"/>
    <x v="8"/>
    <x v="0"/>
    <x v="5"/>
    <x v="1"/>
    <x v="0"/>
    <x v="1"/>
    <x v="1"/>
    <x v="1"/>
    <x v="1"/>
    <x v="5"/>
    <x v="0"/>
    <x v="0"/>
    <x v="0"/>
    <x v="0"/>
    <x v="0"/>
    <x v="0"/>
  </r>
  <r>
    <x v="163"/>
    <x v="0"/>
    <x v="0"/>
    <x v="1"/>
    <x v="1"/>
    <x v="8"/>
    <x v="0"/>
    <x v="3"/>
    <x v="1"/>
    <x v="0"/>
    <x v="1"/>
    <x v="1"/>
    <x v="1"/>
    <x v="1"/>
    <x v="5"/>
    <x v="0"/>
    <x v="0"/>
    <x v="0"/>
    <x v="0"/>
    <x v="0"/>
    <x v="0"/>
  </r>
  <r>
    <x v="164"/>
    <x v="1"/>
    <x v="1"/>
    <x v="0"/>
    <x v="0"/>
    <x v="8"/>
    <x v="0"/>
    <x v="1"/>
    <x v="3"/>
    <x v="0"/>
    <x v="1"/>
    <x v="2"/>
    <x v="3"/>
    <x v="2"/>
    <x v="10"/>
    <x v="0"/>
    <x v="0"/>
    <x v="1"/>
    <x v="0"/>
    <x v="0"/>
    <x v="0"/>
  </r>
  <r>
    <x v="165"/>
    <x v="1"/>
    <x v="1"/>
    <x v="0"/>
    <x v="0"/>
    <x v="8"/>
    <x v="0"/>
    <x v="4"/>
    <x v="3"/>
    <x v="1"/>
    <x v="0"/>
    <x v="4"/>
    <x v="1"/>
    <x v="1"/>
    <x v="10"/>
    <x v="0"/>
    <x v="0"/>
    <x v="0"/>
    <x v="0"/>
    <x v="0"/>
    <x v="0"/>
  </r>
  <r>
    <x v="166"/>
    <x v="1"/>
    <x v="1"/>
    <x v="1"/>
    <x v="1"/>
    <x v="8"/>
    <x v="0"/>
    <x v="4"/>
    <x v="3"/>
    <x v="1"/>
    <x v="0"/>
    <x v="4"/>
    <x v="1"/>
    <x v="1"/>
    <x v="10"/>
    <x v="0"/>
    <x v="0"/>
    <x v="0"/>
    <x v="0"/>
    <x v="0"/>
    <x v="0"/>
  </r>
  <r>
    <x v="167"/>
    <x v="0"/>
    <x v="0"/>
    <x v="1"/>
    <x v="1"/>
    <x v="8"/>
    <x v="0"/>
    <x v="1"/>
    <x v="1"/>
    <x v="1"/>
    <x v="0"/>
    <x v="3"/>
    <x v="1"/>
    <x v="2"/>
    <x v="25"/>
    <x v="0"/>
    <x v="0"/>
    <x v="1"/>
    <x v="0"/>
    <x v="0"/>
    <x v="0"/>
  </r>
  <r>
    <x v="168"/>
    <x v="0"/>
    <x v="0"/>
    <x v="0"/>
    <x v="0"/>
    <x v="8"/>
    <x v="0"/>
    <x v="1"/>
    <x v="1"/>
    <x v="1"/>
    <x v="1"/>
    <x v="0"/>
    <x v="1"/>
    <x v="2"/>
    <x v="11"/>
    <x v="0"/>
    <x v="0"/>
    <x v="1"/>
    <x v="0"/>
    <x v="0"/>
    <x v="0"/>
  </r>
  <r>
    <x v="169"/>
    <x v="0"/>
    <x v="0"/>
    <x v="0"/>
    <x v="0"/>
    <x v="8"/>
    <x v="0"/>
    <x v="1"/>
    <x v="1"/>
    <x v="1"/>
    <x v="1"/>
    <x v="0"/>
    <x v="1"/>
    <x v="2"/>
    <x v="11"/>
    <x v="0"/>
    <x v="0"/>
    <x v="1"/>
    <x v="0"/>
    <x v="0"/>
    <x v="0"/>
  </r>
  <r>
    <x v="170"/>
    <x v="0"/>
    <x v="0"/>
    <x v="0"/>
    <x v="0"/>
    <x v="8"/>
    <x v="0"/>
    <x v="4"/>
    <x v="1"/>
    <x v="3"/>
    <x v="1"/>
    <x v="1"/>
    <x v="3"/>
    <x v="1"/>
    <x v="11"/>
    <x v="0"/>
    <x v="0"/>
    <x v="0"/>
    <x v="0"/>
    <x v="0"/>
    <x v="0"/>
  </r>
  <r>
    <x v="171"/>
    <x v="1"/>
    <x v="1"/>
    <x v="0"/>
    <x v="0"/>
    <x v="8"/>
    <x v="0"/>
    <x v="5"/>
    <x v="3"/>
    <x v="3"/>
    <x v="1"/>
    <x v="0"/>
    <x v="2"/>
    <x v="1"/>
    <x v="11"/>
    <x v="0"/>
    <x v="0"/>
    <x v="0"/>
    <x v="0"/>
    <x v="0"/>
    <x v="0"/>
  </r>
  <r>
    <x v="172"/>
    <x v="1"/>
    <x v="1"/>
    <x v="0"/>
    <x v="0"/>
    <x v="8"/>
    <x v="0"/>
    <x v="4"/>
    <x v="1"/>
    <x v="3"/>
    <x v="0"/>
    <x v="1"/>
    <x v="1"/>
    <x v="0"/>
    <x v="11"/>
    <x v="0"/>
    <x v="0"/>
    <x v="0"/>
    <x v="0"/>
    <x v="0"/>
    <x v="0"/>
  </r>
  <r>
    <x v="173"/>
    <x v="1"/>
    <x v="1"/>
    <x v="0"/>
    <x v="0"/>
    <x v="8"/>
    <x v="0"/>
    <x v="4"/>
    <x v="1"/>
    <x v="3"/>
    <x v="0"/>
    <x v="1"/>
    <x v="1"/>
    <x v="1"/>
    <x v="11"/>
    <x v="0"/>
    <x v="0"/>
    <x v="1"/>
    <x v="0"/>
    <x v="0"/>
    <x v="0"/>
  </r>
  <r>
    <x v="174"/>
    <x v="0"/>
    <x v="0"/>
    <x v="1"/>
    <x v="1"/>
    <x v="8"/>
    <x v="0"/>
    <x v="1"/>
    <x v="3"/>
    <x v="0"/>
    <x v="1"/>
    <x v="2"/>
    <x v="3"/>
    <x v="2"/>
    <x v="11"/>
    <x v="0"/>
    <x v="0"/>
    <x v="1"/>
    <x v="0"/>
    <x v="0"/>
    <x v="0"/>
  </r>
  <r>
    <x v="175"/>
    <x v="0"/>
    <x v="0"/>
    <x v="1"/>
    <x v="1"/>
    <x v="8"/>
    <x v="0"/>
    <x v="1"/>
    <x v="3"/>
    <x v="0"/>
    <x v="1"/>
    <x v="2"/>
    <x v="3"/>
    <x v="2"/>
    <x v="11"/>
    <x v="0"/>
    <x v="0"/>
    <x v="1"/>
    <x v="0"/>
    <x v="0"/>
    <x v="0"/>
  </r>
  <r>
    <x v="176"/>
    <x v="1"/>
    <x v="1"/>
    <x v="1"/>
    <x v="1"/>
    <x v="8"/>
    <x v="0"/>
    <x v="1"/>
    <x v="1"/>
    <x v="1"/>
    <x v="1"/>
    <x v="0"/>
    <x v="1"/>
    <x v="2"/>
    <x v="11"/>
    <x v="0"/>
    <x v="0"/>
    <x v="1"/>
    <x v="0"/>
    <x v="0"/>
    <x v="0"/>
  </r>
  <r>
    <x v="177"/>
    <x v="1"/>
    <x v="1"/>
    <x v="1"/>
    <x v="1"/>
    <x v="8"/>
    <x v="0"/>
    <x v="5"/>
    <x v="3"/>
    <x v="3"/>
    <x v="1"/>
    <x v="1"/>
    <x v="4"/>
    <x v="1"/>
    <x v="11"/>
    <x v="0"/>
    <x v="0"/>
    <x v="1"/>
    <x v="0"/>
    <x v="0"/>
    <x v="0"/>
  </r>
  <r>
    <x v="178"/>
    <x v="0"/>
    <x v="0"/>
    <x v="0"/>
    <x v="0"/>
    <x v="8"/>
    <x v="0"/>
    <x v="4"/>
    <x v="3"/>
    <x v="0"/>
    <x v="1"/>
    <x v="4"/>
    <x v="3"/>
    <x v="2"/>
    <x v="12"/>
    <x v="0"/>
    <x v="0"/>
    <x v="0"/>
    <x v="0"/>
    <x v="0"/>
    <x v="0"/>
  </r>
  <r>
    <x v="179"/>
    <x v="1"/>
    <x v="1"/>
    <x v="0"/>
    <x v="0"/>
    <x v="8"/>
    <x v="0"/>
    <x v="5"/>
    <x v="3"/>
    <x v="3"/>
    <x v="1"/>
    <x v="4"/>
    <x v="1"/>
    <x v="1"/>
    <x v="12"/>
    <x v="0"/>
    <x v="0"/>
    <x v="0"/>
    <x v="0"/>
    <x v="0"/>
    <x v="0"/>
  </r>
  <r>
    <x v="180"/>
    <x v="1"/>
    <x v="1"/>
    <x v="0"/>
    <x v="0"/>
    <x v="8"/>
    <x v="0"/>
    <x v="5"/>
    <x v="3"/>
    <x v="3"/>
    <x v="1"/>
    <x v="3"/>
    <x v="4"/>
    <x v="1"/>
    <x v="12"/>
    <x v="0"/>
    <x v="0"/>
    <x v="0"/>
    <x v="0"/>
    <x v="0"/>
    <x v="0"/>
  </r>
  <r>
    <x v="181"/>
    <x v="1"/>
    <x v="1"/>
    <x v="0"/>
    <x v="0"/>
    <x v="8"/>
    <x v="0"/>
    <x v="5"/>
    <x v="3"/>
    <x v="3"/>
    <x v="1"/>
    <x v="3"/>
    <x v="4"/>
    <x v="1"/>
    <x v="12"/>
    <x v="0"/>
    <x v="0"/>
    <x v="0"/>
    <x v="0"/>
    <x v="0"/>
    <x v="0"/>
  </r>
  <r>
    <x v="182"/>
    <x v="0"/>
    <x v="0"/>
    <x v="0"/>
    <x v="0"/>
    <x v="8"/>
    <x v="0"/>
    <x v="0"/>
    <x v="3"/>
    <x v="1"/>
    <x v="1"/>
    <x v="1"/>
    <x v="1"/>
    <x v="1"/>
    <x v="13"/>
    <x v="0"/>
    <x v="0"/>
    <x v="1"/>
    <x v="0"/>
    <x v="0"/>
    <x v="0"/>
  </r>
  <r>
    <x v="183"/>
    <x v="0"/>
    <x v="0"/>
    <x v="1"/>
    <x v="1"/>
    <x v="8"/>
    <x v="0"/>
    <x v="0"/>
    <x v="3"/>
    <x v="1"/>
    <x v="1"/>
    <x v="1"/>
    <x v="3"/>
    <x v="1"/>
    <x v="13"/>
    <x v="0"/>
    <x v="0"/>
    <x v="1"/>
    <x v="0"/>
    <x v="0"/>
    <x v="0"/>
  </r>
  <r>
    <x v="184"/>
    <x v="0"/>
    <x v="0"/>
    <x v="1"/>
    <x v="1"/>
    <x v="8"/>
    <x v="0"/>
    <x v="0"/>
    <x v="3"/>
    <x v="1"/>
    <x v="1"/>
    <x v="1"/>
    <x v="1"/>
    <x v="1"/>
    <x v="26"/>
    <x v="0"/>
    <x v="0"/>
    <x v="1"/>
    <x v="0"/>
    <x v="0"/>
    <x v="0"/>
  </r>
  <r>
    <x v="185"/>
    <x v="1"/>
    <x v="1"/>
    <x v="1"/>
    <x v="1"/>
    <x v="8"/>
    <x v="0"/>
    <x v="0"/>
    <x v="0"/>
    <x v="0"/>
    <x v="0"/>
    <x v="3"/>
    <x v="1"/>
    <x v="1"/>
    <x v="26"/>
    <x v="0"/>
    <x v="0"/>
    <x v="1"/>
    <x v="0"/>
    <x v="0"/>
    <x v="0"/>
  </r>
  <r>
    <x v="186"/>
    <x v="1"/>
    <x v="1"/>
    <x v="0"/>
    <x v="0"/>
    <x v="8"/>
    <x v="0"/>
    <x v="1"/>
    <x v="0"/>
    <x v="0"/>
    <x v="1"/>
    <x v="3"/>
    <x v="0"/>
    <x v="1"/>
    <x v="6"/>
    <x v="0"/>
    <x v="0"/>
    <x v="1"/>
    <x v="0"/>
    <x v="0"/>
    <x v="0"/>
  </r>
  <r>
    <x v="187"/>
    <x v="0"/>
    <x v="0"/>
    <x v="1"/>
    <x v="1"/>
    <x v="8"/>
    <x v="0"/>
    <x v="1"/>
    <x v="0"/>
    <x v="0"/>
    <x v="1"/>
    <x v="3"/>
    <x v="1"/>
    <x v="1"/>
    <x v="6"/>
    <x v="0"/>
    <x v="0"/>
    <x v="1"/>
    <x v="0"/>
    <x v="0"/>
    <x v="0"/>
  </r>
  <r>
    <x v="188"/>
    <x v="0"/>
    <x v="0"/>
    <x v="1"/>
    <x v="1"/>
    <x v="8"/>
    <x v="0"/>
    <x v="1"/>
    <x v="0"/>
    <x v="0"/>
    <x v="1"/>
    <x v="0"/>
    <x v="0"/>
    <x v="1"/>
    <x v="14"/>
    <x v="0"/>
    <x v="0"/>
    <x v="1"/>
    <x v="0"/>
    <x v="0"/>
    <x v="0"/>
  </r>
  <r>
    <x v="189"/>
    <x v="0"/>
    <x v="0"/>
    <x v="1"/>
    <x v="1"/>
    <x v="8"/>
    <x v="0"/>
    <x v="1"/>
    <x v="0"/>
    <x v="0"/>
    <x v="1"/>
    <x v="0"/>
    <x v="3"/>
    <x v="1"/>
    <x v="27"/>
    <x v="0"/>
    <x v="0"/>
    <x v="1"/>
    <x v="0"/>
    <x v="0"/>
    <x v="0"/>
  </r>
  <r>
    <x v="190"/>
    <x v="1"/>
    <x v="1"/>
    <x v="0"/>
    <x v="0"/>
    <x v="8"/>
    <x v="0"/>
    <x v="0"/>
    <x v="1"/>
    <x v="3"/>
    <x v="1"/>
    <x v="1"/>
    <x v="3"/>
    <x v="1"/>
    <x v="4"/>
    <x v="0"/>
    <x v="0"/>
    <x v="1"/>
    <x v="0"/>
    <x v="0"/>
    <x v="0"/>
  </r>
  <r>
    <x v="191"/>
    <x v="1"/>
    <x v="1"/>
    <x v="0"/>
    <x v="0"/>
    <x v="8"/>
    <x v="0"/>
    <x v="0"/>
    <x v="1"/>
    <x v="3"/>
    <x v="0"/>
    <x v="1"/>
    <x v="1"/>
    <x v="1"/>
    <x v="4"/>
    <x v="0"/>
    <x v="0"/>
    <x v="1"/>
    <x v="0"/>
    <x v="0"/>
    <x v="0"/>
  </r>
  <r>
    <x v="192"/>
    <x v="1"/>
    <x v="1"/>
    <x v="0"/>
    <x v="0"/>
    <x v="8"/>
    <x v="0"/>
    <x v="1"/>
    <x v="1"/>
    <x v="3"/>
    <x v="0"/>
    <x v="1"/>
    <x v="1"/>
    <x v="1"/>
    <x v="4"/>
    <x v="0"/>
    <x v="0"/>
    <x v="1"/>
    <x v="0"/>
    <x v="0"/>
    <x v="0"/>
  </r>
  <r>
    <x v="193"/>
    <x v="0"/>
    <x v="0"/>
    <x v="1"/>
    <x v="1"/>
    <x v="8"/>
    <x v="0"/>
    <x v="0"/>
    <x v="1"/>
    <x v="3"/>
    <x v="1"/>
    <x v="1"/>
    <x v="3"/>
    <x v="1"/>
    <x v="4"/>
    <x v="0"/>
    <x v="0"/>
    <x v="1"/>
    <x v="0"/>
    <x v="0"/>
    <x v="0"/>
  </r>
  <r>
    <x v="194"/>
    <x v="0"/>
    <x v="0"/>
    <x v="1"/>
    <x v="1"/>
    <x v="8"/>
    <x v="0"/>
    <x v="2"/>
    <x v="0"/>
    <x v="3"/>
    <x v="0"/>
    <x v="4"/>
    <x v="1"/>
    <x v="1"/>
    <x v="4"/>
    <x v="0"/>
    <x v="0"/>
    <x v="0"/>
    <x v="0"/>
    <x v="0"/>
    <x v="0"/>
  </r>
  <r>
    <x v="195"/>
    <x v="0"/>
    <x v="0"/>
    <x v="1"/>
    <x v="1"/>
    <x v="8"/>
    <x v="0"/>
    <x v="1"/>
    <x v="3"/>
    <x v="0"/>
    <x v="0"/>
    <x v="4"/>
    <x v="1"/>
    <x v="2"/>
    <x v="4"/>
    <x v="0"/>
    <x v="0"/>
    <x v="0"/>
    <x v="0"/>
    <x v="0"/>
    <x v="0"/>
  </r>
  <r>
    <x v="196"/>
    <x v="1"/>
    <x v="1"/>
    <x v="1"/>
    <x v="1"/>
    <x v="8"/>
    <x v="0"/>
    <x v="1"/>
    <x v="1"/>
    <x v="3"/>
    <x v="0"/>
    <x v="1"/>
    <x v="1"/>
    <x v="1"/>
    <x v="4"/>
    <x v="0"/>
    <x v="0"/>
    <x v="1"/>
    <x v="0"/>
    <x v="0"/>
    <x v="0"/>
  </r>
  <r>
    <x v="197"/>
    <x v="1"/>
    <x v="1"/>
    <x v="0"/>
    <x v="0"/>
    <x v="8"/>
    <x v="0"/>
    <x v="0"/>
    <x v="1"/>
    <x v="3"/>
    <x v="1"/>
    <x v="1"/>
    <x v="3"/>
    <x v="1"/>
    <x v="0"/>
    <x v="0"/>
    <x v="0"/>
    <x v="1"/>
    <x v="0"/>
    <x v="0"/>
    <x v="0"/>
  </r>
  <r>
    <x v="198"/>
    <x v="1"/>
    <x v="1"/>
    <x v="0"/>
    <x v="0"/>
    <x v="8"/>
    <x v="0"/>
    <x v="0"/>
    <x v="1"/>
    <x v="3"/>
    <x v="0"/>
    <x v="1"/>
    <x v="1"/>
    <x v="1"/>
    <x v="0"/>
    <x v="0"/>
    <x v="0"/>
    <x v="1"/>
    <x v="0"/>
    <x v="0"/>
    <x v="0"/>
  </r>
  <r>
    <x v="199"/>
    <x v="0"/>
    <x v="0"/>
    <x v="1"/>
    <x v="1"/>
    <x v="8"/>
    <x v="0"/>
    <x v="5"/>
    <x v="3"/>
    <x v="0"/>
    <x v="1"/>
    <x v="4"/>
    <x v="4"/>
    <x v="1"/>
    <x v="0"/>
    <x v="0"/>
    <x v="0"/>
    <x v="0"/>
    <x v="0"/>
    <x v="0"/>
    <x v="0"/>
  </r>
  <r>
    <x v="200"/>
    <x v="0"/>
    <x v="0"/>
    <x v="1"/>
    <x v="1"/>
    <x v="8"/>
    <x v="0"/>
    <x v="2"/>
    <x v="0"/>
    <x v="3"/>
    <x v="1"/>
    <x v="4"/>
    <x v="4"/>
    <x v="1"/>
    <x v="0"/>
    <x v="0"/>
    <x v="0"/>
    <x v="0"/>
    <x v="0"/>
    <x v="0"/>
    <x v="0"/>
  </r>
  <r>
    <x v="201"/>
    <x v="1"/>
    <x v="1"/>
    <x v="0"/>
    <x v="0"/>
    <x v="8"/>
    <x v="0"/>
    <x v="3"/>
    <x v="4"/>
    <x v="3"/>
    <x v="1"/>
    <x v="3"/>
    <x v="0"/>
    <x v="1"/>
    <x v="36"/>
    <x v="0"/>
    <x v="0"/>
    <x v="1"/>
    <x v="0"/>
    <x v="0"/>
    <x v="0"/>
  </r>
  <r>
    <x v="202"/>
    <x v="0"/>
    <x v="0"/>
    <x v="1"/>
    <x v="1"/>
    <x v="8"/>
    <x v="0"/>
    <x v="5"/>
    <x v="0"/>
    <x v="0"/>
    <x v="0"/>
    <x v="3"/>
    <x v="1"/>
    <x v="1"/>
    <x v="36"/>
    <x v="0"/>
    <x v="0"/>
    <x v="0"/>
    <x v="0"/>
    <x v="0"/>
    <x v="0"/>
  </r>
  <r>
    <x v="203"/>
    <x v="0"/>
    <x v="0"/>
    <x v="0"/>
    <x v="0"/>
    <x v="8"/>
    <x v="0"/>
    <x v="3"/>
    <x v="2"/>
    <x v="3"/>
    <x v="1"/>
    <x v="3"/>
    <x v="0"/>
    <x v="2"/>
    <x v="15"/>
    <x v="0"/>
    <x v="0"/>
    <x v="0"/>
    <x v="0"/>
    <x v="0"/>
    <x v="0"/>
  </r>
  <r>
    <x v="204"/>
    <x v="1"/>
    <x v="1"/>
    <x v="0"/>
    <x v="0"/>
    <x v="8"/>
    <x v="0"/>
    <x v="3"/>
    <x v="4"/>
    <x v="3"/>
    <x v="0"/>
    <x v="3"/>
    <x v="3"/>
    <x v="1"/>
    <x v="15"/>
    <x v="0"/>
    <x v="0"/>
    <x v="1"/>
    <x v="0"/>
    <x v="0"/>
    <x v="0"/>
  </r>
  <r>
    <x v="205"/>
    <x v="0"/>
    <x v="0"/>
    <x v="1"/>
    <x v="1"/>
    <x v="8"/>
    <x v="0"/>
    <x v="5"/>
    <x v="0"/>
    <x v="0"/>
    <x v="0"/>
    <x v="3"/>
    <x v="4"/>
    <x v="1"/>
    <x v="15"/>
    <x v="0"/>
    <x v="0"/>
    <x v="0"/>
    <x v="0"/>
    <x v="0"/>
    <x v="0"/>
  </r>
  <r>
    <x v="206"/>
    <x v="0"/>
    <x v="0"/>
    <x v="1"/>
    <x v="1"/>
    <x v="8"/>
    <x v="0"/>
    <x v="3"/>
    <x v="2"/>
    <x v="3"/>
    <x v="0"/>
    <x v="3"/>
    <x v="3"/>
    <x v="2"/>
    <x v="15"/>
    <x v="0"/>
    <x v="0"/>
    <x v="0"/>
    <x v="0"/>
    <x v="0"/>
    <x v="0"/>
  </r>
  <r>
    <x v="207"/>
    <x v="1"/>
    <x v="1"/>
    <x v="1"/>
    <x v="1"/>
    <x v="8"/>
    <x v="0"/>
    <x v="3"/>
    <x v="2"/>
    <x v="3"/>
    <x v="0"/>
    <x v="3"/>
    <x v="3"/>
    <x v="2"/>
    <x v="15"/>
    <x v="0"/>
    <x v="0"/>
    <x v="0"/>
    <x v="0"/>
    <x v="0"/>
    <x v="0"/>
  </r>
  <r>
    <x v="208"/>
    <x v="1"/>
    <x v="1"/>
    <x v="1"/>
    <x v="1"/>
    <x v="8"/>
    <x v="0"/>
    <x v="1"/>
    <x v="1"/>
    <x v="1"/>
    <x v="1"/>
    <x v="0"/>
    <x v="1"/>
    <x v="2"/>
    <x v="15"/>
    <x v="0"/>
    <x v="0"/>
    <x v="1"/>
    <x v="0"/>
    <x v="0"/>
    <x v="0"/>
  </r>
  <r>
    <x v="209"/>
    <x v="1"/>
    <x v="1"/>
    <x v="1"/>
    <x v="1"/>
    <x v="8"/>
    <x v="0"/>
    <x v="3"/>
    <x v="4"/>
    <x v="3"/>
    <x v="0"/>
    <x v="3"/>
    <x v="3"/>
    <x v="1"/>
    <x v="15"/>
    <x v="0"/>
    <x v="0"/>
    <x v="1"/>
    <x v="0"/>
    <x v="0"/>
    <x v="0"/>
  </r>
  <r>
    <x v="210"/>
    <x v="1"/>
    <x v="1"/>
    <x v="1"/>
    <x v="1"/>
    <x v="8"/>
    <x v="0"/>
    <x v="5"/>
    <x v="0"/>
    <x v="0"/>
    <x v="0"/>
    <x v="4"/>
    <x v="3"/>
    <x v="1"/>
    <x v="7"/>
    <x v="0"/>
    <x v="1"/>
    <x v="0"/>
    <x v="0"/>
    <x v="0"/>
    <x v="0"/>
  </r>
  <r>
    <x v="211"/>
    <x v="1"/>
    <x v="1"/>
    <x v="0"/>
    <x v="0"/>
    <x v="8"/>
    <x v="0"/>
    <x v="3"/>
    <x v="0"/>
    <x v="3"/>
    <x v="1"/>
    <x v="3"/>
    <x v="0"/>
    <x v="2"/>
    <x v="16"/>
    <x v="0"/>
    <x v="1"/>
    <x v="0"/>
    <x v="0"/>
    <x v="0"/>
    <x v="0"/>
  </r>
  <r>
    <x v="212"/>
    <x v="1"/>
    <x v="1"/>
    <x v="1"/>
    <x v="1"/>
    <x v="8"/>
    <x v="0"/>
    <x v="3"/>
    <x v="4"/>
    <x v="3"/>
    <x v="0"/>
    <x v="3"/>
    <x v="3"/>
    <x v="1"/>
    <x v="16"/>
    <x v="0"/>
    <x v="1"/>
    <x v="1"/>
    <x v="0"/>
    <x v="0"/>
    <x v="0"/>
  </r>
  <r>
    <x v="213"/>
    <x v="0"/>
    <x v="0"/>
    <x v="0"/>
    <x v="0"/>
    <x v="8"/>
    <x v="0"/>
    <x v="0"/>
    <x v="0"/>
    <x v="0"/>
    <x v="0"/>
    <x v="4"/>
    <x v="4"/>
    <x v="0"/>
    <x v="31"/>
    <x v="0"/>
    <x v="1"/>
    <x v="0"/>
    <x v="0"/>
    <x v="0"/>
    <x v="0"/>
  </r>
  <r>
    <x v="214"/>
    <x v="0"/>
    <x v="0"/>
    <x v="0"/>
    <x v="0"/>
    <x v="8"/>
    <x v="0"/>
    <x v="0"/>
    <x v="0"/>
    <x v="0"/>
    <x v="1"/>
    <x v="3"/>
    <x v="4"/>
    <x v="0"/>
    <x v="31"/>
    <x v="0"/>
    <x v="1"/>
    <x v="1"/>
    <x v="0"/>
    <x v="0"/>
    <x v="0"/>
  </r>
  <r>
    <x v="215"/>
    <x v="0"/>
    <x v="0"/>
    <x v="1"/>
    <x v="1"/>
    <x v="8"/>
    <x v="0"/>
    <x v="0"/>
    <x v="0"/>
    <x v="0"/>
    <x v="1"/>
    <x v="3"/>
    <x v="2"/>
    <x v="0"/>
    <x v="31"/>
    <x v="0"/>
    <x v="1"/>
    <x v="1"/>
    <x v="0"/>
    <x v="0"/>
    <x v="0"/>
  </r>
  <r>
    <x v="216"/>
    <x v="0"/>
    <x v="0"/>
    <x v="1"/>
    <x v="1"/>
    <x v="8"/>
    <x v="0"/>
    <x v="0"/>
    <x v="2"/>
    <x v="0"/>
    <x v="1"/>
    <x v="3"/>
    <x v="2"/>
    <x v="0"/>
    <x v="17"/>
    <x v="0"/>
    <x v="1"/>
    <x v="1"/>
    <x v="0"/>
    <x v="0"/>
    <x v="0"/>
  </r>
  <r>
    <x v="217"/>
    <x v="1"/>
    <x v="1"/>
    <x v="1"/>
    <x v="1"/>
    <x v="8"/>
    <x v="0"/>
    <x v="0"/>
    <x v="0"/>
    <x v="0"/>
    <x v="0"/>
    <x v="3"/>
    <x v="4"/>
    <x v="0"/>
    <x v="17"/>
    <x v="0"/>
    <x v="1"/>
    <x v="0"/>
    <x v="0"/>
    <x v="0"/>
    <x v="0"/>
  </r>
  <r>
    <x v="218"/>
    <x v="0"/>
    <x v="0"/>
    <x v="0"/>
    <x v="0"/>
    <x v="8"/>
    <x v="0"/>
    <x v="1"/>
    <x v="2"/>
    <x v="1"/>
    <x v="0"/>
    <x v="0"/>
    <x v="0"/>
    <x v="0"/>
    <x v="28"/>
    <x v="0"/>
    <x v="1"/>
    <x v="1"/>
    <x v="0"/>
    <x v="0"/>
    <x v="0"/>
  </r>
  <r>
    <x v="219"/>
    <x v="0"/>
    <x v="0"/>
    <x v="1"/>
    <x v="1"/>
    <x v="8"/>
    <x v="0"/>
    <x v="5"/>
    <x v="3"/>
    <x v="1"/>
    <x v="1"/>
    <x v="4"/>
    <x v="3"/>
    <x v="1"/>
    <x v="28"/>
    <x v="0"/>
    <x v="1"/>
    <x v="1"/>
    <x v="0"/>
    <x v="0"/>
    <x v="0"/>
  </r>
  <r>
    <x v="220"/>
    <x v="1"/>
    <x v="1"/>
    <x v="1"/>
    <x v="1"/>
    <x v="8"/>
    <x v="0"/>
    <x v="1"/>
    <x v="2"/>
    <x v="1"/>
    <x v="1"/>
    <x v="0"/>
    <x v="2"/>
    <x v="0"/>
    <x v="40"/>
    <x v="0"/>
    <x v="1"/>
    <x v="1"/>
    <x v="0"/>
    <x v="0"/>
    <x v="0"/>
  </r>
  <r>
    <x v="221"/>
    <x v="1"/>
    <x v="1"/>
    <x v="1"/>
    <x v="1"/>
    <x v="8"/>
    <x v="0"/>
    <x v="1"/>
    <x v="0"/>
    <x v="0"/>
    <x v="0"/>
    <x v="3"/>
    <x v="2"/>
    <x v="0"/>
    <x v="19"/>
    <x v="0"/>
    <x v="1"/>
    <x v="1"/>
    <x v="0"/>
    <x v="0"/>
    <x v="0"/>
  </r>
  <r>
    <x v="222"/>
    <x v="0"/>
    <x v="0"/>
    <x v="1"/>
    <x v="1"/>
    <x v="8"/>
    <x v="0"/>
    <x v="1"/>
    <x v="0"/>
    <x v="0"/>
    <x v="0"/>
    <x v="3"/>
    <x v="4"/>
    <x v="0"/>
    <x v="41"/>
    <x v="0"/>
    <x v="1"/>
    <x v="1"/>
    <x v="0"/>
    <x v="0"/>
    <x v="0"/>
  </r>
  <r>
    <x v="223"/>
    <x v="0"/>
    <x v="0"/>
    <x v="0"/>
    <x v="0"/>
    <x v="8"/>
    <x v="0"/>
    <x v="1"/>
    <x v="3"/>
    <x v="1"/>
    <x v="1"/>
    <x v="3"/>
    <x v="4"/>
    <x v="0"/>
    <x v="20"/>
    <x v="0"/>
    <x v="1"/>
    <x v="1"/>
    <x v="0"/>
    <x v="0"/>
    <x v="0"/>
  </r>
  <r>
    <x v="224"/>
    <x v="1"/>
    <x v="1"/>
    <x v="0"/>
    <x v="0"/>
    <x v="8"/>
    <x v="0"/>
    <x v="1"/>
    <x v="3"/>
    <x v="1"/>
    <x v="1"/>
    <x v="3"/>
    <x v="2"/>
    <x v="0"/>
    <x v="29"/>
    <x v="0"/>
    <x v="1"/>
    <x v="1"/>
    <x v="0"/>
    <x v="0"/>
    <x v="0"/>
  </r>
  <r>
    <x v="225"/>
    <x v="0"/>
    <x v="0"/>
    <x v="1"/>
    <x v="1"/>
    <x v="8"/>
    <x v="0"/>
    <x v="1"/>
    <x v="3"/>
    <x v="1"/>
    <x v="0"/>
    <x v="3"/>
    <x v="4"/>
    <x v="0"/>
    <x v="29"/>
    <x v="0"/>
    <x v="1"/>
    <x v="1"/>
    <x v="0"/>
    <x v="0"/>
    <x v="0"/>
  </r>
  <r>
    <x v="226"/>
    <x v="0"/>
    <x v="0"/>
    <x v="1"/>
    <x v="1"/>
    <x v="8"/>
    <x v="0"/>
    <x v="1"/>
    <x v="3"/>
    <x v="1"/>
    <x v="1"/>
    <x v="3"/>
    <x v="4"/>
    <x v="0"/>
    <x v="29"/>
    <x v="0"/>
    <x v="1"/>
    <x v="1"/>
    <x v="0"/>
    <x v="0"/>
    <x v="0"/>
  </r>
  <r>
    <x v="227"/>
    <x v="0"/>
    <x v="0"/>
    <x v="0"/>
    <x v="0"/>
    <x v="8"/>
    <x v="0"/>
    <x v="1"/>
    <x v="3"/>
    <x v="1"/>
    <x v="1"/>
    <x v="3"/>
    <x v="0"/>
    <x v="1"/>
    <x v="30"/>
    <x v="0"/>
    <x v="1"/>
    <x v="1"/>
    <x v="0"/>
    <x v="0"/>
    <x v="0"/>
  </r>
  <r>
    <x v="228"/>
    <x v="0"/>
    <x v="0"/>
    <x v="1"/>
    <x v="1"/>
    <x v="8"/>
    <x v="0"/>
    <x v="1"/>
    <x v="3"/>
    <x v="1"/>
    <x v="1"/>
    <x v="3"/>
    <x v="3"/>
    <x v="1"/>
    <x v="30"/>
    <x v="0"/>
    <x v="1"/>
    <x v="1"/>
    <x v="0"/>
    <x v="0"/>
    <x v="0"/>
  </r>
  <r>
    <x v="229"/>
    <x v="1"/>
    <x v="1"/>
    <x v="0"/>
    <x v="0"/>
    <x v="8"/>
    <x v="0"/>
    <x v="0"/>
    <x v="1"/>
    <x v="1"/>
    <x v="1"/>
    <x v="3"/>
    <x v="0"/>
    <x v="1"/>
    <x v="33"/>
    <x v="0"/>
    <x v="1"/>
    <x v="1"/>
    <x v="0"/>
    <x v="0"/>
    <x v="0"/>
  </r>
  <r>
    <x v="230"/>
    <x v="1"/>
    <x v="1"/>
    <x v="1"/>
    <x v="1"/>
    <x v="8"/>
    <x v="0"/>
    <x v="0"/>
    <x v="3"/>
    <x v="1"/>
    <x v="1"/>
    <x v="1"/>
    <x v="0"/>
    <x v="1"/>
    <x v="2"/>
    <x v="0"/>
    <x v="1"/>
    <x v="0"/>
    <x v="0"/>
    <x v="0"/>
    <x v="0"/>
  </r>
  <r>
    <x v="231"/>
    <x v="1"/>
    <x v="1"/>
    <x v="0"/>
    <x v="0"/>
    <x v="8"/>
    <x v="0"/>
    <x v="0"/>
    <x v="1"/>
    <x v="1"/>
    <x v="1"/>
    <x v="3"/>
    <x v="0"/>
    <x v="1"/>
    <x v="21"/>
    <x v="0"/>
    <x v="1"/>
    <x v="1"/>
    <x v="0"/>
    <x v="0"/>
    <x v="0"/>
  </r>
  <r>
    <x v="232"/>
    <x v="0"/>
    <x v="0"/>
    <x v="1"/>
    <x v="1"/>
    <x v="8"/>
    <x v="0"/>
    <x v="0"/>
    <x v="1"/>
    <x v="1"/>
    <x v="1"/>
    <x v="3"/>
    <x v="0"/>
    <x v="1"/>
    <x v="42"/>
    <x v="0"/>
    <x v="1"/>
    <x v="1"/>
    <x v="0"/>
    <x v="0"/>
    <x v="0"/>
  </r>
  <r>
    <x v="233"/>
    <x v="0"/>
    <x v="0"/>
    <x v="1"/>
    <x v="1"/>
    <x v="8"/>
    <x v="0"/>
    <x v="0"/>
    <x v="1"/>
    <x v="1"/>
    <x v="1"/>
    <x v="3"/>
    <x v="0"/>
    <x v="1"/>
    <x v="43"/>
    <x v="0"/>
    <x v="1"/>
    <x v="1"/>
    <x v="0"/>
    <x v="0"/>
    <x v="0"/>
  </r>
  <r>
    <x v="234"/>
    <x v="0"/>
    <x v="0"/>
    <x v="0"/>
    <x v="0"/>
    <x v="8"/>
    <x v="0"/>
    <x v="0"/>
    <x v="1"/>
    <x v="1"/>
    <x v="1"/>
    <x v="3"/>
    <x v="1"/>
    <x v="1"/>
    <x v="44"/>
    <x v="0"/>
    <x v="1"/>
    <x v="0"/>
    <x v="0"/>
    <x v="0"/>
    <x v="0"/>
  </r>
  <r>
    <x v="235"/>
    <x v="1"/>
    <x v="1"/>
    <x v="0"/>
    <x v="0"/>
    <x v="9"/>
    <x v="0"/>
    <x v="4"/>
    <x v="0"/>
    <x v="3"/>
    <x v="0"/>
    <x v="3"/>
    <x v="1"/>
    <x v="1"/>
    <x v="45"/>
    <x v="0"/>
    <x v="2"/>
    <x v="0"/>
    <x v="0"/>
    <x v="0"/>
    <x v="0"/>
  </r>
  <r>
    <x v="236"/>
    <x v="1"/>
    <x v="1"/>
    <x v="1"/>
    <x v="1"/>
    <x v="9"/>
    <x v="0"/>
    <x v="4"/>
    <x v="3"/>
    <x v="0"/>
    <x v="0"/>
    <x v="0"/>
    <x v="2"/>
    <x v="2"/>
    <x v="39"/>
    <x v="0"/>
    <x v="0"/>
    <x v="0"/>
    <x v="0"/>
    <x v="0"/>
    <x v="0"/>
  </r>
  <r>
    <x v="237"/>
    <x v="1"/>
    <x v="1"/>
    <x v="1"/>
    <x v="1"/>
    <x v="9"/>
    <x v="0"/>
    <x v="4"/>
    <x v="3"/>
    <x v="0"/>
    <x v="0"/>
    <x v="2"/>
    <x v="2"/>
    <x v="2"/>
    <x v="8"/>
    <x v="0"/>
    <x v="0"/>
    <x v="0"/>
    <x v="0"/>
    <x v="0"/>
    <x v="0"/>
  </r>
  <r>
    <x v="238"/>
    <x v="0"/>
    <x v="0"/>
    <x v="0"/>
    <x v="0"/>
    <x v="9"/>
    <x v="0"/>
    <x v="4"/>
    <x v="3"/>
    <x v="0"/>
    <x v="1"/>
    <x v="2"/>
    <x v="2"/>
    <x v="2"/>
    <x v="23"/>
    <x v="0"/>
    <x v="0"/>
    <x v="0"/>
    <x v="0"/>
    <x v="0"/>
    <x v="0"/>
  </r>
  <r>
    <x v="239"/>
    <x v="0"/>
    <x v="0"/>
    <x v="0"/>
    <x v="0"/>
    <x v="9"/>
    <x v="0"/>
    <x v="3"/>
    <x v="1"/>
    <x v="0"/>
    <x v="1"/>
    <x v="1"/>
    <x v="4"/>
    <x v="1"/>
    <x v="24"/>
    <x v="0"/>
    <x v="0"/>
    <x v="0"/>
    <x v="0"/>
    <x v="0"/>
    <x v="0"/>
  </r>
  <r>
    <x v="240"/>
    <x v="0"/>
    <x v="0"/>
    <x v="0"/>
    <x v="0"/>
    <x v="9"/>
    <x v="0"/>
    <x v="4"/>
    <x v="0"/>
    <x v="3"/>
    <x v="1"/>
    <x v="3"/>
    <x v="0"/>
    <x v="1"/>
    <x v="24"/>
    <x v="0"/>
    <x v="0"/>
    <x v="0"/>
    <x v="0"/>
    <x v="0"/>
    <x v="0"/>
  </r>
  <r>
    <x v="241"/>
    <x v="1"/>
    <x v="1"/>
    <x v="0"/>
    <x v="0"/>
    <x v="9"/>
    <x v="0"/>
    <x v="2"/>
    <x v="1"/>
    <x v="0"/>
    <x v="1"/>
    <x v="1"/>
    <x v="4"/>
    <x v="1"/>
    <x v="24"/>
    <x v="0"/>
    <x v="0"/>
    <x v="1"/>
    <x v="0"/>
    <x v="0"/>
    <x v="0"/>
  </r>
  <r>
    <x v="242"/>
    <x v="1"/>
    <x v="1"/>
    <x v="0"/>
    <x v="0"/>
    <x v="9"/>
    <x v="0"/>
    <x v="2"/>
    <x v="1"/>
    <x v="0"/>
    <x v="1"/>
    <x v="1"/>
    <x v="4"/>
    <x v="1"/>
    <x v="24"/>
    <x v="0"/>
    <x v="0"/>
    <x v="0"/>
    <x v="0"/>
    <x v="0"/>
    <x v="0"/>
  </r>
  <r>
    <x v="243"/>
    <x v="1"/>
    <x v="1"/>
    <x v="0"/>
    <x v="0"/>
    <x v="9"/>
    <x v="0"/>
    <x v="4"/>
    <x v="0"/>
    <x v="3"/>
    <x v="1"/>
    <x v="3"/>
    <x v="0"/>
    <x v="1"/>
    <x v="24"/>
    <x v="0"/>
    <x v="0"/>
    <x v="0"/>
    <x v="0"/>
    <x v="0"/>
    <x v="0"/>
  </r>
  <r>
    <x v="244"/>
    <x v="0"/>
    <x v="0"/>
    <x v="1"/>
    <x v="1"/>
    <x v="9"/>
    <x v="0"/>
    <x v="5"/>
    <x v="1"/>
    <x v="0"/>
    <x v="1"/>
    <x v="1"/>
    <x v="4"/>
    <x v="1"/>
    <x v="24"/>
    <x v="0"/>
    <x v="0"/>
    <x v="1"/>
    <x v="0"/>
    <x v="0"/>
    <x v="0"/>
  </r>
  <r>
    <x v="245"/>
    <x v="0"/>
    <x v="0"/>
    <x v="0"/>
    <x v="0"/>
    <x v="9"/>
    <x v="0"/>
    <x v="0"/>
    <x v="1"/>
    <x v="0"/>
    <x v="1"/>
    <x v="1"/>
    <x v="4"/>
    <x v="1"/>
    <x v="32"/>
    <x v="0"/>
    <x v="0"/>
    <x v="0"/>
    <x v="0"/>
    <x v="0"/>
    <x v="0"/>
  </r>
  <r>
    <x v="246"/>
    <x v="0"/>
    <x v="0"/>
    <x v="0"/>
    <x v="0"/>
    <x v="9"/>
    <x v="0"/>
    <x v="5"/>
    <x v="1"/>
    <x v="0"/>
    <x v="1"/>
    <x v="1"/>
    <x v="4"/>
    <x v="1"/>
    <x v="32"/>
    <x v="0"/>
    <x v="0"/>
    <x v="0"/>
    <x v="0"/>
    <x v="0"/>
    <x v="0"/>
  </r>
  <r>
    <x v="247"/>
    <x v="0"/>
    <x v="0"/>
    <x v="0"/>
    <x v="0"/>
    <x v="9"/>
    <x v="0"/>
    <x v="2"/>
    <x v="1"/>
    <x v="3"/>
    <x v="1"/>
    <x v="1"/>
    <x v="1"/>
    <x v="1"/>
    <x v="32"/>
    <x v="0"/>
    <x v="0"/>
    <x v="0"/>
    <x v="0"/>
    <x v="0"/>
    <x v="0"/>
  </r>
  <r>
    <x v="248"/>
    <x v="1"/>
    <x v="1"/>
    <x v="0"/>
    <x v="0"/>
    <x v="9"/>
    <x v="0"/>
    <x v="0"/>
    <x v="1"/>
    <x v="0"/>
    <x v="1"/>
    <x v="1"/>
    <x v="4"/>
    <x v="1"/>
    <x v="32"/>
    <x v="0"/>
    <x v="0"/>
    <x v="0"/>
    <x v="0"/>
    <x v="0"/>
    <x v="0"/>
  </r>
  <r>
    <x v="249"/>
    <x v="0"/>
    <x v="0"/>
    <x v="1"/>
    <x v="1"/>
    <x v="9"/>
    <x v="0"/>
    <x v="5"/>
    <x v="1"/>
    <x v="0"/>
    <x v="1"/>
    <x v="1"/>
    <x v="1"/>
    <x v="1"/>
    <x v="32"/>
    <x v="0"/>
    <x v="0"/>
    <x v="0"/>
    <x v="0"/>
    <x v="0"/>
    <x v="0"/>
  </r>
  <r>
    <x v="250"/>
    <x v="0"/>
    <x v="0"/>
    <x v="1"/>
    <x v="1"/>
    <x v="9"/>
    <x v="0"/>
    <x v="5"/>
    <x v="1"/>
    <x v="0"/>
    <x v="1"/>
    <x v="1"/>
    <x v="1"/>
    <x v="1"/>
    <x v="32"/>
    <x v="0"/>
    <x v="0"/>
    <x v="0"/>
    <x v="0"/>
    <x v="0"/>
    <x v="0"/>
  </r>
  <r>
    <x v="251"/>
    <x v="1"/>
    <x v="1"/>
    <x v="1"/>
    <x v="1"/>
    <x v="9"/>
    <x v="0"/>
    <x v="5"/>
    <x v="1"/>
    <x v="0"/>
    <x v="0"/>
    <x v="1"/>
    <x v="1"/>
    <x v="1"/>
    <x v="32"/>
    <x v="0"/>
    <x v="0"/>
    <x v="0"/>
    <x v="0"/>
    <x v="0"/>
    <x v="0"/>
  </r>
  <r>
    <x v="252"/>
    <x v="1"/>
    <x v="1"/>
    <x v="1"/>
    <x v="1"/>
    <x v="9"/>
    <x v="0"/>
    <x v="0"/>
    <x v="1"/>
    <x v="0"/>
    <x v="1"/>
    <x v="1"/>
    <x v="4"/>
    <x v="1"/>
    <x v="32"/>
    <x v="0"/>
    <x v="0"/>
    <x v="0"/>
    <x v="0"/>
    <x v="0"/>
    <x v="0"/>
  </r>
  <r>
    <x v="253"/>
    <x v="0"/>
    <x v="0"/>
    <x v="1"/>
    <x v="1"/>
    <x v="9"/>
    <x v="0"/>
    <x v="0"/>
    <x v="1"/>
    <x v="0"/>
    <x v="1"/>
    <x v="1"/>
    <x v="1"/>
    <x v="1"/>
    <x v="9"/>
    <x v="0"/>
    <x v="0"/>
    <x v="0"/>
    <x v="0"/>
    <x v="0"/>
    <x v="0"/>
  </r>
  <r>
    <x v="254"/>
    <x v="0"/>
    <x v="0"/>
    <x v="1"/>
    <x v="1"/>
    <x v="9"/>
    <x v="0"/>
    <x v="0"/>
    <x v="1"/>
    <x v="0"/>
    <x v="1"/>
    <x v="1"/>
    <x v="4"/>
    <x v="1"/>
    <x v="9"/>
    <x v="0"/>
    <x v="0"/>
    <x v="0"/>
    <x v="0"/>
    <x v="0"/>
    <x v="0"/>
  </r>
  <r>
    <x v="255"/>
    <x v="0"/>
    <x v="0"/>
    <x v="1"/>
    <x v="1"/>
    <x v="9"/>
    <x v="0"/>
    <x v="0"/>
    <x v="1"/>
    <x v="0"/>
    <x v="1"/>
    <x v="1"/>
    <x v="4"/>
    <x v="1"/>
    <x v="9"/>
    <x v="0"/>
    <x v="0"/>
    <x v="0"/>
    <x v="0"/>
    <x v="0"/>
    <x v="0"/>
  </r>
  <r>
    <x v="256"/>
    <x v="0"/>
    <x v="0"/>
    <x v="0"/>
    <x v="0"/>
    <x v="9"/>
    <x v="0"/>
    <x v="1"/>
    <x v="1"/>
    <x v="0"/>
    <x v="1"/>
    <x v="3"/>
    <x v="1"/>
    <x v="1"/>
    <x v="5"/>
    <x v="0"/>
    <x v="0"/>
    <x v="1"/>
    <x v="0"/>
    <x v="0"/>
    <x v="0"/>
  </r>
  <r>
    <x v="257"/>
    <x v="1"/>
    <x v="1"/>
    <x v="0"/>
    <x v="0"/>
    <x v="9"/>
    <x v="0"/>
    <x v="4"/>
    <x v="3"/>
    <x v="0"/>
    <x v="0"/>
    <x v="4"/>
    <x v="4"/>
    <x v="1"/>
    <x v="5"/>
    <x v="0"/>
    <x v="0"/>
    <x v="0"/>
    <x v="0"/>
    <x v="0"/>
    <x v="0"/>
  </r>
  <r>
    <x v="258"/>
    <x v="1"/>
    <x v="1"/>
    <x v="0"/>
    <x v="0"/>
    <x v="9"/>
    <x v="0"/>
    <x v="4"/>
    <x v="3"/>
    <x v="0"/>
    <x v="0"/>
    <x v="4"/>
    <x v="1"/>
    <x v="1"/>
    <x v="5"/>
    <x v="0"/>
    <x v="0"/>
    <x v="0"/>
    <x v="0"/>
    <x v="0"/>
    <x v="0"/>
  </r>
  <r>
    <x v="259"/>
    <x v="1"/>
    <x v="1"/>
    <x v="1"/>
    <x v="1"/>
    <x v="9"/>
    <x v="0"/>
    <x v="4"/>
    <x v="3"/>
    <x v="0"/>
    <x v="0"/>
    <x v="4"/>
    <x v="4"/>
    <x v="1"/>
    <x v="5"/>
    <x v="0"/>
    <x v="0"/>
    <x v="0"/>
    <x v="0"/>
    <x v="0"/>
    <x v="0"/>
  </r>
  <r>
    <x v="260"/>
    <x v="1"/>
    <x v="1"/>
    <x v="1"/>
    <x v="1"/>
    <x v="9"/>
    <x v="0"/>
    <x v="4"/>
    <x v="3"/>
    <x v="0"/>
    <x v="1"/>
    <x v="4"/>
    <x v="0"/>
    <x v="2"/>
    <x v="5"/>
    <x v="0"/>
    <x v="0"/>
    <x v="0"/>
    <x v="0"/>
    <x v="0"/>
    <x v="0"/>
  </r>
  <r>
    <x v="261"/>
    <x v="1"/>
    <x v="1"/>
    <x v="1"/>
    <x v="1"/>
    <x v="9"/>
    <x v="0"/>
    <x v="3"/>
    <x v="3"/>
    <x v="3"/>
    <x v="0"/>
    <x v="4"/>
    <x v="1"/>
    <x v="1"/>
    <x v="5"/>
    <x v="0"/>
    <x v="0"/>
    <x v="0"/>
    <x v="0"/>
    <x v="0"/>
    <x v="0"/>
  </r>
  <r>
    <x v="262"/>
    <x v="1"/>
    <x v="1"/>
    <x v="0"/>
    <x v="0"/>
    <x v="9"/>
    <x v="0"/>
    <x v="3"/>
    <x v="3"/>
    <x v="3"/>
    <x v="1"/>
    <x v="4"/>
    <x v="4"/>
    <x v="1"/>
    <x v="10"/>
    <x v="0"/>
    <x v="0"/>
    <x v="1"/>
    <x v="0"/>
    <x v="0"/>
    <x v="0"/>
  </r>
  <r>
    <x v="263"/>
    <x v="1"/>
    <x v="1"/>
    <x v="0"/>
    <x v="0"/>
    <x v="9"/>
    <x v="0"/>
    <x v="4"/>
    <x v="3"/>
    <x v="0"/>
    <x v="0"/>
    <x v="4"/>
    <x v="0"/>
    <x v="2"/>
    <x v="10"/>
    <x v="0"/>
    <x v="0"/>
    <x v="1"/>
    <x v="0"/>
    <x v="0"/>
    <x v="0"/>
  </r>
  <r>
    <x v="264"/>
    <x v="1"/>
    <x v="1"/>
    <x v="0"/>
    <x v="0"/>
    <x v="9"/>
    <x v="0"/>
    <x v="4"/>
    <x v="3"/>
    <x v="0"/>
    <x v="0"/>
    <x v="4"/>
    <x v="4"/>
    <x v="1"/>
    <x v="10"/>
    <x v="0"/>
    <x v="0"/>
    <x v="0"/>
    <x v="0"/>
    <x v="0"/>
    <x v="0"/>
  </r>
  <r>
    <x v="265"/>
    <x v="1"/>
    <x v="1"/>
    <x v="0"/>
    <x v="0"/>
    <x v="9"/>
    <x v="0"/>
    <x v="3"/>
    <x v="3"/>
    <x v="3"/>
    <x v="1"/>
    <x v="1"/>
    <x v="4"/>
    <x v="1"/>
    <x v="10"/>
    <x v="0"/>
    <x v="0"/>
    <x v="0"/>
    <x v="0"/>
    <x v="0"/>
    <x v="0"/>
  </r>
  <r>
    <x v="266"/>
    <x v="0"/>
    <x v="0"/>
    <x v="1"/>
    <x v="1"/>
    <x v="9"/>
    <x v="0"/>
    <x v="4"/>
    <x v="3"/>
    <x v="0"/>
    <x v="0"/>
    <x v="4"/>
    <x v="1"/>
    <x v="1"/>
    <x v="10"/>
    <x v="0"/>
    <x v="0"/>
    <x v="1"/>
    <x v="0"/>
    <x v="0"/>
    <x v="0"/>
  </r>
  <r>
    <x v="267"/>
    <x v="0"/>
    <x v="0"/>
    <x v="1"/>
    <x v="1"/>
    <x v="9"/>
    <x v="0"/>
    <x v="3"/>
    <x v="3"/>
    <x v="3"/>
    <x v="1"/>
    <x v="4"/>
    <x v="4"/>
    <x v="1"/>
    <x v="10"/>
    <x v="0"/>
    <x v="0"/>
    <x v="0"/>
    <x v="0"/>
    <x v="0"/>
    <x v="0"/>
  </r>
  <r>
    <x v="268"/>
    <x v="1"/>
    <x v="1"/>
    <x v="1"/>
    <x v="1"/>
    <x v="9"/>
    <x v="0"/>
    <x v="4"/>
    <x v="3"/>
    <x v="0"/>
    <x v="0"/>
    <x v="4"/>
    <x v="0"/>
    <x v="2"/>
    <x v="10"/>
    <x v="0"/>
    <x v="0"/>
    <x v="1"/>
    <x v="0"/>
    <x v="0"/>
    <x v="0"/>
  </r>
  <r>
    <x v="269"/>
    <x v="0"/>
    <x v="0"/>
    <x v="0"/>
    <x v="0"/>
    <x v="9"/>
    <x v="0"/>
    <x v="4"/>
    <x v="1"/>
    <x v="0"/>
    <x v="1"/>
    <x v="1"/>
    <x v="4"/>
    <x v="1"/>
    <x v="25"/>
    <x v="0"/>
    <x v="0"/>
    <x v="1"/>
    <x v="0"/>
    <x v="0"/>
    <x v="0"/>
  </r>
  <r>
    <x v="270"/>
    <x v="1"/>
    <x v="1"/>
    <x v="0"/>
    <x v="0"/>
    <x v="9"/>
    <x v="0"/>
    <x v="1"/>
    <x v="3"/>
    <x v="0"/>
    <x v="1"/>
    <x v="2"/>
    <x v="2"/>
    <x v="2"/>
    <x v="25"/>
    <x v="0"/>
    <x v="0"/>
    <x v="1"/>
    <x v="0"/>
    <x v="0"/>
    <x v="0"/>
  </r>
  <r>
    <x v="271"/>
    <x v="1"/>
    <x v="1"/>
    <x v="0"/>
    <x v="0"/>
    <x v="9"/>
    <x v="0"/>
    <x v="1"/>
    <x v="3"/>
    <x v="0"/>
    <x v="1"/>
    <x v="0"/>
    <x v="2"/>
    <x v="2"/>
    <x v="25"/>
    <x v="0"/>
    <x v="0"/>
    <x v="1"/>
    <x v="0"/>
    <x v="0"/>
    <x v="0"/>
  </r>
  <r>
    <x v="272"/>
    <x v="0"/>
    <x v="0"/>
    <x v="0"/>
    <x v="0"/>
    <x v="9"/>
    <x v="0"/>
    <x v="1"/>
    <x v="3"/>
    <x v="0"/>
    <x v="1"/>
    <x v="2"/>
    <x v="2"/>
    <x v="2"/>
    <x v="12"/>
    <x v="0"/>
    <x v="0"/>
    <x v="1"/>
    <x v="0"/>
    <x v="0"/>
    <x v="0"/>
  </r>
  <r>
    <x v="273"/>
    <x v="1"/>
    <x v="1"/>
    <x v="0"/>
    <x v="0"/>
    <x v="9"/>
    <x v="0"/>
    <x v="4"/>
    <x v="3"/>
    <x v="0"/>
    <x v="0"/>
    <x v="4"/>
    <x v="1"/>
    <x v="2"/>
    <x v="12"/>
    <x v="0"/>
    <x v="0"/>
    <x v="0"/>
    <x v="0"/>
    <x v="0"/>
    <x v="0"/>
  </r>
  <r>
    <x v="274"/>
    <x v="1"/>
    <x v="1"/>
    <x v="1"/>
    <x v="1"/>
    <x v="9"/>
    <x v="0"/>
    <x v="4"/>
    <x v="3"/>
    <x v="0"/>
    <x v="0"/>
    <x v="4"/>
    <x v="0"/>
    <x v="2"/>
    <x v="12"/>
    <x v="0"/>
    <x v="0"/>
    <x v="0"/>
    <x v="0"/>
    <x v="0"/>
    <x v="0"/>
  </r>
  <r>
    <x v="275"/>
    <x v="1"/>
    <x v="1"/>
    <x v="1"/>
    <x v="1"/>
    <x v="9"/>
    <x v="0"/>
    <x v="4"/>
    <x v="3"/>
    <x v="0"/>
    <x v="0"/>
    <x v="4"/>
    <x v="0"/>
    <x v="2"/>
    <x v="12"/>
    <x v="0"/>
    <x v="0"/>
    <x v="1"/>
    <x v="0"/>
    <x v="0"/>
    <x v="0"/>
  </r>
  <r>
    <x v="276"/>
    <x v="1"/>
    <x v="1"/>
    <x v="1"/>
    <x v="1"/>
    <x v="9"/>
    <x v="0"/>
    <x v="4"/>
    <x v="3"/>
    <x v="0"/>
    <x v="1"/>
    <x v="4"/>
    <x v="0"/>
    <x v="2"/>
    <x v="12"/>
    <x v="0"/>
    <x v="0"/>
    <x v="0"/>
    <x v="0"/>
    <x v="0"/>
    <x v="0"/>
  </r>
  <r>
    <x v="277"/>
    <x v="0"/>
    <x v="0"/>
    <x v="0"/>
    <x v="0"/>
    <x v="9"/>
    <x v="0"/>
    <x v="0"/>
    <x v="3"/>
    <x v="0"/>
    <x v="1"/>
    <x v="3"/>
    <x v="4"/>
    <x v="1"/>
    <x v="13"/>
    <x v="0"/>
    <x v="0"/>
    <x v="0"/>
    <x v="0"/>
    <x v="0"/>
    <x v="0"/>
  </r>
  <r>
    <x v="278"/>
    <x v="1"/>
    <x v="1"/>
    <x v="0"/>
    <x v="0"/>
    <x v="9"/>
    <x v="0"/>
    <x v="4"/>
    <x v="3"/>
    <x v="0"/>
    <x v="0"/>
    <x v="4"/>
    <x v="1"/>
    <x v="2"/>
    <x v="13"/>
    <x v="0"/>
    <x v="0"/>
    <x v="0"/>
    <x v="0"/>
    <x v="0"/>
    <x v="0"/>
  </r>
  <r>
    <x v="279"/>
    <x v="1"/>
    <x v="1"/>
    <x v="0"/>
    <x v="0"/>
    <x v="9"/>
    <x v="0"/>
    <x v="4"/>
    <x v="3"/>
    <x v="0"/>
    <x v="0"/>
    <x v="4"/>
    <x v="0"/>
    <x v="2"/>
    <x v="13"/>
    <x v="0"/>
    <x v="0"/>
    <x v="1"/>
    <x v="0"/>
    <x v="0"/>
    <x v="0"/>
  </r>
  <r>
    <x v="280"/>
    <x v="1"/>
    <x v="1"/>
    <x v="0"/>
    <x v="0"/>
    <x v="9"/>
    <x v="0"/>
    <x v="4"/>
    <x v="3"/>
    <x v="0"/>
    <x v="1"/>
    <x v="4"/>
    <x v="0"/>
    <x v="2"/>
    <x v="13"/>
    <x v="0"/>
    <x v="0"/>
    <x v="0"/>
    <x v="0"/>
    <x v="0"/>
    <x v="0"/>
  </r>
  <r>
    <x v="281"/>
    <x v="0"/>
    <x v="0"/>
    <x v="0"/>
    <x v="0"/>
    <x v="9"/>
    <x v="0"/>
    <x v="0"/>
    <x v="3"/>
    <x v="0"/>
    <x v="1"/>
    <x v="3"/>
    <x v="1"/>
    <x v="1"/>
    <x v="26"/>
    <x v="0"/>
    <x v="0"/>
    <x v="0"/>
    <x v="0"/>
    <x v="0"/>
    <x v="0"/>
  </r>
  <r>
    <x v="282"/>
    <x v="1"/>
    <x v="1"/>
    <x v="0"/>
    <x v="0"/>
    <x v="9"/>
    <x v="0"/>
    <x v="0"/>
    <x v="3"/>
    <x v="3"/>
    <x v="1"/>
    <x v="3"/>
    <x v="4"/>
    <x v="1"/>
    <x v="26"/>
    <x v="0"/>
    <x v="0"/>
    <x v="0"/>
    <x v="0"/>
    <x v="0"/>
    <x v="0"/>
  </r>
  <r>
    <x v="283"/>
    <x v="0"/>
    <x v="0"/>
    <x v="1"/>
    <x v="1"/>
    <x v="9"/>
    <x v="0"/>
    <x v="1"/>
    <x v="0"/>
    <x v="3"/>
    <x v="1"/>
    <x v="3"/>
    <x v="0"/>
    <x v="2"/>
    <x v="26"/>
    <x v="0"/>
    <x v="0"/>
    <x v="1"/>
    <x v="0"/>
    <x v="0"/>
    <x v="0"/>
  </r>
  <r>
    <x v="284"/>
    <x v="0"/>
    <x v="0"/>
    <x v="1"/>
    <x v="1"/>
    <x v="9"/>
    <x v="0"/>
    <x v="4"/>
    <x v="3"/>
    <x v="0"/>
    <x v="0"/>
    <x v="4"/>
    <x v="1"/>
    <x v="1"/>
    <x v="26"/>
    <x v="0"/>
    <x v="0"/>
    <x v="1"/>
    <x v="0"/>
    <x v="0"/>
    <x v="0"/>
  </r>
  <r>
    <x v="285"/>
    <x v="1"/>
    <x v="1"/>
    <x v="1"/>
    <x v="1"/>
    <x v="9"/>
    <x v="0"/>
    <x v="0"/>
    <x v="3"/>
    <x v="0"/>
    <x v="1"/>
    <x v="3"/>
    <x v="4"/>
    <x v="1"/>
    <x v="26"/>
    <x v="0"/>
    <x v="0"/>
    <x v="0"/>
    <x v="0"/>
    <x v="0"/>
    <x v="0"/>
  </r>
  <r>
    <x v="286"/>
    <x v="1"/>
    <x v="1"/>
    <x v="1"/>
    <x v="1"/>
    <x v="9"/>
    <x v="0"/>
    <x v="4"/>
    <x v="3"/>
    <x v="0"/>
    <x v="0"/>
    <x v="3"/>
    <x v="0"/>
    <x v="2"/>
    <x v="26"/>
    <x v="0"/>
    <x v="0"/>
    <x v="0"/>
    <x v="0"/>
    <x v="0"/>
    <x v="0"/>
  </r>
  <r>
    <x v="287"/>
    <x v="0"/>
    <x v="0"/>
    <x v="0"/>
    <x v="0"/>
    <x v="9"/>
    <x v="0"/>
    <x v="2"/>
    <x v="0"/>
    <x v="3"/>
    <x v="1"/>
    <x v="4"/>
    <x v="1"/>
    <x v="1"/>
    <x v="6"/>
    <x v="0"/>
    <x v="0"/>
    <x v="0"/>
    <x v="0"/>
    <x v="0"/>
    <x v="0"/>
  </r>
  <r>
    <x v="288"/>
    <x v="1"/>
    <x v="1"/>
    <x v="0"/>
    <x v="0"/>
    <x v="9"/>
    <x v="0"/>
    <x v="2"/>
    <x v="3"/>
    <x v="0"/>
    <x v="0"/>
    <x v="4"/>
    <x v="1"/>
    <x v="1"/>
    <x v="6"/>
    <x v="0"/>
    <x v="0"/>
    <x v="1"/>
    <x v="0"/>
    <x v="0"/>
    <x v="0"/>
  </r>
  <r>
    <x v="289"/>
    <x v="0"/>
    <x v="0"/>
    <x v="1"/>
    <x v="1"/>
    <x v="9"/>
    <x v="0"/>
    <x v="1"/>
    <x v="0"/>
    <x v="3"/>
    <x v="1"/>
    <x v="3"/>
    <x v="0"/>
    <x v="2"/>
    <x v="6"/>
    <x v="0"/>
    <x v="0"/>
    <x v="1"/>
    <x v="0"/>
    <x v="0"/>
    <x v="0"/>
  </r>
  <r>
    <x v="290"/>
    <x v="0"/>
    <x v="0"/>
    <x v="1"/>
    <x v="1"/>
    <x v="9"/>
    <x v="0"/>
    <x v="2"/>
    <x v="0"/>
    <x v="3"/>
    <x v="1"/>
    <x v="4"/>
    <x v="1"/>
    <x v="1"/>
    <x v="6"/>
    <x v="0"/>
    <x v="0"/>
    <x v="1"/>
    <x v="0"/>
    <x v="0"/>
    <x v="0"/>
  </r>
  <r>
    <x v="291"/>
    <x v="0"/>
    <x v="0"/>
    <x v="1"/>
    <x v="1"/>
    <x v="9"/>
    <x v="0"/>
    <x v="1"/>
    <x v="0"/>
    <x v="3"/>
    <x v="1"/>
    <x v="3"/>
    <x v="1"/>
    <x v="2"/>
    <x v="6"/>
    <x v="0"/>
    <x v="0"/>
    <x v="1"/>
    <x v="0"/>
    <x v="0"/>
    <x v="0"/>
  </r>
  <r>
    <x v="292"/>
    <x v="0"/>
    <x v="0"/>
    <x v="1"/>
    <x v="1"/>
    <x v="9"/>
    <x v="0"/>
    <x v="2"/>
    <x v="3"/>
    <x v="0"/>
    <x v="1"/>
    <x v="4"/>
    <x v="4"/>
    <x v="1"/>
    <x v="6"/>
    <x v="0"/>
    <x v="0"/>
    <x v="0"/>
    <x v="0"/>
    <x v="0"/>
    <x v="0"/>
  </r>
  <r>
    <x v="293"/>
    <x v="0"/>
    <x v="0"/>
    <x v="1"/>
    <x v="1"/>
    <x v="9"/>
    <x v="0"/>
    <x v="2"/>
    <x v="0"/>
    <x v="3"/>
    <x v="1"/>
    <x v="4"/>
    <x v="4"/>
    <x v="1"/>
    <x v="6"/>
    <x v="0"/>
    <x v="0"/>
    <x v="0"/>
    <x v="0"/>
    <x v="0"/>
    <x v="0"/>
  </r>
  <r>
    <x v="294"/>
    <x v="1"/>
    <x v="1"/>
    <x v="1"/>
    <x v="1"/>
    <x v="9"/>
    <x v="0"/>
    <x v="1"/>
    <x v="0"/>
    <x v="0"/>
    <x v="1"/>
    <x v="0"/>
    <x v="4"/>
    <x v="1"/>
    <x v="6"/>
    <x v="0"/>
    <x v="0"/>
    <x v="1"/>
    <x v="0"/>
    <x v="0"/>
    <x v="0"/>
  </r>
  <r>
    <x v="295"/>
    <x v="1"/>
    <x v="1"/>
    <x v="0"/>
    <x v="0"/>
    <x v="9"/>
    <x v="0"/>
    <x v="1"/>
    <x v="0"/>
    <x v="3"/>
    <x v="1"/>
    <x v="3"/>
    <x v="0"/>
    <x v="2"/>
    <x v="14"/>
    <x v="0"/>
    <x v="0"/>
    <x v="1"/>
    <x v="0"/>
    <x v="0"/>
    <x v="0"/>
  </r>
  <r>
    <x v="296"/>
    <x v="0"/>
    <x v="0"/>
    <x v="1"/>
    <x v="1"/>
    <x v="9"/>
    <x v="0"/>
    <x v="1"/>
    <x v="0"/>
    <x v="0"/>
    <x v="0"/>
    <x v="0"/>
    <x v="0"/>
    <x v="1"/>
    <x v="14"/>
    <x v="0"/>
    <x v="0"/>
    <x v="1"/>
    <x v="0"/>
    <x v="0"/>
    <x v="0"/>
  </r>
  <r>
    <x v="297"/>
    <x v="0"/>
    <x v="0"/>
    <x v="1"/>
    <x v="1"/>
    <x v="9"/>
    <x v="0"/>
    <x v="1"/>
    <x v="0"/>
    <x v="3"/>
    <x v="1"/>
    <x v="0"/>
    <x v="0"/>
    <x v="2"/>
    <x v="14"/>
    <x v="0"/>
    <x v="0"/>
    <x v="1"/>
    <x v="0"/>
    <x v="0"/>
    <x v="0"/>
  </r>
  <r>
    <x v="298"/>
    <x v="0"/>
    <x v="0"/>
    <x v="0"/>
    <x v="0"/>
    <x v="9"/>
    <x v="0"/>
    <x v="1"/>
    <x v="0"/>
    <x v="3"/>
    <x v="0"/>
    <x v="0"/>
    <x v="0"/>
    <x v="2"/>
    <x v="27"/>
    <x v="0"/>
    <x v="0"/>
    <x v="1"/>
    <x v="0"/>
    <x v="0"/>
    <x v="0"/>
  </r>
  <r>
    <x v="299"/>
    <x v="0"/>
    <x v="0"/>
    <x v="0"/>
    <x v="0"/>
    <x v="9"/>
    <x v="0"/>
    <x v="1"/>
    <x v="1"/>
    <x v="0"/>
    <x v="1"/>
    <x v="0"/>
    <x v="2"/>
    <x v="1"/>
    <x v="27"/>
    <x v="0"/>
    <x v="0"/>
    <x v="1"/>
    <x v="0"/>
    <x v="0"/>
    <x v="0"/>
  </r>
  <r>
    <x v="300"/>
    <x v="1"/>
    <x v="1"/>
    <x v="0"/>
    <x v="0"/>
    <x v="9"/>
    <x v="0"/>
    <x v="1"/>
    <x v="1"/>
    <x v="0"/>
    <x v="1"/>
    <x v="0"/>
    <x v="2"/>
    <x v="1"/>
    <x v="27"/>
    <x v="0"/>
    <x v="0"/>
    <x v="0"/>
    <x v="0"/>
    <x v="0"/>
    <x v="0"/>
  </r>
  <r>
    <x v="301"/>
    <x v="0"/>
    <x v="0"/>
    <x v="1"/>
    <x v="1"/>
    <x v="9"/>
    <x v="0"/>
    <x v="2"/>
    <x v="1"/>
    <x v="0"/>
    <x v="1"/>
    <x v="4"/>
    <x v="1"/>
    <x v="1"/>
    <x v="27"/>
    <x v="0"/>
    <x v="0"/>
    <x v="0"/>
    <x v="0"/>
    <x v="0"/>
    <x v="0"/>
  </r>
  <r>
    <x v="302"/>
    <x v="0"/>
    <x v="0"/>
    <x v="1"/>
    <x v="1"/>
    <x v="9"/>
    <x v="0"/>
    <x v="1"/>
    <x v="0"/>
    <x v="3"/>
    <x v="1"/>
    <x v="0"/>
    <x v="0"/>
    <x v="2"/>
    <x v="27"/>
    <x v="0"/>
    <x v="0"/>
    <x v="1"/>
    <x v="0"/>
    <x v="0"/>
    <x v="0"/>
  </r>
  <r>
    <x v="303"/>
    <x v="0"/>
    <x v="0"/>
    <x v="0"/>
    <x v="0"/>
    <x v="9"/>
    <x v="0"/>
    <x v="1"/>
    <x v="1"/>
    <x v="0"/>
    <x v="1"/>
    <x v="4"/>
    <x v="1"/>
    <x v="1"/>
    <x v="4"/>
    <x v="0"/>
    <x v="0"/>
    <x v="1"/>
    <x v="0"/>
    <x v="0"/>
    <x v="0"/>
  </r>
  <r>
    <x v="304"/>
    <x v="0"/>
    <x v="0"/>
    <x v="0"/>
    <x v="0"/>
    <x v="9"/>
    <x v="0"/>
    <x v="1"/>
    <x v="3"/>
    <x v="0"/>
    <x v="1"/>
    <x v="3"/>
    <x v="4"/>
    <x v="1"/>
    <x v="4"/>
    <x v="0"/>
    <x v="0"/>
    <x v="1"/>
    <x v="0"/>
    <x v="0"/>
    <x v="0"/>
  </r>
  <r>
    <x v="305"/>
    <x v="0"/>
    <x v="0"/>
    <x v="1"/>
    <x v="1"/>
    <x v="9"/>
    <x v="0"/>
    <x v="1"/>
    <x v="1"/>
    <x v="0"/>
    <x v="0"/>
    <x v="0"/>
    <x v="2"/>
    <x v="1"/>
    <x v="4"/>
    <x v="0"/>
    <x v="0"/>
    <x v="1"/>
    <x v="0"/>
    <x v="0"/>
    <x v="0"/>
  </r>
  <r>
    <x v="306"/>
    <x v="0"/>
    <x v="0"/>
    <x v="1"/>
    <x v="1"/>
    <x v="9"/>
    <x v="0"/>
    <x v="3"/>
    <x v="4"/>
    <x v="3"/>
    <x v="1"/>
    <x v="3"/>
    <x v="0"/>
    <x v="1"/>
    <x v="0"/>
    <x v="0"/>
    <x v="0"/>
    <x v="1"/>
    <x v="0"/>
    <x v="0"/>
    <x v="0"/>
  </r>
  <r>
    <x v="307"/>
    <x v="1"/>
    <x v="1"/>
    <x v="0"/>
    <x v="0"/>
    <x v="9"/>
    <x v="0"/>
    <x v="5"/>
    <x v="0"/>
    <x v="0"/>
    <x v="1"/>
    <x v="4"/>
    <x v="0"/>
    <x v="1"/>
    <x v="36"/>
    <x v="0"/>
    <x v="0"/>
    <x v="0"/>
    <x v="0"/>
    <x v="0"/>
    <x v="0"/>
  </r>
  <r>
    <x v="308"/>
    <x v="1"/>
    <x v="1"/>
    <x v="0"/>
    <x v="0"/>
    <x v="9"/>
    <x v="0"/>
    <x v="3"/>
    <x v="2"/>
    <x v="0"/>
    <x v="1"/>
    <x v="3"/>
    <x v="0"/>
    <x v="2"/>
    <x v="36"/>
    <x v="0"/>
    <x v="0"/>
    <x v="0"/>
    <x v="0"/>
    <x v="0"/>
    <x v="0"/>
  </r>
  <r>
    <x v="309"/>
    <x v="1"/>
    <x v="1"/>
    <x v="0"/>
    <x v="0"/>
    <x v="9"/>
    <x v="0"/>
    <x v="3"/>
    <x v="0"/>
    <x v="0"/>
    <x v="1"/>
    <x v="1"/>
    <x v="0"/>
    <x v="1"/>
    <x v="36"/>
    <x v="0"/>
    <x v="0"/>
    <x v="0"/>
    <x v="0"/>
    <x v="0"/>
    <x v="0"/>
  </r>
  <r>
    <x v="310"/>
    <x v="0"/>
    <x v="0"/>
    <x v="1"/>
    <x v="1"/>
    <x v="9"/>
    <x v="0"/>
    <x v="3"/>
    <x v="4"/>
    <x v="3"/>
    <x v="0"/>
    <x v="3"/>
    <x v="3"/>
    <x v="1"/>
    <x v="36"/>
    <x v="0"/>
    <x v="0"/>
    <x v="1"/>
    <x v="0"/>
    <x v="0"/>
    <x v="0"/>
  </r>
  <r>
    <x v="311"/>
    <x v="0"/>
    <x v="0"/>
    <x v="1"/>
    <x v="1"/>
    <x v="9"/>
    <x v="0"/>
    <x v="5"/>
    <x v="0"/>
    <x v="0"/>
    <x v="1"/>
    <x v="4"/>
    <x v="0"/>
    <x v="1"/>
    <x v="36"/>
    <x v="0"/>
    <x v="0"/>
    <x v="1"/>
    <x v="0"/>
    <x v="0"/>
    <x v="0"/>
  </r>
  <r>
    <x v="312"/>
    <x v="0"/>
    <x v="0"/>
    <x v="0"/>
    <x v="0"/>
    <x v="9"/>
    <x v="0"/>
    <x v="5"/>
    <x v="0"/>
    <x v="0"/>
    <x v="1"/>
    <x v="3"/>
    <x v="0"/>
    <x v="1"/>
    <x v="15"/>
    <x v="0"/>
    <x v="0"/>
    <x v="0"/>
    <x v="0"/>
    <x v="0"/>
    <x v="0"/>
  </r>
  <r>
    <x v="313"/>
    <x v="1"/>
    <x v="1"/>
    <x v="0"/>
    <x v="0"/>
    <x v="9"/>
    <x v="0"/>
    <x v="0"/>
    <x v="2"/>
    <x v="0"/>
    <x v="1"/>
    <x v="1"/>
    <x v="0"/>
    <x v="1"/>
    <x v="15"/>
    <x v="0"/>
    <x v="0"/>
    <x v="0"/>
    <x v="0"/>
    <x v="0"/>
    <x v="0"/>
  </r>
  <r>
    <x v="314"/>
    <x v="0"/>
    <x v="0"/>
    <x v="1"/>
    <x v="1"/>
    <x v="9"/>
    <x v="0"/>
    <x v="3"/>
    <x v="2"/>
    <x v="3"/>
    <x v="0"/>
    <x v="3"/>
    <x v="3"/>
    <x v="2"/>
    <x v="15"/>
    <x v="0"/>
    <x v="0"/>
    <x v="0"/>
    <x v="0"/>
    <x v="0"/>
    <x v="0"/>
  </r>
  <r>
    <x v="315"/>
    <x v="0"/>
    <x v="0"/>
    <x v="1"/>
    <x v="1"/>
    <x v="9"/>
    <x v="0"/>
    <x v="0"/>
    <x v="2"/>
    <x v="0"/>
    <x v="1"/>
    <x v="1"/>
    <x v="0"/>
    <x v="1"/>
    <x v="7"/>
    <x v="0"/>
    <x v="1"/>
    <x v="1"/>
    <x v="0"/>
    <x v="0"/>
    <x v="0"/>
  </r>
  <r>
    <x v="316"/>
    <x v="1"/>
    <x v="1"/>
    <x v="0"/>
    <x v="0"/>
    <x v="9"/>
    <x v="0"/>
    <x v="5"/>
    <x v="1"/>
    <x v="1"/>
    <x v="1"/>
    <x v="3"/>
    <x v="3"/>
    <x v="1"/>
    <x v="16"/>
    <x v="0"/>
    <x v="1"/>
    <x v="1"/>
    <x v="0"/>
    <x v="0"/>
    <x v="0"/>
  </r>
  <r>
    <x v="317"/>
    <x v="1"/>
    <x v="1"/>
    <x v="0"/>
    <x v="0"/>
    <x v="9"/>
    <x v="0"/>
    <x v="5"/>
    <x v="1"/>
    <x v="1"/>
    <x v="1"/>
    <x v="3"/>
    <x v="0"/>
    <x v="1"/>
    <x v="16"/>
    <x v="0"/>
    <x v="1"/>
    <x v="0"/>
    <x v="0"/>
    <x v="0"/>
    <x v="0"/>
  </r>
  <r>
    <x v="318"/>
    <x v="0"/>
    <x v="0"/>
    <x v="1"/>
    <x v="1"/>
    <x v="9"/>
    <x v="0"/>
    <x v="3"/>
    <x v="0"/>
    <x v="3"/>
    <x v="1"/>
    <x v="3"/>
    <x v="0"/>
    <x v="2"/>
    <x v="16"/>
    <x v="0"/>
    <x v="1"/>
    <x v="0"/>
    <x v="0"/>
    <x v="0"/>
    <x v="0"/>
  </r>
  <r>
    <x v="319"/>
    <x v="0"/>
    <x v="0"/>
    <x v="1"/>
    <x v="1"/>
    <x v="9"/>
    <x v="0"/>
    <x v="5"/>
    <x v="4"/>
    <x v="3"/>
    <x v="1"/>
    <x v="3"/>
    <x v="0"/>
    <x v="1"/>
    <x v="16"/>
    <x v="0"/>
    <x v="1"/>
    <x v="1"/>
    <x v="0"/>
    <x v="0"/>
    <x v="0"/>
  </r>
  <r>
    <x v="320"/>
    <x v="0"/>
    <x v="0"/>
    <x v="1"/>
    <x v="1"/>
    <x v="9"/>
    <x v="0"/>
    <x v="3"/>
    <x v="0"/>
    <x v="3"/>
    <x v="1"/>
    <x v="3"/>
    <x v="0"/>
    <x v="2"/>
    <x v="16"/>
    <x v="0"/>
    <x v="1"/>
    <x v="0"/>
    <x v="0"/>
    <x v="0"/>
    <x v="0"/>
  </r>
  <r>
    <x v="321"/>
    <x v="0"/>
    <x v="0"/>
    <x v="1"/>
    <x v="1"/>
    <x v="9"/>
    <x v="0"/>
    <x v="5"/>
    <x v="2"/>
    <x v="0"/>
    <x v="0"/>
    <x v="4"/>
    <x v="3"/>
    <x v="1"/>
    <x v="16"/>
    <x v="0"/>
    <x v="1"/>
    <x v="0"/>
    <x v="0"/>
    <x v="0"/>
    <x v="0"/>
  </r>
  <r>
    <x v="322"/>
    <x v="1"/>
    <x v="1"/>
    <x v="1"/>
    <x v="1"/>
    <x v="9"/>
    <x v="0"/>
    <x v="5"/>
    <x v="2"/>
    <x v="0"/>
    <x v="1"/>
    <x v="1"/>
    <x v="0"/>
    <x v="1"/>
    <x v="16"/>
    <x v="0"/>
    <x v="1"/>
    <x v="0"/>
    <x v="0"/>
    <x v="0"/>
    <x v="0"/>
  </r>
  <r>
    <x v="323"/>
    <x v="0"/>
    <x v="0"/>
    <x v="0"/>
    <x v="0"/>
    <x v="9"/>
    <x v="0"/>
    <x v="3"/>
    <x v="2"/>
    <x v="0"/>
    <x v="1"/>
    <x v="3"/>
    <x v="4"/>
    <x v="1"/>
    <x v="31"/>
    <x v="0"/>
    <x v="1"/>
    <x v="1"/>
    <x v="0"/>
    <x v="0"/>
    <x v="0"/>
  </r>
  <r>
    <x v="324"/>
    <x v="0"/>
    <x v="0"/>
    <x v="0"/>
    <x v="0"/>
    <x v="9"/>
    <x v="0"/>
    <x v="3"/>
    <x v="2"/>
    <x v="0"/>
    <x v="1"/>
    <x v="3"/>
    <x v="2"/>
    <x v="1"/>
    <x v="31"/>
    <x v="0"/>
    <x v="1"/>
    <x v="1"/>
    <x v="0"/>
    <x v="0"/>
    <x v="0"/>
  </r>
  <r>
    <x v="325"/>
    <x v="1"/>
    <x v="1"/>
    <x v="0"/>
    <x v="0"/>
    <x v="9"/>
    <x v="0"/>
    <x v="5"/>
    <x v="1"/>
    <x v="1"/>
    <x v="0"/>
    <x v="3"/>
    <x v="3"/>
    <x v="1"/>
    <x v="31"/>
    <x v="0"/>
    <x v="1"/>
    <x v="1"/>
    <x v="0"/>
    <x v="0"/>
    <x v="0"/>
  </r>
  <r>
    <x v="326"/>
    <x v="1"/>
    <x v="1"/>
    <x v="0"/>
    <x v="0"/>
    <x v="9"/>
    <x v="0"/>
    <x v="5"/>
    <x v="1"/>
    <x v="1"/>
    <x v="1"/>
    <x v="3"/>
    <x v="0"/>
    <x v="1"/>
    <x v="31"/>
    <x v="0"/>
    <x v="1"/>
    <x v="0"/>
    <x v="0"/>
    <x v="0"/>
    <x v="0"/>
  </r>
  <r>
    <x v="327"/>
    <x v="0"/>
    <x v="0"/>
    <x v="1"/>
    <x v="1"/>
    <x v="9"/>
    <x v="0"/>
    <x v="0"/>
    <x v="0"/>
    <x v="0"/>
    <x v="1"/>
    <x v="3"/>
    <x v="2"/>
    <x v="1"/>
    <x v="31"/>
    <x v="0"/>
    <x v="1"/>
    <x v="1"/>
    <x v="0"/>
    <x v="0"/>
    <x v="0"/>
  </r>
  <r>
    <x v="328"/>
    <x v="0"/>
    <x v="0"/>
    <x v="1"/>
    <x v="1"/>
    <x v="9"/>
    <x v="0"/>
    <x v="5"/>
    <x v="1"/>
    <x v="1"/>
    <x v="1"/>
    <x v="3"/>
    <x v="0"/>
    <x v="1"/>
    <x v="31"/>
    <x v="0"/>
    <x v="1"/>
    <x v="0"/>
    <x v="0"/>
    <x v="0"/>
    <x v="0"/>
  </r>
  <r>
    <x v="329"/>
    <x v="0"/>
    <x v="0"/>
    <x v="1"/>
    <x v="1"/>
    <x v="9"/>
    <x v="0"/>
    <x v="3"/>
    <x v="4"/>
    <x v="3"/>
    <x v="1"/>
    <x v="3"/>
    <x v="2"/>
    <x v="1"/>
    <x v="31"/>
    <x v="0"/>
    <x v="1"/>
    <x v="1"/>
    <x v="0"/>
    <x v="0"/>
    <x v="0"/>
  </r>
  <r>
    <x v="330"/>
    <x v="1"/>
    <x v="1"/>
    <x v="1"/>
    <x v="1"/>
    <x v="9"/>
    <x v="0"/>
    <x v="5"/>
    <x v="1"/>
    <x v="1"/>
    <x v="0"/>
    <x v="3"/>
    <x v="3"/>
    <x v="1"/>
    <x v="31"/>
    <x v="0"/>
    <x v="1"/>
    <x v="0"/>
    <x v="0"/>
    <x v="0"/>
    <x v="0"/>
  </r>
  <r>
    <x v="331"/>
    <x v="1"/>
    <x v="1"/>
    <x v="0"/>
    <x v="0"/>
    <x v="9"/>
    <x v="0"/>
    <x v="3"/>
    <x v="4"/>
    <x v="3"/>
    <x v="0"/>
    <x v="3"/>
    <x v="4"/>
    <x v="1"/>
    <x v="17"/>
    <x v="0"/>
    <x v="1"/>
    <x v="0"/>
    <x v="0"/>
    <x v="0"/>
    <x v="0"/>
  </r>
  <r>
    <x v="332"/>
    <x v="0"/>
    <x v="0"/>
    <x v="1"/>
    <x v="1"/>
    <x v="9"/>
    <x v="0"/>
    <x v="3"/>
    <x v="4"/>
    <x v="3"/>
    <x v="1"/>
    <x v="3"/>
    <x v="2"/>
    <x v="1"/>
    <x v="17"/>
    <x v="0"/>
    <x v="1"/>
    <x v="1"/>
    <x v="0"/>
    <x v="0"/>
    <x v="0"/>
  </r>
  <r>
    <x v="333"/>
    <x v="0"/>
    <x v="0"/>
    <x v="0"/>
    <x v="0"/>
    <x v="9"/>
    <x v="0"/>
    <x v="0"/>
    <x v="0"/>
    <x v="0"/>
    <x v="1"/>
    <x v="4"/>
    <x v="3"/>
    <x v="1"/>
    <x v="1"/>
    <x v="0"/>
    <x v="1"/>
    <x v="1"/>
    <x v="0"/>
    <x v="0"/>
    <x v="0"/>
  </r>
  <r>
    <x v="334"/>
    <x v="0"/>
    <x v="0"/>
    <x v="0"/>
    <x v="0"/>
    <x v="9"/>
    <x v="0"/>
    <x v="0"/>
    <x v="0"/>
    <x v="0"/>
    <x v="0"/>
    <x v="4"/>
    <x v="3"/>
    <x v="1"/>
    <x v="28"/>
    <x v="0"/>
    <x v="1"/>
    <x v="1"/>
    <x v="0"/>
    <x v="0"/>
    <x v="0"/>
  </r>
  <r>
    <x v="335"/>
    <x v="0"/>
    <x v="0"/>
    <x v="0"/>
    <x v="0"/>
    <x v="9"/>
    <x v="0"/>
    <x v="0"/>
    <x v="0"/>
    <x v="0"/>
    <x v="1"/>
    <x v="4"/>
    <x v="2"/>
    <x v="1"/>
    <x v="28"/>
    <x v="0"/>
    <x v="1"/>
    <x v="1"/>
    <x v="0"/>
    <x v="0"/>
    <x v="0"/>
  </r>
  <r>
    <x v="336"/>
    <x v="1"/>
    <x v="1"/>
    <x v="1"/>
    <x v="1"/>
    <x v="9"/>
    <x v="0"/>
    <x v="0"/>
    <x v="0"/>
    <x v="0"/>
    <x v="1"/>
    <x v="4"/>
    <x v="2"/>
    <x v="1"/>
    <x v="28"/>
    <x v="0"/>
    <x v="1"/>
    <x v="1"/>
    <x v="0"/>
    <x v="0"/>
    <x v="0"/>
  </r>
  <r>
    <x v="337"/>
    <x v="0"/>
    <x v="0"/>
    <x v="1"/>
    <x v="1"/>
    <x v="9"/>
    <x v="0"/>
    <x v="1"/>
    <x v="0"/>
    <x v="0"/>
    <x v="1"/>
    <x v="3"/>
    <x v="3"/>
    <x v="1"/>
    <x v="40"/>
    <x v="0"/>
    <x v="1"/>
    <x v="0"/>
    <x v="0"/>
    <x v="0"/>
    <x v="0"/>
  </r>
  <r>
    <x v="338"/>
    <x v="0"/>
    <x v="0"/>
    <x v="0"/>
    <x v="0"/>
    <x v="9"/>
    <x v="0"/>
    <x v="3"/>
    <x v="0"/>
    <x v="0"/>
    <x v="1"/>
    <x v="4"/>
    <x v="2"/>
    <x v="1"/>
    <x v="18"/>
    <x v="0"/>
    <x v="1"/>
    <x v="1"/>
    <x v="0"/>
    <x v="0"/>
    <x v="0"/>
  </r>
  <r>
    <x v="339"/>
    <x v="1"/>
    <x v="1"/>
    <x v="0"/>
    <x v="0"/>
    <x v="9"/>
    <x v="0"/>
    <x v="3"/>
    <x v="3"/>
    <x v="1"/>
    <x v="0"/>
    <x v="4"/>
    <x v="4"/>
    <x v="1"/>
    <x v="18"/>
    <x v="0"/>
    <x v="1"/>
    <x v="0"/>
    <x v="0"/>
    <x v="0"/>
    <x v="0"/>
  </r>
  <r>
    <x v="340"/>
    <x v="0"/>
    <x v="0"/>
    <x v="1"/>
    <x v="1"/>
    <x v="9"/>
    <x v="0"/>
    <x v="0"/>
    <x v="3"/>
    <x v="1"/>
    <x v="1"/>
    <x v="4"/>
    <x v="3"/>
    <x v="1"/>
    <x v="18"/>
    <x v="0"/>
    <x v="1"/>
    <x v="1"/>
    <x v="0"/>
    <x v="0"/>
    <x v="0"/>
  </r>
  <r>
    <x v="341"/>
    <x v="0"/>
    <x v="0"/>
    <x v="0"/>
    <x v="0"/>
    <x v="9"/>
    <x v="0"/>
    <x v="0"/>
    <x v="3"/>
    <x v="1"/>
    <x v="1"/>
    <x v="4"/>
    <x v="2"/>
    <x v="1"/>
    <x v="19"/>
    <x v="0"/>
    <x v="1"/>
    <x v="1"/>
    <x v="0"/>
    <x v="0"/>
    <x v="0"/>
  </r>
  <r>
    <x v="342"/>
    <x v="0"/>
    <x v="0"/>
    <x v="0"/>
    <x v="0"/>
    <x v="9"/>
    <x v="0"/>
    <x v="0"/>
    <x v="3"/>
    <x v="1"/>
    <x v="0"/>
    <x v="4"/>
    <x v="3"/>
    <x v="1"/>
    <x v="19"/>
    <x v="0"/>
    <x v="1"/>
    <x v="1"/>
    <x v="0"/>
    <x v="0"/>
    <x v="0"/>
  </r>
  <r>
    <x v="343"/>
    <x v="0"/>
    <x v="0"/>
    <x v="0"/>
    <x v="0"/>
    <x v="9"/>
    <x v="0"/>
    <x v="0"/>
    <x v="3"/>
    <x v="1"/>
    <x v="1"/>
    <x v="4"/>
    <x v="3"/>
    <x v="1"/>
    <x v="19"/>
    <x v="0"/>
    <x v="1"/>
    <x v="1"/>
    <x v="0"/>
    <x v="0"/>
    <x v="0"/>
  </r>
  <r>
    <x v="344"/>
    <x v="0"/>
    <x v="0"/>
    <x v="0"/>
    <x v="0"/>
    <x v="9"/>
    <x v="0"/>
    <x v="3"/>
    <x v="0"/>
    <x v="0"/>
    <x v="1"/>
    <x v="4"/>
    <x v="4"/>
    <x v="1"/>
    <x v="19"/>
    <x v="0"/>
    <x v="1"/>
    <x v="1"/>
    <x v="0"/>
    <x v="0"/>
    <x v="0"/>
  </r>
  <r>
    <x v="345"/>
    <x v="1"/>
    <x v="1"/>
    <x v="0"/>
    <x v="0"/>
    <x v="9"/>
    <x v="0"/>
    <x v="3"/>
    <x v="3"/>
    <x v="1"/>
    <x v="1"/>
    <x v="4"/>
    <x v="2"/>
    <x v="1"/>
    <x v="19"/>
    <x v="0"/>
    <x v="1"/>
    <x v="1"/>
    <x v="0"/>
    <x v="0"/>
    <x v="0"/>
  </r>
  <r>
    <x v="346"/>
    <x v="1"/>
    <x v="1"/>
    <x v="0"/>
    <x v="0"/>
    <x v="9"/>
    <x v="0"/>
    <x v="3"/>
    <x v="3"/>
    <x v="1"/>
    <x v="0"/>
    <x v="4"/>
    <x v="4"/>
    <x v="1"/>
    <x v="19"/>
    <x v="0"/>
    <x v="1"/>
    <x v="0"/>
    <x v="0"/>
    <x v="0"/>
    <x v="0"/>
  </r>
  <r>
    <x v="347"/>
    <x v="0"/>
    <x v="0"/>
    <x v="1"/>
    <x v="1"/>
    <x v="9"/>
    <x v="0"/>
    <x v="3"/>
    <x v="0"/>
    <x v="0"/>
    <x v="1"/>
    <x v="4"/>
    <x v="2"/>
    <x v="1"/>
    <x v="19"/>
    <x v="0"/>
    <x v="1"/>
    <x v="1"/>
    <x v="0"/>
    <x v="0"/>
    <x v="0"/>
  </r>
  <r>
    <x v="348"/>
    <x v="1"/>
    <x v="1"/>
    <x v="1"/>
    <x v="1"/>
    <x v="9"/>
    <x v="0"/>
    <x v="3"/>
    <x v="3"/>
    <x v="1"/>
    <x v="0"/>
    <x v="4"/>
    <x v="4"/>
    <x v="1"/>
    <x v="19"/>
    <x v="0"/>
    <x v="1"/>
    <x v="0"/>
    <x v="0"/>
    <x v="0"/>
    <x v="0"/>
  </r>
  <r>
    <x v="349"/>
    <x v="0"/>
    <x v="0"/>
    <x v="1"/>
    <x v="1"/>
    <x v="9"/>
    <x v="0"/>
    <x v="1"/>
    <x v="3"/>
    <x v="1"/>
    <x v="1"/>
    <x v="2"/>
    <x v="2"/>
    <x v="1"/>
    <x v="41"/>
    <x v="0"/>
    <x v="1"/>
    <x v="1"/>
    <x v="0"/>
    <x v="0"/>
    <x v="0"/>
  </r>
  <r>
    <x v="350"/>
    <x v="1"/>
    <x v="1"/>
    <x v="1"/>
    <x v="1"/>
    <x v="9"/>
    <x v="0"/>
    <x v="1"/>
    <x v="3"/>
    <x v="1"/>
    <x v="1"/>
    <x v="0"/>
    <x v="2"/>
    <x v="1"/>
    <x v="41"/>
    <x v="0"/>
    <x v="1"/>
    <x v="0"/>
    <x v="0"/>
    <x v="0"/>
    <x v="0"/>
  </r>
  <r>
    <x v="351"/>
    <x v="1"/>
    <x v="1"/>
    <x v="1"/>
    <x v="1"/>
    <x v="9"/>
    <x v="0"/>
    <x v="1"/>
    <x v="3"/>
    <x v="1"/>
    <x v="1"/>
    <x v="0"/>
    <x v="2"/>
    <x v="1"/>
    <x v="41"/>
    <x v="0"/>
    <x v="1"/>
    <x v="0"/>
    <x v="0"/>
    <x v="0"/>
    <x v="0"/>
  </r>
  <r>
    <x v="352"/>
    <x v="1"/>
    <x v="1"/>
    <x v="0"/>
    <x v="0"/>
    <x v="9"/>
    <x v="0"/>
    <x v="0"/>
    <x v="3"/>
    <x v="1"/>
    <x v="1"/>
    <x v="3"/>
    <x v="2"/>
    <x v="1"/>
    <x v="20"/>
    <x v="0"/>
    <x v="1"/>
    <x v="1"/>
    <x v="0"/>
    <x v="0"/>
    <x v="0"/>
  </r>
  <r>
    <x v="353"/>
    <x v="0"/>
    <x v="0"/>
    <x v="1"/>
    <x v="1"/>
    <x v="9"/>
    <x v="0"/>
    <x v="1"/>
    <x v="3"/>
    <x v="1"/>
    <x v="1"/>
    <x v="3"/>
    <x v="4"/>
    <x v="1"/>
    <x v="20"/>
    <x v="0"/>
    <x v="1"/>
    <x v="1"/>
    <x v="0"/>
    <x v="0"/>
    <x v="0"/>
  </r>
  <r>
    <x v="354"/>
    <x v="1"/>
    <x v="1"/>
    <x v="0"/>
    <x v="0"/>
    <x v="9"/>
    <x v="0"/>
    <x v="0"/>
    <x v="3"/>
    <x v="1"/>
    <x v="1"/>
    <x v="3"/>
    <x v="3"/>
    <x v="1"/>
    <x v="29"/>
    <x v="0"/>
    <x v="1"/>
    <x v="0"/>
    <x v="0"/>
    <x v="0"/>
    <x v="0"/>
  </r>
  <r>
    <x v="355"/>
    <x v="0"/>
    <x v="0"/>
    <x v="1"/>
    <x v="1"/>
    <x v="9"/>
    <x v="0"/>
    <x v="1"/>
    <x v="3"/>
    <x v="1"/>
    <x v="1"/>
    <x v="3"/>
    <x v="2"/>
    <x v="1"/>
    <x v="37"/>
    <x v="0"/>
    <x v="1"/>
    <x v="1"/>
    <x v="0"/>
    <x v="0"/>
    <x v="0"/>
  </r>
  <r>
    <x v="356"/>
    <x v="1"/>
    <x v="1"/>
    <x v="0"/>
    <x v="0"/>
    <x v="9"/>
    <x v="0"/>
    <x v="1"/>
    <x v="1"/>
    <x v="1"/>
    <x v="1"/>
    <x v="3"/>
    <x v="2"/>
    <x v="1"/>
    <x v="21"/>
    <x v="0"/>
    <x v="1"/>
    <x v="0"/>
    <x v="0"/>
    <x v="0"/>
    <x v="0"/>
  </r>
  <r>
    <x v="357"/>
    <x v="0"/>
    <x v="0"/>
    <x v="1"/>
    <x v="1"/>
    <x v="9"/>
    <x v="0"/>
    <x v="0"/>
    <x v="1"/>
    <x v="1"/>
    <x v="1"/>
    <x v="3"/>
    <x v="0"/>
    <x v="1"/>
    <x v="34"/>
    <x v="0"/>
    <x v="1"/>
    <x v="1"/>
    <x v="0"/>
    <x v="0"/>
    <x v="0"/>
  </r>
  <r>
    <x v="358"/>
    <x v="1"/>
    <x v="1"/>
    <x v="1"/>
    <x v="1"/>
    <x v="9"/>
    <x v="0"/>
    <x v="4"/>
    <x v="1"/>
    <x v="1"/>
    <x v="1"/>
    <x v="3"/>
    <x v="0"/>
    <x v="1"/>
    <x v="46"/>
    <x v="0"/>
    <x v="1"/>
    <x v="0"/>
    <x v="0"/>
    <x v="0"/>
    <x v="0"/>
  </r>
  <r>
    <x v="359"/>
    <x v="0"/>
    <x v="0"/>
    <x v="0"/>
    <x v="0"/>
    <x v="10"/>
    <x v="0"/>
    <x v="4"/>
    <x v="0"/>
    <x v="3"/>
    <x v="0"/>
    <x v="4"/>
    <x v="3"/>
    <x v="1"/>
    <x v="45"/>
    <x v="0"/>
    <x v="2"/>
    <x v="1"/>
    <x v="0"/>
    <x v="0"/>
    <x v="0"/>
  </r>
  <r>
    <x v="360"/>
    <x v="0"/>
    <x v="0"/>
    <x v="1"/>
    <x v="1"/>
    <x v="10"/>
    <x v="0"/>
    <x v="4"/>
    <x v="0"/>
    <x v="3"/>
    <x v="1"/>
    <x v="4"/>
    <x v="0"/>
    <x v="1"/>
    <x v="45"/>
    <x v="0"/>
    <x v="2"/>
    <x v="0"/>
    <x v="0"/>
    <x v="0"/>
    <x v="0"/>
  </r>
  <r>
    <x v="361"/>
    <x v="1"/>
    <x v="1"/>
    <x v="1"/>
    <x v="1"/>
    <x v="10"/>
    <x v="0"/>
    <x v="4"/>
    <x v="0"/>
    <x v="3"/>
    <x v="1"/>
    <x v="4"/>
    <x v="0"/>
    <x v="1"/>
    <x v="45"/>
    <x v="0"/>
    <x v="2"/>
    <x v="0"/>
    <x v="0"/>
    <x v="0"/>
    <x v="0"/>
  </r>
  <r>
    <x v="362"/>
    <x v="0"/>
    <x v="0"/>
    <x v="0"/>
    <x v="0"/>
    <x v="10"/>
    <x v="0"/>
    <x v="4"/>
    <x v="0"/>
    <x v="3"/>
    <x v="1"/>
    <x v="3"/>
    <x v="0"/>
    <x v="1"/>
    <x v="38"/>
    <x v="0"/>
    <x v="2"/>
    <x v="1"/>
    <x v="0"/>
    <x v="0"/>
    <x v="0"/>
  </r>
  <r>
    <x v="363"/>
    <x v="0"/>
    <x v="0"/>
    <x v="1"/>
    <x v="1"/>
    <x v="10"/>
    <x v="0"/>
    <x v="4"/>
    <x v="0"/>
    <x v="3"/>
    <x v="0"/>
    <x v="3"/>
    <x v="3"/>
    <x v="1"/>
    <x v="38"/>
    <x v="0"/>
    <x v="2"/>
    <x v="1"/>
    <x v="0"/>
    <x v="0"/>
    <x v="0"/>
  </r>
  <r>
    <x v="364"/>
    <x v="1"/>
    <x v="1"/>
    <x v="1"/>
    <x v="1"/>
    <x v="10"/>
    <x v="0"/>
    <x v="4"/>
    <x v="0"/>
    <x v="3"/>
    <x v="1"/>
    <x v="1"/>
    <x v="0"/>
    <x v="1"/>
    <x v="38"/>
    <x v="0"/>
    <x v="2"/>
    <x v="1"/>
    <x v="0"/>
    <x v="0"/>
    <x v="0"/>
  </r>
  <r>
    <x v="365"/>
    <x v="1"/>
    <x v="1"/>
    <x v="1"/>
    <x v="1"/>
    <x v="10"/>
    <x v="0"/>
    <x v="4"/>
    <x v="0"/>
    <x v="3"/>
    <x v="0"/>
    <x v="3"/>
    <x v="3"/>
    <x v="1"/>
    <x v="38"/>
    <x v="0"/>
    <x v="2"/>
    <x v="1"/>
    <x v="0"/>
    <x v="0"/>
    <x v="0"/>
  </r>
  <r>
    <x v="366"/>
    <x v="0"/>
    <x v="0"/>
    <x v="0"/>
    <x v="0"/>
    <x v="10"/>
    <x v="0"/>
    <x v="4"/>
    <x v="0"/>
    <x v="0"/>
    <x v="1"/>
    <x v="3"/>
    <x v="0"/>
    <x v="1"/>
    <x v="39"/>
    <x v="0"/>
    <x v="0"/>
    <x v="1"/>
    <x v="0"/>
    <x v="0"/>
    <x v="0"/>
  </r>
  <r>
    <x v="367"/>
    <x v="1"/>
    <x v="1"/>
    <x v="1"/>
    <x v="1"/>
    <x v="10"/>
    <x v="0"/>
    <x v="4"/>
    <x v="3"/>
    <x v="3"/>
    <x v="0"/>
    <x v="3"/>
    <x v="1"/>
    <x v="1"/>
    <x v="39"/>
    <x v="0"/>
    <x v="0"/>
    <x v="1"/>
    <x v="0"/>
    <x v="0"/>
    <x v="0"/>
  </r>
  <r>
    <x v="368"/>
    <x v="1"/>
    <x v="1"/>
    <x v="1"/>
    <x v="1"/>
    <x v="10"/>
    <x v="0"/>
    <x v="4"/>
    <x v="0"/>
    <x v="0"/>
    <x v="0"/>
    <x v="3"/>
    <x v="3"/>
    <x v="1"/>
    <x v="39"/>
    <x v="0"/>
    <x v="0"/>
    <x v="1"/>
    <x v="0"/>
    <x v="0"/>
    <x v="0"/>
  </r>
  <r>
    <x v="369"/>
    <x v="0"/>
    <x v="0"/>
    <x v="0"/>
    <x v="0"/>
    <x v="10"/>
    <x v="0"/>
    <x v="4"/>
    <x v="0"/>
    <x v="3"/>
    <x v="1"/>
    <x v="3"/>
    <x v="0"/>
    <x v="1"/>
    <x v="8"/>
    <x v="0"/>
    <x v="0"/>
    <x v="1"/>
    <x v="0"/>
    <x v="0"/>
    <x v="0"/>
  </r>
  <r>
    <x v="370"/>
    <x v="0"/>
    <x v="0"/>
    <x v="1"/>
    <x v="1"/>
    <x v="10"/>
    <x v="0"/>
    <x v="4"/>
    <x v="0"/>
    <x v="3"/>
    <x v="0"/>
    <x v="3"/>
    <x v="3"/>
    <x v="1"/>
    <x v="8"/>
    <x v="0"/>
    <x v="0"/>
    <x v="1"/>
    <x v="0"/>
    <x v="0"/>
    <x v="0"/>
  </r>
  <r>
    <x v="371"/>
    <x v="1"/>
    <x v="1"/>
    <x v="1"/>
    <x v="1"/>
    <x v="10"/>
    <x v="0"/>
    <x v="4"/>
    <x v="3"/>
    <x v="0"/>
    <x v="0"/>
    <x v="2"/>
    <x v="4"/>
    <x v="2"/>
    <x v="8"/>
    <x v="0"/>
    <x v="0"/>
    <x v="1"/>
    <x v="0"/>
    <x v="0"/>
    <x v="0"/>
  </r>
  <r>
    <x v="372"/>
    <x v="1"/>
    <x v="1"/>
    <x v="1"/>
    <x v="1"/>
    <x v="10"/>
    <x v="0"/>
    <x v="4"/>
    <x v="3"/>
    <x v="0"/>
    <x v="0"/>
    <x v="0"/>
    <x v="4"/>
    <x v="2"/>
    <x v="8"/>
    <x v="0"/>
    <x v="0"/>
    <x v="1"/>
    <x v="0"/>
    <x v="0"/>
    <x v="0"/>
  </r>
  <r>
    <x v="373"/>
    <x v="0"/>
    <x v="0"/>
    <x v="0"/>
    <x v="0"/>
    <x v="10"/>
    <x v="0"/>
    <x v="4"/>
    <x v="0"/>
    <x v="0"/>
    <x v="1"/>
    <x v="3"/>
    <x v="0"/>
    <x v="1"/>
    <x v="23"/>
    <x v="0"/>
    <x v="0"/>
    <x v="1"/>
    <x v="0"/>
    <x v="0"/>
    <x v="0"/>
  </r>
  <r>
    <x v="374"/>
    <x v="1"/>
    <x v="1"/>
    <x v="0"/>
    <x v="0"/>
    <x v="10"/>
    <x v="0"/>
    <x v="4"/>
    <x v="0"/>
    <x v="0"/>
    <x v="0"/>
    <x v="3"/>
    <x v="3"/>
    <x v="1"/>
    <x v="23"/>
    <x v="0"/>
    <x v="0"/>
    <x v="0"/>
    <x v="0"/>
    <x v="0"/>
    <x v="0"/>
  </r>
  <r>
    <x v="375"/>
    <x v="0"/>
    <x v="0"/>
    <x v="1"/>
    <x v="1"/>
    <x v="10"/>
    <x v="0"/>
    <x v="4"/>
    <x v="0"/>
    <x v="3"/>
    <x v="1"/>
    <x v="4"/>
    <x v="0"/>
    <x v="1"/>
    <x v="23"/>
    <x v="0"/>
    <x v="0"/>
    <x v="0"/>
    <x v="0"/>
    <x v="0"/>
    <x v="0"/>
  </r>
  <r>
    <x v="376"/>
    <x v="0"/>
    <x v="0"/>
    <x v="1"/>
    <x v="1"/>
    <x v="10"/>
    <x v="0"/>
    <x v="4"/>
    <x v="0"/>
    <x v="0"/>
    <x v="1"/>
    <x v="3"/>
    <x v="0"/>
    <x v="1"/>
    <x v="23"/>
    <x v="0"/>
    <x v="0"/>
    <x v="1"/>
    <x v="0"/>
    <x v="0"/>
    <x v="0"/>
  </r>
  <r>
    <x v="377"/>
    <x v="0"/>
    <x v="0"/>
    <x v="1"/>
    <x v="1"/>
    <x v="10"/>
    <x v="0"/>
    <x v="4"/>
    <x v="2"/>
    <x v="0"/>
    <x v="1"/>
    <x v="3"/>
    <x v="0"/>
    <x v="1"/>
    <x v="23"/>
    <x v="0"/>
    <x v="0"/>
    <x v="0"/>
    <x v="0"/>
    <x v="0"/>
    <x v="0"/>
  </r>
  <r>
    <x v="378"/>
    <x v="1"/>
    <x v="1"/>
    <x v="1"/>
    <x v="1"/>
    <x v="10"/>
    <x v="0"/>
    <x v="4"/>
    <x v="0"/>
    <x v="0"/>
    <x v="0"/>
    <x v="3"/>
    <x v="3"/>
    <x v="1"/>
    <x v="23"/>
    <x v="0"/>
    <x v="0"/>
    <x v="0"/>
    <x v="0"/>
    <x v="0"/>
    <x v="0"/>
  </r>
  <r>
    <x v="379"/>
    <x v="0"/>
    <x v="0"/>
    <x v="0"/>
    <x v="0"/>
    <x v="10"/>
    <x v="0"/>
    <x v="4"/>
    <x v="0"/>
    <x v="3"/>
    <x v="0"/>
    <x v="4"/>
    <x v="3"/>
    <x v="1"/>
    <x v="3"/>
    <x v="0"/>
    <x v="0"/>
    <x v="1"/>
    <x v="0"/>
    <x v="0"/>
    <x v="0"/>
  </r>
  <r>
    <x v="380"/>
    <x v="1"/>
    <x v="1"/>
    <x v="0"/>
    <x v="0"/>
    <x v="10"/>
    <x v="0"/>
    <x v="4"/>
    <x v="0"/>
    <x v="3"/>
    <x v="0"/>
    <x v="4"/>
    <x v="3"/>
    <x v="1"/>
    <x v="3"/>
    <x v="0"/>
    <x v="0"/>
    <x v="0"/>
    <x v="0"/>
    <x v="0"/>
    <x v="0"/>
  </r>
  <r>
    <x v="381"/>
    <x v="0"/>
    <x v="0"/>
    <x v="1"/>
    <x v="1"/>
    <x v="10"/>
    <x v="0"/>
    <x v="2"/>
    <x v="1"/>
    <x v="3"/>
    <x v="1"/>
    <x v="1"/>
    <x v="1"/>
    <x v="1"/>
    <x v="3"/>
    <x v="0"/>
    <x v="0"/>
    <x v="1"/>
    <x v="0"/>
    <x v="0"/>
    <x v="0"/>
  </r>
  <r>
    <x v="382"/>
    <x v="0"/>
    <x v="0"/>
    <x v="1"/>
    <x v="1"/>
    <x v="10"/>
    <x v="0"/>
    <x v="4"/>
    <x v="0"/>
    <x v="3"/>
    <x v="1"/>
    <x v="3"/>
    <x v="0"/>
    <x v="1"/>
    <x v="3"/>
    <x v="0"/>
    <x v="0"/>
    <x v="0"/>
    <x v="0"/>
    <x v="0"/>
    <x v="0"/>
  </r>
  <r>
    <x v="383"/>
    <x v="0"/>
    <x v="0"/>
    <x v="0"/>
    <x v="0"/>
    <x v="10"/>
    <x v="0"/>
    <x v="2"/>
    <x v="1"/>
    <x v="3"/>
    <x v="1"/>
    <x v="1"/>
    <x v="1"/>
    <x v="1"/>
    <x v="24"/>
    <x v="0"/>
    <x v="0"/>
    <x v="1"/>
    <x v="0"/>
    <x v="0"/>
    <x v="0"/>
  </r>
  <r>
    <x v="384"/>
    <x v="0"/>
    <x v="0"/>
    <x v="0"/>
    <x v="0"/>
    <x v="10"/>
    <x v="0"/>
    <x v="2"/>
    <x v="1"/>
    <x v="3"/>
    <x v="1"/>
    <x v="1"/>
    <x v="4"/>
    <x v="1"/>
    <x v="24"/>
    <x v="0"/>
    <x v="0"/>
    <x v="0"/>
    <x v="0"/>
    <x v="0"/>
    <x v="0"/>
  </r>
  <r>
    <x v="385"/>
    <x v="0"/>
    <x v="0"/>
    <x v="1"/>
    <x v="1"/>
    <x v="10"/>
    <x v="0"/>
    <x v="2"/>
    <x v="1"/>
    <x v="0"/>
    <x v="1"/>
    <x v="1"/>
    <x v="4"/>
    <x v="1"/>
    <x v="24"/>
    <x v="0"/>
    <x v="0"/>
    <x v="0"/>
    <x v="0"/>
    <x v="0"/>
    <x v="0"/>
  </r>
  <r>
    <x v="386"/>
    <x v="0"/>
    <x v="0"/>
    <x v="0"/>
    <x v="0"/>
    <x v="10"/>
    <x v="0"/>
    <x v="2"/>
    <x v="1"/>
    <x v="0"/>
    <x v="0"/>
    <x v="1"/>
    <x v="1"/>
    <x v="1"/>
    <x v="32"/>
    <x v="0"/>
    <x v="0"/>
    <x v="0"/>
    <x v="0"/>
    <x v="0"/>
    <x v="0"/>
  </r>
  <r>
    <x v="387"/>
    <x v="1"/>
    <x v="1"/>
    <x v="0"/>
    <x v="0"/>
    <x v="10"/>
    <x v="0"/>
    <x v="2"/>
    <x v="1"/>
    <x v="3"/>
    <x v="1"/>
    <x v="1"/>
    <x v="3"/>
    <x v="1"/>
    <x v="32"/>
    <x v="0"/>
    <x v="0"/>
    <x v="1"/>
    <x v="0"/>
    <x v="0"/>
    <x v="0"/>
  </r>
  <r>
    <x v="388"/>
    <x v="0"/>
    <x v="0"/>
    <x v="1"/>
    <x v="1"/>
    <x v="10"/>
    <x v="0"/>
    <x v="2"/>
    <x v="1"/>
    <x v="0"/>
    <x v="1"/>
    <x v="1"/>
    <x v="1"/>
    <x v="1"/>
    <x v="32"/>
    <x v="0"/>
    <x v="0"/>
    <x v="1"/>
    <x v="0"/>
    <x v="0"/>
    <x v="0"/>
  </r>
  <r>
    <x v="389"/>
    <x v="0"/>
    <x v="0"/>
    <x v="1"/>
    <x v="1"/>
    <x v="10"/>
    <x v="0"/>
    <x v="2"/>
    <x v="1"/>
    <x v="0"/>
    <x v="1"/>
    <x v="1"/>
    <x v="1"/>
    <x v="1"/>
    <x v="32"/>
    <x v="0"/>
    <x v="0"/>
    <x v="0"/>
    <x v="0"/>
    <x v="0"/>
    <x v="0"/>
  </r>
  <r>
    <x v="390"/>
    <x v="1"/>
    <x v="1"/>
    <x v="1"/>
    <x v="1"/>
    <x v="10"/>
    <x v="0"/>
    <x v="2"/>
    <x v="1"/>
    <x v="0"/>
    <x v="1"/>
    <x v="1"/>
    <x v="4"/>
    <x v="1"/>
    <x v="32"/>
    <x v="0"/>
    <x v="0"/>
    <x v="0"/>
    <x v="0"/>
    <x v="0"/>
    <x v="0"/>
  </r>
  <r>
    <x v="391"/>
    <x v="0"/>
    <x v="0"/>
    <x v="0"/>
    <x v="0"/>
    <x v="10"/>
    <x v="0"/>
    <x v="2"/>
    <x v="1"/>
    <x v="0"/>
    <x v="1"/>
    <x v="1"/>
    <x v="4"/>
    <x v="1"/>
    <x v="9"/>
    <x v="0"/>
    <x v="0"/>
    <x v="0"/>
    <x v="0"/>
    <x v="0"/>
    <x v="0"/>
  </r>
  <r>
    <x v="392"/>
    <x v="1"/>
    <x v="1"/>
    <x v="0"/>
    <x v="0"/>
    <x v="10"/>
    <x v="0"/>
    <x v="2"/>
    <x v="1"/>
    <x v="0"/>
    <x v="1"/>
    <x v="1"/>
    <x v="4"/>
    <x v="1"/>
    <x v="9"/>
    <x v="0"/>
    <x v="0"/>
    <x v="0"/>
    <x v="0"/>
    <x v="0"/>
    <x v="0"/>
  </r>
  <r>
    <x v="393"/>
    <x v="1"/>
    <x v="1"/>
    <x v="0"/>
    <x v="0"/>
    <x v="10"/>
    <x v="0"/>
    <x v="2"/>
    <x v="1"/>
    <x v="0"/>
    <x v="1"/>
    <x v="1"/>
    <x v="4"/>
    <x v="1"/>
    <x v="9"/>
    <x v="0"/>
    <x v="0"/>
    <x v="0"/>
    <x v="0"/>
    <x v="0"/>
    <x v="0"/>
  </r>
  <r>
    <x v="394"/>
    <x v="1"/>
    <x v="1"/>
    <x v="0"/>
    <x v="0"/>
    <x v="10"/>
    <x v="0"/>
    <x v="3"/>
    <x v="3"/>
    <x v="3"/>
    <x v="0"/>
    <x v="1"/>
    <x v="1"/>
    <x v="1"/>
    <x v="9"/>
    <x v="0"/>
    <x v="0"/>
    <x v="0"/>
    <x v="0"/>
    <x v="0"/>
    <x v="0"/>
  </r>
  <r>
    <x v="395"/>
    <x v="0"/>
    <x v="0"/>
    <x v="1"/>
    <x v="1"/>
    <x v="10"/>
    <x v="0"/>
    <x v="2"/>
    <x v="1"/>
    <x v="0"/>
    <x v="1"/>
    <x v="1"/>
    <x v="4"/>
    <x v="1"/>
    <x v="9"/>
    <x v="0"/>
    <x v="0"/>
    <x v="1"/>
    <x v="0"/>
    <x v="0"/>
    <x v="0"/>
  </r>
  <r>
    <x v="396"/>
    <x v="1"/>
    <x v="1"/>
    <x v="1"/>
    <x v="1"/>
    <x v="10"/>
    <x v="0"/>
    <x v="3"/>
    <x v="3"/>
    <x v="3"/>
    <x v="1"/>
    <x v="1"/>
    <x v="4"/>
    <x v="1"/>
    <x v="9"/>
    <x v="0"/>
    <x v="0"/>
    <x v="0"/>
    <x v="0"/>
    <x v="0"/>
    <x v="0"/>
  </r>
  <r>
    <x v="397"/>
    <x v="0"/>
    <x v="0"/>
    <x v="0"/>
    <x v="0"/>
    <x v="10"/>
    <x v="0"/>
    <x v="2"/>
    <x v="1"/>
    <x v="0"/>
    <x v="1"/>
    <x v="1"/>
    <x v="4"/>
    <x v="1"/>
    <x v="5"/>
    <x v="0"/>
    <x v="0"/>
    <x v="0"/>
    <x v="0"/>
    <x v="0"/>
    <x v="0"/>
  </r>
  <r>
    <x v="398"/>
    <x v="1"/>
    <x v="1"/>
    <x v="0"/>
    <x v="0"/>
    <x v="10"/>
    <x v="0"/>
    <x v="3"/>
    <x v="3"/>
    <x v="0"/>
    <x v="1"/>
    <x v="4"/>
    <x v="4"/>
    <x v="2"/>
    <x v="5"/>
    <x v="0"/>
    <x v="0"/>
    <x v="0"/>
    <x v="0"/>
    <x v="0"/>
    <x v="0"/>
  </r>
  <r>
    <x v="399"/>
    <x v="0"/>
    <x v="0"/>
    <x v="1"/>
    <x v="1"/>
    <x v="10"/>
    <x v="0"/>
    <x v="3"/>
    <x v="3"/>
    <x v="0"/>
    <x v="1"/>
    <x v="4"/>
    <x v="4"/>
    <x v="2"/>
    <x v="5"/>
    <x v="0"/>
    <x v="0"/>
    <x v="1"/>
    <x v="0"/>
    <x v="0"/>
    <x v="0"/>
  </r>
  <r>
    <x v="400"/>
    <x v="1"/>
    <x v="1"/>
    <x v="1"/>
    <x v="1"/>
    <x v="10"/>
    <x v="0"/>
    <x v="3"/>
    <x v="3"/>
    <x v="0"/>
    <x v="0"/>
    <x v="4"/>
    <x v="1"/>
    <x v="2"/>
    <x v="5"/>
    <x v="0"/>
    <x v="0"/>
    <x v="0"/>
    <x v="0"/>
    <x v="0"/>
    <x v="0"/>
  </r>
  <r>
    <x v="401"/>
    <x v="1"/>
    <x v="1"/>
    <x v="0"/>
    <x v="0"/>
    <x v="10"/>
    <x v="0"/>
    <x v="4"/>
    <x v="1"/>
    <x v="0"/>
    <x v="1"/>
    <x v="4"/>
    <x v="4"/>
    <x v="1"/>
    <x v="10"/>
    <x v="0"/>
    <x v="0"/>
    <x v="0"/>
    <x v="0"/>
    <x v="0"/>
    <x v="0"/>
  </r>
  <r>
    <x v="402"/>
    <x v="1"/>
    <x v="1"/>
    <x v="0"/>
    <x v="0"/>
    <x v="10"/>
    <x v="0"/>
    <x v="3"/>
    <x v="3"/>
    <x v="0"/>
    <x v="0"/>
    <x v="4"/>
    <x v="1"/>
    <x v="2"/>
    <x v="10"/>
    <x v="0"/>
    <x v="0"/>
    <x v="0"/>
    <x v="0"/>
    <x v="0"/>
    <x v="0"/>
  </r>
  <r>
    <x v="403"/>
    <x v="0"/>
    <x v="0"/>
    <x v="1"/>
    <x v="1"/>
    <x v="10"/>
    <x v="0"/>
    <x v="3"/>
    <x v="3"/>
    <x v="3"/>
    <x v="1"/>
    <x v="1"/>
    <x v="1"/>
    <x v="1"/>
    <x v="10"/>
    <x v="0"/>
    <x v="0"/>
    <x v="0"/>
    <x v="0"/>
    <x v="0"/>
    <x v="0"/>
  </r>
  <r>
    <x v="404"/>
    <x v="0"/>
    <x v="0"/>
    <x v="1"/>
    <x v="1"/>
    <x v="10"/>
    <x v="0"/>
    <x v="3"/>
    <x v="3"/>
    <x v="0"/>
    <x v="1"/>
    <x v="4"/>
    <x v="4"/>
    <x v="2"/>
    <x v="10"/>
    <x v="0"/>
    <x v="0"/>
    <x v="0"/>
    <x v="0"/>
    <x v="0"/>
    <x v="0"/>
  </r>
  <r>
    <x v="405"/>
    <x v="1"/>
    <x v="1"/>
    <x v="1"/>
    <x v="1"/>
    <x v="10"/>
    <x v="0"/>
    <x v="3"/>
    <x v="3"/>
    <x v="0"/>
    <x v="1"/>
    <x v="4"/>
    <x v="4"/>
    <x v="2"/>
    <x v="10"/>
    <x v="0"/>
    <x v="0"/>
    <x v="0"/>
    <x v="0"/>
    <x v="0"/>
    <x v="0"/>
  </r>
  <r>
    <x v="406"/>
    <x v="0"/>
    <x v="0"/>
    <x v="0"/>
    <x v="0"/>
    <x v="10"/>
    <x v="0"/>
    <x v="4"/>
    <x v="1"/>
    <x v="0"/>
    <x v="1"/>
    <x v="1"/>
    <x v="1"/>
    <x v="1"/>
    <x v="25"/>
    <x v="0"/>
    <x v="0"/>
    <x v="1"/>
    <x v="0"/>
    <x v="0"/>
    <x v="0"/>
  </r>
  <r>
    <x v="407"/>
    <x v="1"/>
    <x v="1"/>
    <x v="0"/>
    <x v="0"/>
    <x v="10"/>
    <x v="0"/>
    <x v="4"/>
    <x v="1"/>
    <x v="3"/>
    <x v="1"/>
    <x v="1"/>
    <x v="1"/>
    <x v="1"/>
    <x v="25"/>
    <x v="0"/>
    <x v="0"/>
    <x v="1"/>
    <x v="0"/>
    <x v="0"/>
    <x v="0"/>
  </r>
  <r>
    <x v="408"/>
    <x v="1"/>
    <x v="1"/>
    <x v="0"/>
    <x v="0"/>
    <x v="10"/>
    <x v="0"/>
    <x v="3"/>
    <x v="3"/>
    <x v="0"/>
    <x v="0"/>
    <x v="4"/>
    <x v="1"/>
    <x v="2"/>
    <x v="25"/>
    <x v="0"/>
    <x v="0"/>
    <x v="0"/>
    <x v="0"/>
    <x v="0"/>
    <x v="0"/>
  </r>
  <r>
    <x v="409"/>
    <x v="0"/>
    <x v="0"/>
    <x v="1"/>
    <x v="1"/>
    <x v="10"/>
    <x v="0"/>
    <x v="4"/>
    <x v="1"/>
    <x v="3"/>
    <x v="1"/>
    <x v="1"/>
    <x v="3"/>
    <x v="1"/>
    <x v="25"/>
    <x v="0"/>
    <x v="0"/>
    <x v="0"/>
    <x v="0"/>
    <x v="0"/>
    <x v="0"/>
  </r>
  <r>
    <x v="410"/>
    <x v="0"/>
    <x v="0"/>
    <x v="1"/>
    <x v="1"/>
    <x v="10"/>
    <x v="0"/>
    <x v="4"/>
    <x v="1"/>
    <x v="0"/>
    <x v="0"/>
    <x v="1"/>
    <x v="1"/>
    <x v="1"/>
    <x v="25"/>
    <x v="0"/>
    <x v="0"/>
    <x v="1"/>
    <x v="0"/>
    <x v="0"/>
    <x v="0"/>
  </r>
  <r>
    <x v="411"/>
    <x v="0"/>
    <x v="0"/>
    <x v="0"/>
    <x v="0"/>
    <x v="10"/>
    <x v="0"/>
    <x v="4"/>
    <x v="1"/>
    <x v="0"/>
    <x v="1"/>
    <x v="1"/>
    <x v="1"/>
    <x v="1"/>
    <x v="11"/>
    <x v="0"/>
    <x v="0"/>
    <x v="1"/>
    <x v="0"/>
    <x v="0"/>
    <x v="0"/>
  </r>
  <r>
    <x v="412"/>
    <x v="0"/>
    <x v="0"/>
    <x v="0"/>
    <x v="0"/>
    <x v="10"/>
    <x v="0"/>
    <x v="4"/>
    <x v="1"/>
    <x v="0"/>
    <x v="1"/>
    <x v="1"/>
    <x v="1"/>
    <x v="1"/>
    <x v="11"/>
    <x v="0"/>
    <x v="0"/>
    <x v="1"/>
    <x v="0"/>
    <x v="0"/>
    <x v="0"/>
  </r>
  <r>
    <x v="413"/>
    <x v="0"/>
    <x v="0"/>
    <x v="0"/>
    <x v="0"/>
    <x v="10"/>
    <x v="0"/>
    <x v="3"/>
    <x v="1"/>
    <x v="0"/>
    <x v="1"/>
    <x v="1"/>
    <x v="4"/>
    <x v="1"/>
    <x v="11"/>
    <x v="0"/>
    <x v="0"/>
    <x v="0"/>
    <x v="0"/>
    <x v="0"/>
    <x v="0"/>
  </r>
  <r>
    <x v="414"/>
    <x v="1"/>
    <x v="1"/>
    <x v="0"/>
    <x v="0"/>
    <x v="10"/>
    <x v="0"/>
    <x v="5"/>
    <x v="3"/>
    <x v="3"/>
    <x v="1"/>
    <x v="1"/>
    <x v="4"/>
    <x v="1"/>
    <x v="11"/>
    <x v="0"/>
    <x v="0"/>
    <x v="0"/>
    <x v="0"/>
    <x v="0"/>
    <x v="0"/>
  </r>
  <r>
    <x v="415"/>
    <x v="1"/>
    <x v="1"/>
    <x v="0"/>
    <x v="0"/>
    <x v="10"/>
    <x v="0"/>
    <x v="5"/>
    <x v="3"/>
    <x v="3"/>
    <x v="1"/>
    <x v="4"/>
    <x v="4"/>
    <x v="1"/>
    <x v="11"/>
    <x v="0"/>
    <x v="0"/>
    <x v="0"/>
    <x v="0"/>
    <x v="0"/>
    <x v="0"/>
  </r>
  <r>
    <x v="416"/>
    <x v="1"/>
    <x v="1"/>
    <x v="0"/>
    <x v="0"/>
    <x v="10"/>
    <x v="0"/>
    <x v="4"/>
    <x v="1"/>
    <x v="3"/>
    <x v="0"/>
    <x v="1"/>
    <x v="1"/>
    <x v="1"/>
    <x v="11"/>
    <x v="0"/>
    <x v="0"/>
    <x v="1"/>
    <x v="0"/>
    <x v="0"/>
    <x v="0"/>
  </r>
  <r>
    <x v="417"/>
    <x v="0"/>
    <x v="0"/>
    <x v="0"/>
    <x v="0"/>
    <x v="10"/>
    <x v="0"/>
    <x v="1"/>
    <x v="3"/>
    <x v="3"/>
    <x v="1"/>
    <x v="0"/>
    <x v="2"/>
    <x v="1"/>
    <x v="12"/>
    <x v="0"/>
    <x v="0"/>
    <x v="1"/>
    <x v="0"/>
    <x v="0"/>
    <x v="0"/>
  </r>
  <r>
    <x v="418"/>
    <x v="1"/>
    <x v="1"/>
    <x v="0"/>
    <x v="0"/>
    <x v="10"/>
    <x v="0"/>
    <x v="0"/>
    <x v="3"/>
    <x v="3"/>
    <x v="1"/>
    <x v="3"/>
    <x v="4"/>
    <x v="1"/>
    <x v="12"/>
    <x v="0"/>
    <x v="0"/>
    <x v="0"/>
    <x v="0"/>
    <x v="0"/>
    <x v="0"/>
  </r>
  <r>
    <x v="419"/>
    <x v="1"/>
    <x v="1"/>
    <x v="0"/>
    <x v="0"/>
    <x v="10"/>
    <x v="0"/>
    <x v="0"/>
    <x v="3"/>
    <x v="3"/>
    <x v="0"/>
    <x v="3"/>
    <x v="1"/>
    <x v="1"/>
    <x v="12"/>
    <x v="0"/>
    <x v="0"/>
    <x v="0"/>
    <x v="0"/>
    <x v="0"/>
    <x v="0"/>
  </r>
  <r>
    <x v="420"/>
    <x v="1"/>
    <x v="1"/>
    <x v="1"/>
    <x v="1"/>
    <x v="10"/>
    <x v="0"/>
    <x v="0"/>
    <x v="3"/>
    <x v="0"/>
    <x v="1"/>
    <x v="0"/>
    <x v="2"/>
    <x v="2"/>
    <x v="12"/>
    <x v="0"/>
    <x v="0"/>
    <x v="1"/>
    <x v="0"/>
    <x v="0"/>
    <x v="0"/>
  </r>
  <r>
    <x v="421"/>
    <x v="0"/>
    <x v="0"/>
    <x v="0"/>
    <x v="0"/>
    <x v="10"/>
    <x v="0"/>
    <x v="5"/>
    <x v="1"/>
    <x v="0"/>
    <x v="1"/>
    <x v="1"/>
    <x v="4"/>
    <x v="1"/>
    <x v="13"/>
    <x v="0"/>
    <x v="0"/>
    <x v="0"/>
    <x v="0"/>
    <x v="0"/>
    <x v="0"/>
  </r>
  <r>
    <x v="422"/>
    <x v="0"/>
    <x v="0"/>
    <x v="0"/>
    <x v="0"/>
    <x v="10"/>
    <x v="0"/>
    <x v="0"/>
    <x v="3"/>
    <x v="3"/>
    <x v="0"/>
    <x v="3"/>
    <x v="1"/>
    <x v="1"/>
    <x v="13"/>
    <x v="0"/>
    <x v="0"/>
    <x v="1"/>
    <x v="0"/>
    <x v="0"/>
    <x v="0"/>
  </r>
  <r>
    <x v="423"/>
    <x v="1"/>
    <x v="1"/>
    <x v="0"/>
    <x v="0"/>
    <x v="10"/>
    <x v="0"/>
    <x v="0"/>
    <x v="3"/>
    <x v="3"/>
    <x v="1"/>
    <x v="3"/>
    <x v="4"/>
    <x v="1"/>
    <x v="13"/>
    <x v="0"/>
    <x v="0"/>
    <x v="0"/>
    <x v="0"/>
    <x v="0"/>
    <x v="0"/>
  </r>
  <r>
    <x v="424"/>
    <x v="1"/>
    <x v="1"/>
    <x v="0"/>
    <x v="0"/>
    <x v="10"/>
    <x v="0"/>
    <x v="0"/>
    <x v="3"/>
    <x v="3"/>
    <x v="0"/>
    <x v="3"/>
    <x v="1"/>
    <x v="1"/>
    <x v="13"/>
    <x v="0"/>
    <x v="0"/>
    <x v="1"/>
    <x v="0"/>
    <x v="0"/>
    <x v="0"/>
  </r>
  <r>
    <x v="425"/>
    <x v="1"/>
    <x v="1"/>
    <x v="0"/>
    <x v="0"/>
    <x v="10"/>
    <x v="0"/>
    <x v="0"/>
    <x v="3"/>
    <x v="3"/>
    <x v="0"/>
    <x v="3"/>
    <x v="1"/>
    <x v="1"/>
    <x v="13"/>
    <x v="0"/>
    <x v="0"/>
    <x v="1"/>
    <x v="0"/>
    <x v="0"/>
    <x v="0"/>
  </r>
  <r>
    <x v="426"/>
    <x v="0"/>
    <x v="0"/>
    <x v="1"/>
    <x v="1"/>
    <x v="10"/>
    <x v="0"/>
    <x v="0"/>
    <x v="3"/>
    <x v="3"/>
    <x v="1"/>
    <x v="0"/>
    <x v="0"/>
    <x v="1"/>
    <x v="13"/>
    <x v="0"/>
    <x v="0"/>
    <x v="1"/>
    <x v="0"/>
    <x v="0"/>
    <x v="0"/>
  </r>
  <r>
    <x v="427"/>
    <x v="0"/>
    <x v="0"/>
    <x v="1"/>
    <x v="1"/>
    <x v="10"/>
    <x v="0"/>
    <x v="0"/>
    <x v="3"/>
    <x v="3"/>
    <x v="0"/>
    <x v="0"/>
    <x v="2"/>
    <x v="1"/>
    <x v="13"/>
    <x v="0"/>
    <x v="0"/>
    <x v="1"/>
    <x v="0"/>
    <x v="0"/>
    <x v="0"/>
  </r>
  <r>
    <x v="428"/>
    <x v="0"/>
    <x v="0"/>
    <x v="0"/>
    <x v="0"/>
    <x v="10"/>
    <x v="0"/>
    <x v="5"/>
    <x v="1"/>
    <x v="0"/>
    <x v="1"/>
    <x v="1"/>
    <x v="4"/>
    <x v="1"/>
    <x v="26"/>
    <x v="0"/>
    <x v="0"/>
    <x v="0"/>
    <x v="0"/>
    <x v="0"/>
    <x v="0"/>
  </r>
  <r>
    <x v="429"/>
    <x v="1"/>
    <x v="1"/>
    <x v="0"/>
    <x v="0"/>
    <x v="10"/>
    <x v="0"/>
    <x v="5"/>
    <x v="1"/>
    <x v="0"/>
    <x v="1"/>
    <x v="1"/>
    <x v="4"/>
    <x v="1"/>
    <x v="26"/>
    <x v="0"/>
    <x v="0"/>
    <x v="0"/>
    <x v="0"/>
    <x v="0"/>
    <x v="0"/>
  </r>
  <r>
    <x v="430"/>
    <x v="0"/>
    <x v="0"/>
    <x v="1"/>
    <x v="1"/>
    <x v="10"/>
    <x v="0"/>
    <x v="0"/>
    <x v="3"/>
    <x v="0"/>
    <x v="1"/>
    <x v="3"/>
    <x v="4"/>
    <x v="1"/>
    <x v="26"/>
    <x v="0"/>
    <x v="0"/>
    <x v="0"/>
    <x v="0"/>
    <x v="0"/>
    <x v="0"/>
  </r>
  <r>
    <x v="431"/>
    <x v="0"/>
    <x v="0"/>
    <x v="1"/>
    <x v="1"/>
    <x v="10"/>
    <x v="0"/>
    <x v="5"/>
    <x v="3"/>
    <x v="0"/>
    <x v="1"/>
    <x v="3"/>
    <x v="0"/>
    <x v="2"/>
    <x v="26"/>
    <x v="0"/>
    <x v="0"/>
    <x v="1"/>
    <x v="0"/>
    <x v="0"/>
    <x v="0"/>
  </r>
  <r>
    <x v="432"/>
    <x v="0"/>
    <x v="0"/>
    <x v="1"/>
    <x v="1"/>
    <x v="10"/>
    <x v="0"/>
    <x v="2"/>
    <x v="0"/>
    <x v="3"/>
    <x v="1"/>
    <x v="4"/>
    <x v="0"/>
    <x v="2"/>
    <x v="26"/>
    <x v="0"/>
    <x v="0"/>
    <x v="0"/>
    <x v="0"/>
    <x v="0"/>
    <x v="0"/>
  </r>
  <r>
    <x v="433"/>
    <x v="0"/>
    <x v="0"/>
    <x v="1"/>
    <x v="1"/>
    <x v="10"/>
    <x v="0"/>
    <x v="2"/>
    <x v="3"/>
    <x v="0"/>
    <x v="1"/>
    <x v="4"/>
    <x v="0"/>
    <x v="2"/>
    <x v="26"/>
    <x v="0"/>
    <x v="0"/>
    <x v="0"/>
    <x v="0"/>
    <x v="0"/>
    <x v="0"/>
  </r>
  <r>
    <x v="434"/>
    <x v="1"/>
    <x v="1"/>
    <x v="1"/>
    <x v="1"/>
    <x v="10"/>
    <x v="0"/>
    <x v="0"/>
    <x v="3"/>
    <x v="0"/>
    <x v="1"/>
    <x v="3"/>
    <x v="4"/>
    <x v="1"/>
    <x v="26"/>
    <x v="0"/>
    <x v="0"/>
    <x v="0"/>
    <x v="0"/>
    <x v="0"/>
    <x v="0"/>
  </r>
  <r>
    <x v="435"/>
    <x v="1"/>
    <x v="1"/>
    <x v="1"/>
    <x v="1"/>
    <x v="10"/>
    <x v="0"/>
    <x v="5"/>
    <x v="3"/>
    <x v="0"/>
    <x v="0"/>
    <x v="3"/>
    <x v="1"/>
    <x v="2"/>
    <x v="26"/>
    <x v="0"/>
    <x v="0"/>
    <x v="0"/>
    <x v="0"/>
    <x v="0"/>
    <x v="0"/>
  </r>
  <r>
    <x v="436"/>
    <x v="1"/>
    <x v="1"/>
    <x v="0"/>
    <x v="0"/>
    <x v="10"/>
    <x v="0"/>
    <x v="2"/>
    <x v="3"/>
    <x v="0"/>
    <x v="1"/>
    <x v="4"/>
    <x v="0"/>
    <x v="2"/>
    <x v="6"/>
    <x v="0"/>
    <x v="0"/>
    <x v="0"/>
    <x v="0"/>
    <x v="0"/>
    <x v="0"/>
  </r>
  <r>
    <x v="437"/>
    <x v="1"/>
    <x v="1"/>
    <x v="0"/>
    <x v="0"/>
    <x v="10"/>
    <x v="0"/>
    <x v="2"/>
    <x v="3"/>
    <x v="0"/>
    <x v="0"/>
    <x v="4"/>
    <x v="1"/>
    <x v="1"/>
    <x v="6"/>
    <x v="0"/>
    <x v="0"/>
    <x v="0"/>
    <x v="0"/>
    <x v="0"/>
    <x v="0"/>
  </r>
  <r>
    <x v="438"/>
    <x v="0"/>
    <x v="0"/>
    <x v="1"/>
    <x v="1"/>
    <x v="10"/>
    <x v="0"/>
    <x v="2"/>
    <x v="0"/>
    <x v="3"/>
    <x v="1"/>
    <x v="4"/>
    <x v="4"/>
    <x v="1"/>
    <x v="6"/>
    <x v="0"/>
    <x v="0"/>
    <x v="1"/>
    <x v="0"/>
    <x v="0"/>
    <x v="0"/>
  </r>
  <r>
    <x v="439"/>
    <x v="0"/>
    <x v="0"/>
    <x v="0"/>
    <x v="0"/>
    <x v="10"/>
    <x v="0"/>
    <x v="2"/>
    <x v="0"/>
    <x v="3"/>
    <x v="1"/>
    <x v="4"/>
    <x v="0"/>
    <x v="2"/>
    <x v="14"/>
    <x v="0"/>
    <x v="0"/>
    <x v="1"/>
    <x v="0"/>
    <x v="0"/>
    <x v="0"/>
  </r>
  <r>
    <x v="440"/>
    <x v="0"/>
    <x v="0"/>
    <x v="0"/>
    <x v="0"/>
    <x v="10"/>
    <x v="0"/>
    <x v="2"/>
    <x v="0"/>
    <x v="3"/>
    <x v="1"/>
    <x v="4"/>
    <x v="4"/>
    <x v="1"/>
    <x v="14"/>
    <x v="0"/>
    <x v="0"/>
    <x v="0"/>
    <x v="0"/>
    <x v="0"/>
    <x v="0"/>
  </r>
  <r>
    <x v="441"/>
    <x v="0"/>
    <x v="0"/>
    <x v="0"/>
    <x v="0"/>
    <x v="10"/>
    <x v="0"/>
    <x v="2"/>
    <x v="0"/>
    <x v="3"/>
    <x v="1"/>
    <x v="4"/>
    <x v="1"/>
    <x v="1"/>
    <x v="14"/>
    <x v="0"/>
    <x v="0"/>
    <x v="0"/>
    <x v="0"/>
    <x v="0"/>
    <x v="0"/>
  </r>
  <r>
    <x v="442"/>
    <x v="0"/>
    <x v="0"/>
    <x v="0"/>
    <x v="0"/>
    <x v="10"/>
    <x v="0"/>
    <x v="2"/>
    <x v="0"/>
    <x v="3"/>
    <x v="1"/>
    <x v="4"/>
    <x v="1"/>
    <x v="1"/>
    <x v="14"/>
    <x v="0"/>
    <x v="0"/>
    <x v="0"/>
    <x v="0"/>
    <x v="0"/>
    <x v="0"/>
  </r>
  <r>
    <x v="443"/>
    <x v="1"/>
    <x v="1"/>
    <x v="0"/>
    <x v="0"/>
    <x v="10"/>
    <x v="0"/>
    <x v="2"/>
    <x v="0"/>
    <x v="3"/>
    <x v="0"/>
    <x v="4"/>
    <x v="1"/>
    <x v="2"/>
    <x v="14"/>
    <x v="0"/>
    <x v="0"/>
    <x v="0"/>
    <x v="0"/>
    <x v="0"/>
    <x v="0"/>
  </r>
  <r>
    <x v="444"/>
    <x v="0"/>
    <x v="0"/>
    <x v="1"/>
    <x v="1"/>
    <x v="10"/>
    <x v="0"/>
    <x v="2"/>
    <x v="0"/>
    <x v="3"/>
    <x v="1"/>
    <x v="4"/>
    <x v="1"/>
    <x v="2"/>
    <x v="14"/>
    <x v="0"/>
    <x v="0"/>
    <x v="0"/>
    <x v="0"/>
    <x v="0"/>
    <x v="0"/>
  </r>
  <r>
    <x v="445"/>
    <x v="0"/>
    <x v="0"/>
    <x v="1"/>
    <x v="1"/>
    <x v="10"/>
    <x v="0"/>
    <x v="2"/>
    <x v="0"/>
    <x v="3"/>
    <x v="1"/>
    <x v="4"/>
    <x v="4"/>
    <x v="1"/>
    <x v="14"/>
    <x v="0"/>
    <x v="0"/>
    <x v="0"/>
    <x v="0"/>
    <x v="0"/>
    <x v="0"/>
  </r>
  <r>
    <x v="446"/>
    <x v="1"/>
    <x v="1"/>
    <x v="1"/>
    <x v="1"/>
    <x v="10"/>
    <x v="0"/>
    <x v="2"/>
    <x v="0"/>
    <x v="3"/>
    <x v="0"/>
    <x v="4"/>
    <x v="1"/>
    <x v="2"/>
    <x v="14"/>
    <x v="0"/>
    <x v="0"/>
    <x v="0"/>
    <x v="0"/>
    <x v="0"/>
    <x v="0"/>
  </r>
  <r>
    <x v="447"/>
    <x v="1"/>
    <x v="1"/>
    <x v="1"/>
    <x v="1"/>
    <x v="10"/>
    <x v="0"/>
    <x v="2"/>
    <x v="0"/>
    <x v="3"/>
    <x v="1"/>
    <x v="4"/>
    <x v="0"/>
    <x v="2"/>
    <x v="14"/>
    <x v="0"/>
    <x v="0"/>
    <x v="1"/>
    <x v="0"/>
    <x v="0"/>
    <x v="0"/>
  </r>
  <r>
    <x v="448"/>
    <x v="0"/>
    <x v="0"/>
    <x v="0"/>
    <x v="0"/>
    <x v="10"/>
    <x v="0"/>
    <x v="2"/>
    <x v="0"/>
    <x v="3"/>
    <x v="1"/>
    <x v="4"/>
    <x v="4"/>
    <x v="1"/>
    <x v="27"/>
    <x v="0"/>
    <x v="0"/>
    <x v="0"/>
    <x v="0"/>
    <x v="0"/>
    <x v="0"/>
  </r>
  <r>
    <x v="449"/>
    <x v="0"/>
    <x v="0"/>
    <x v="0"/>
    <x v="0"/>
    <x v="10"/>
    <x v="0"/>
    <x v="2"/>
    <x v="0"/>
    <x v="3"/>
    <x v="1"/>
    <x v="4"/>
    <x v="0"/>
    <x v="2"/>
    <x v="27"/>
    <x v="0"/>
    <x v="0"/>
    <x v="0"/>
    <x v="0"/>
    <x v="0"/>
    <x v="0"/>
  </r>
  <r>
    <x v="450"/>
    <x v="1"/>
    <x v="1"/>
    <x v="0"/>
    <x v="0"/>
    <x v="10"/>
    <x v="0"/>
    <x v="2"/>
    <x v="0"/>
    <x v="3"/>
    <x v="0"/>
    <x v="4"/>
    <x v="1"/>
    <x v="2"/>
    <x v="27"/>
    <x v="0"/>
    <x v="0"/>
    <x v="0"/>
    <x v="0"/>
    <x v="0"/>
    <x v="0"/>
  </r>
  <r>
    <x v="451"/>
    <x v="1"/>
    <x v="1"/>
    <x v="0"/>
    <x v="0"/>
    <x v="10"/>
    <x v="0"/>
    <x v="2"/>
    <x v="0"/>
    <x v="3"/>
    <x v="1"/>
    <x v="4"/>
    <x v="0"/>
    <x v="2"/>
    <x v="27"/>
    <x v="0"/>
    <x v="0"/>
    <x v="0"/>
    <x v="0"/>
    <x v="0"/>
    <x v="0"/>
  </r>
  <r>
    <x v="452"/>
    <x v="0"/>
    <x v="0"/>
    <x v="1"/>
    <x v="1"/>
    <x v="10"/>
    <x v="0"/>
    <x v="0"/>
    <x v="3"/>
    <x v="0"/>
    <x v="1"/>
    <x v="1"/>
    <x v="4"/>
    <x v="1"/>
    <x v="27"/>
    <x v="0"/>
    <x v="0"/>
    <x v="1"/>
    <x v="0"/>
    <x v="0"/>
    <x v="0"/>
  </r>
  <r>
    <x v="453"/>
    <x v="0"/>
    <x v="0"/>
    <x v="1"/>
    <x v="1"/>
    <x v="10"/>
    <x v="0"/>
    <x v="2"/>
    <x v="0"/>
    <x v="3"/>
    <x v="1"/>
    <x v="4"/>
    <x v="1"/>
    <x v="1"/>
    <x v="27"/>
    <x v="0"/>
    <x v="0"/>
    <x v="1"/>
    <x v="0"/>
    <x v="0"/>
    <x v="0"/>
  </r>
  <r>
    <x v="454"/>
    <x v="0"/>
    <x v="0"/>
    <x v="1"/>
    <x v="1"/>
    <x v="10"/>
    <x v="0"/>
    <x v="2"/>
    <x v="0"/>
    <x v="3"/>
    <x v="1"/>
    <x v="4"/>
    <x v="0"/>
    <x v="2"/>
    <x v="27"/>
    <x v="0"/>
    <x v="0"/>
    <x v="1"/>
    <x v="0"/>
    <x v="0"/>
    <x v="0"/>
  </r>
  <r>
    <x v="455"/>
    <x v="0"/>
    <x v="0"/>
    <x v="0"/>
    <x v="0"/>
    <x v="10"/>
    <x v="0"/>
    <x v="2"/>
    <x v="3"/>
    <x v="0"/>
    <x v="1"/>
    <x v="4"/>
    <x v="1"/>
    <x v="1"/>
    <x v="4"/>
    <x v="0"/>
    <x v="0"/>
    <x v="0"/>
    <x v="0"/>
    <x v="0"/>
    <x v="0"/>
  </r>
  <r>
    <x v="456"/>
    <x v="1"/>
    <x v="1"/>
    <x v="0"/>
    <x v="0"/>
    <x v="10"/>
    <x v="0"/>
    <x v="0"/>
    <x v="1"/>
    <x v="3"/>
    <x v="0"/>
    <x v="1"/>
    <x v="1"/>
    <x v="1"/>
    <x v="4"/>
    <x v="0"/>
    <x v="0"/>
    <x v="0"/>
    <x v="0"/>
    <x v="0"/>
    <x v="0"/>
  </r>
  <r>
    <x v="457"/>
    <x v="1"/>
    <x v="1"/>
    <x v="0"/>
    <x v="0"/>
    <x v="10"/>
    <x v="0"/>
    <x v="0"/>
    <x v="1"/>
    <x v="3"/>
    <x v="0"/>
    <x v="1"/>
    <x v="3"/>
    <x v="1"/>
    <x v="4"/>
    <x v="0"/>
    <x v="0"/>
    <x v="1"/>
    <x v="0"/>
    <x v="0"/>
    <x v="0"/>
  </r>
  <r>
    <x v="458"/>
    <x v="0"/>
    <x v="0"/>
    <x v="1"/>
    <x v="1"/>
    <x v="10"/>
    <x v="0"/>
    <x v="2"/>
    <x v="0"/>
    <x v="3"/>
    <x v="0"/>
    <x v="4"/>
    <x v="1"/>
    <x v="1"/>
    <x v="4"/>
    <x v="0"/>
    <x v="0"/>
    <x v="1"/>
    <x v="0"/>
    <x v="0"/>
    <x v="0"/>
  </r>
  <r>
    <x v="459"/>
    <x v="0"/>
    <x v="0"/>
    <x v="1"/>
    <x v="1"/>
    <x v="10"/>
    <x v="0"/>
    <x v="0"/>
    <x v="1"/>
    <x v="3"/>
    <x v="1"/>
    <x v="1"/>
    <x v="3"/>
    <x v="1"/>
    <x v="4"/>
    <x v="0"/>
    <x v="0"/>
    <x v="0"/>
    <x v="0"/>
    <x v="0"/>
    <x v="0"/>
  </r>
  <r>
    <x v="460"/>
    <x v="0"/>
    <x v="0"/>
    <x v="1"/>
    <x v="1"/>
    <x v="10"/>
    <x v="0"/>
    <x v="0"/>
    <x v="1"/>
    <x v="3"/>
    <x v="0"/>
    <x v="1"/>
    <x v="1"/>
    <x v="1"/>
    <x v="4"/>
    <x v="0"/>
    <x v="0"/>
    <x v="1"/>
    <x v="0"/>
    <x v="0"/>
    <x v="0"/>
  </r>
  <r>
    <x v="461"/>
    <x v="0"/>
    <x v="0"/>
    <x v="1"/>
    <x v="1"/>
    <x v="10"/>
    <x v="0"/>
    <x v="1"/>
    <x v="3"/>
    <x v="0"/>
    <x v="1"/>
    <x v="4"/>
    <x v="4"/>
    <x v="1"/>
    <x v="4"/>
    <x v="0"/>
    <x v="0"/>
    <x v="1"/>
    <x v="0"/>
    <x v="0"/>
    <x v="0"/>
  </r>
  <r>
    <x v="462"/>
    <x v="0"/>
    <x v="0"/>
    <x v="1"/>
    <x v="1"/>
    <x v="10"/>
    <x v="0"/>
    <x v="1"/>
    <x v="3"/>
    <x v="0"/>
    <x v="1"/>
    <x v="4"/>
    <x v="4"/>
    <x v="1"/>
    <x v="4"/>
    <x v="0"/>
    <x v="0"/>
    <x v="1"/>
    <x v="0"/>
    <x v="0"/>
    <x v="0"/>
  </r>
  <r>
    <x v="463"/>
    <x v="1"/>
    <x v="1"/>
    <x v="1"/>
    <x v="1"/>
    <x v="10"/>
    <x v="0"/>
    <x v="0"/>
    <x v="1"/>
    <x v="3"/>
    <x v="1"/>
    <x v="1"/>
    <x v="3"/>
    <x v="1"/>
    <x v="4"/>
    <x v="0"/>
    <x v="0"/>
    <x v="0"/>
    <x v="0"/>
    <x v="0"/>
    <x v="0"/>
  </r>
  <r>
    <x v="464"/>
    <x v="1"/>
    <x v="1"/>
    <x v="1"/>
    <x v="1"/>
    <x v="10"/>
    <x v="0"/>
    <x v="5"/>
    <x v="3"/>
    <x v="0"/>
    <x v="0"/>
    <x v="1"/>
    <x v="1"/>
    <x v="1"/>
    <x v="4"/>
    <x v="0"/>
    <x v="0"/>
    <x v="0"/>
    <x v="0"/>
    <x v="0"/>
    <x v="0"/>
  </r>
  <r>
    <x v="465"/>
    <x v="1"/>
    <x v="1"/>
    <x v="1"/>
    <x v="1"/>
    <x v="10"/>
    <x v="0"/>
    <x v="5"/>
    <x v="3"/>
    <x v="0"/>
    <x v="0"/>
    <x v="4"/>
    <x v="1"/>
    <x v="1"/>
    <x v="4"/>
    <x v="0"/>
    <x v="0"/>
    <x v="0"/>
    <x v="0"/>
    <x v="0"/>
    <x v="0"/>
  </r>
  <r>
    <x v="466"/>
    <x v="0"/>
    <x v="0"/>
    <x v="0"/>
    <x v="0"/>
    <x v="10"/>
    <x v="0"/>
    <x v="5"/>
    <x v="3"/>
    <x v="0"/>
    <x v="1"/>
    <x v="4"/>
    <x v="1"/>
    <x v="1"/>
    <x v="0"/>
    <x v="0"/>
    <x v="0"/>
    <x v="0"/>
    <x v="0"/>
    <x v="0"/>
    <x v="0"/>
  </r>
  <r>
    <x v="467"/>
    <x v="0"/>
    <x v="0"/>
    <x v="0"/>
    <x v="0"/>
    <x v="10"/>
    <x v="0"/>
    <x v="2"/>
    <x v="3"/>
    <x v="0"/>
    <x v="1"/>
    <x v="4"/>
    <x v="4"/>
    <x v="1"/>
    <x v="0"/>
    <x v="0"/>
    <x v="0"/>
    <x v="0"/>
    <x v="0"/>
    <x v="0"/>
    <x v="0"/>
  </r>
  <r>
    <x v="468"/>
    <x v="0"/>
    <x v="0"/>
    <x v="1"/>
    <x v="1"/>
    <x v="10"/>
    <x v="0"/>
    <x v="2"/>
    <x v="3"/>
    <x v="0"/>
    <x v="1"/>
    <x v="4"/>
    <x v="1"/>
    <x v="1"/>
    <x v="0"/>
    <x v="0"/>
    <x v="0"/>
    <x v="0"/>
    <x v="0"/>
    <x v="0"/>
    <x v="0"/>
  </r>
  <r>
    <x v="469"/>
    <x v="0"/>
    <x v="0"/>
    <x v="1"/>
    <x v="1"/>
    <x v="10"/>
    <x v="0"/>
    <x v="3"/>
    <x v="2"/>
    <x v="0"/>
    <x v="0"/>
    <x v="3"/>
    <x v="3"/>
    <x v="1"/>
    <x v="0"/>
    <x v="0"/>
    <x v="0"/>
    <x v="0"/>
    <x v="0"/>
    <x v="0"/>
    <x v="0"/>
  </r>
  <r>
    <x v="470"/>
    <x v="0"/>
    <x v="0"/>
    <x v="1"/>
    <x v="1"/>
    <x v="10"/>
    <x v="0"/>
    <x v="3"/>
    <x v="2"/>
    <x v="0"/>
    <x v="1"/>
    <x v="3"/>
    <x v="0"/>
    <x v="1"/>
    <x v="0"/>
    <x v="0"/>
    <x v="0"/>
    <x v="1"/>
    <x v="0"/>
    <x v="0"/>
    <x v="0"/>
  </r>
  <r>
    <x v="471"/>
    <x v="0"/>
    <x v="0"/>
    <x v="1"/>
    <x v="1"/>
    <x v="10"/>
    <x v="0"/>
    <x v="3"/>
    <x v="2"/>
    <x v="0"/>
    <x v="0"/>
    <x v="3"/>
    <x v="3"/>
    <x v="1"/>
    <x v="0"/>
    <x v="0"/>
    <x v="0"/>
    <x v="0"/>
    <x v="0"/>
    <x v="0"/>
    <x v="0"/>
  </r>
  <r>
    <x v="472"/>
    <x v="0"/>
    <x v="0"/>
    <x v="0"/>
    <x v="0"/>
    <x v="10"/>
    <x v="0"/>
    <x v="3"/>
    <x v="2"/>
    <x v="0"/>
    <x v="1"/>
    <x v="3"/>
    <x v="0"/>
    <x v="1"/>
    <x v="36"/>
    <x v="0"/>
    <x v="0"/>
    <x v="1"/>
    <x v="0"/>
    <x v="0"/>
    <x v="0"/>
  </r>
  <r>
    <x v="473"/>
    <x v="0"/>
    <x v="0"/>
    <x v="1"/>
    <x v="1"/>
    <x v="10"/>
    <x v="0"/>
    <x v="3"/>
    <x v="2"/>
    <x v="0"/>
    <x v="0"/>
    <x v="3"/>
    <x v="3"/>
    <x v="1"/>
    <x v="36"/>
    <x v="0"/>
    <x v="0"/>
    <x v="0"/>
    <x v="0"/>
    <x v="0"/>
    <x v="0"/>
  </r>
  <r>
    <x v="474"/>
    <x v="0"/>
    <x v="0"/>
    <x v="0"/>
    <x v="0"/>
    <x v="10"/>
    <x v="0"/>
    <x v="3"/>
    <x v="2"/>
    <x v="0"/>
    <x v="1"/>
    <x v="3"/>
    <x v="0"/>
    <x v="1"/>
    <x v="15"/>
    <x v="0"/>
    <x v="0"/>
    <x v="1"/>
    <x v="0"/>
    <x v="0"/>
    <x v="0"/>
  </r>
  <r>
    <x v="475"/>
    <x v="0"/>
    <x v="0"/>
    <x v="1"/>
    <x v="1"/>
    <x v="10"/>
    <x v="0"/>
    <x v="3"/>
    <x v="2"/>
    <x v="0"/>
    <x v="0"/>
    <x v="3"/>
    <x v="0"/>
    <x v="1"/>
    <x v="15"/>
    <x v="0"/>
    <x v="0"/>
    <x v="1"/>
    <x v="0"/>
    <x v="0"/>
    <x v="0"/>
  </r>
  <r>
    <x v="476"/>
    <x v="0"/>
    <x v="0"/>
    <x v="1"/>
    <x v="1"/>
    <x v="10"/>
    <x v="0"/>
    <x v="3"/>
    <x v="2"/>
    <x v="0"/>
    <x v="1"/>
    <x v="3"/>
    <x v="0"/>
    <x v="1"/>
    <x v="15"/>
    <x v="0"/>
    <x v="0"/>
    <x v="1"/>
    <x v="0"/>
    <x v="0"/>
    <x v="0"/>
  </r>
  <r>
    <x v="477"/>
    <x v="1"/>
    <x v="1"/>
    <x v="0"/>
    <x v="0"/>
    <x v="10"/>
    <x v="0"/>
    <x v="3"/>
    <x v="4"/>
    <x v="3"/>
    <x v="0"/>
    <x v="3"/>
    <x v="3"/>
    <x v="1"/>
    <x v="7"/>
    <x v="0"/>
    <x v="1"/>
    <x v="1"/>
    <x v="0"/>
    <x v="0"/>
    <x v="0"/>
  </r>
  <r>
    <x v="478"/>
    <x v="0"/>
    <x v="0"/>
    <x v="1"/>
    <x v="1"/>
    <x v="10"/>
    <x v="0"/>
    <x v="3"/>
    <x v="2"/>
    <x v="0"/>
    <x v="0"/>
    <x v="3"/>
    <x v="3"/>
    <x v="1"/>
    <x v="7"/>
    <x v="0"/>
    <x v="1"/>
    <x v="1"/>
    <x v="0"/>
    <x v="0"/>
    <x v="0"/>
  </r>
  <r>
    <x v="479"/>
    <x v="0"/>
    <x v="0"/>
    <x v="1"/>
    <x v="1"/>
    <x v="10"/>
    <x v="0"/>
    <x v="3"/>
    <x v="2"/>
    <x v="0"/>
    <x v="0"/>
    <x v="3"/>
    <x v="0"/>
    <x v="1"/>
    <x v="7"/>
    <x v="0"/>
    <x v="1"/>
    <x v="1"/>
    <x v="0"/>
    <x v="0"/>
    <x v="0"/>
  </r>
  <r>
    <x v="480"/>
    <x v="1"/>
    <x v="1"/>
    <x v="1"/>
    <x v="1"/>
    <x v="10"/>
    <x v="0"/>
    <x v="3"/>
    <x v="2"/>
    <x v="0"/>
    <x v="1"/>
    <x v="3"/>
    <x v="0"/>
    <x v="1"/>
    <x v="7"/>
    <x v="0"/>
    <x v="1"/>
    <x v="1"/>
    <x v="0"/>
    <x v="0"/>
    <x v="0"/>
  </r>
  <r>
    <x v="481"/>
    <x v="0"/>
    <x v="0"/>
    <x v="1"/>
    <x v="1"/>
    <x v="10"/>
    <x v="0"/>
    <x v="5"/>
    <x v="4"/>
    <x v="3"/>
    <x v="1"/>
    <x v="3"/>
    <x v="0"/>
    <x v="1"/>
    <x v="16"/>
    <x v="0"/>
    <x v="1"/>
    <x v="0"/>
    <x v="0"/>
    <x v="0"/>
    <x v="0"/>
  </r>
  <r>
    <x v="482"/>
    <x v="1"/>
    <x v="1"/>
    <x v="1"/>
    <x v="1"/>
    <x v="10"/>
    <x v="0"/>
    <x v="3"/>
    <x v="4"/>
    <x v="3"/>
    <x v="1"/>
    <x v="3"/>
    <x v="0"/>
    <x v="1"/>
    <x v="16"/>
    <x v="0"/>
    <x v="1"/>
    <x v="0"/>
    <x v="0"/>
    <x v="0"/>
    <x v="0"/>
  </r>
  <r>
    <x v="483"/>
    <x v="1"/>
    <x v="1"/>
    <x v="0"/>
    <x v="0"/>
    <x v="10"/>
    <x v="0"/>
    <x v="5"/>
    <x v="1"/>
    <x v="1"/>
    <x v="1"/>
    <x v="3"/>
    <x v="0"/>
    <x v="1"/>
    <x v="31"/>
    <x v="0"/>
    <x v="1"/>
    <x v="0"/>
    <x v="0"/>
    <x v="0"/>
    <x v="0"/>
  </r>
  <r>
    <x v="484"/>
    <x v="0"/>
    <x v="0"/>
    <x v="1"/>
    <x v="1"/>
    <x v="10"/>
    <x v="0"/>
    <x v="5"/>
    <x v="2"/>
    <x v="0"/>
    <x v="0"/>
    <x v="3"/>
    <x v="4"/>
    <x v="1"/>
    <x v="31"/>
    <x v="0"/>
    <x v="1"/>
    <x v="1"/>
    <x v="0"/>
    <x v="0"/>
    <x v="0"/>
  </r>
  <r>
    <x v="485"/>
    <x v="1"/>
    <x v="1"/>
    <x v="1"/>
    <x v="1"/>
    <x v="10"/>
    <x v="0"/>
    <x v="5"/>
    <x v="2"/>
    <x v="0"/>
    <x v="1"/>
    <x v="3"/>
    <x v="2"/>
    <x v="1"/>
    <x v="31"/>
    <x v="0"/>
    <x v="1"/>
    <x v="0"/>
    <x v="0"/>
    <x v="0"/>
    <x v="0"/>
  </r>
  <r>
    <x v="486"/>
    <x v="0"/>
    <x v="0"/>
    <x v="1"/>
    <x v="1"/>
    <x v="10"/>
    <x v="0"/>
    <x v="3"/>
    <x v="2"/>
    <x v="0"/>
    <x v="1"/>
    <x v="3"/>
    <x v="4"/>
    <x v="1"/>
    <x v="17"/>
    <x v="0"/>
    <x v="1"/>
    <x v="0"/>
    <x v="0"/>
    <x v="0"/>
    <x v="0"/>
  </r>
  <r>
    <x v="487"/>
    <x v="1"/>
    <x v="1"/>
    <x v="1"/>
    <x v="1"/>
    <x v="10"/>
    <x v="0"/>
    <x v="5"/>
    <x v="2"/>
    <x v="0"/>
    <x v="1"/>
    <x v="3"/>
    <x v="2"/>
    <x v="1"/>
    <x v="17"/>
    <x v="0"/>
    <x v="1"/>
    <x v="0"/>
    <x v="0"/>
    <x v="0"/>
    <x v="0"/>
  </r>
  <r>
    <x v="488"/>
    <x v="0"/>
    <x v="0"/>
    <x v="0"/>
    <x v="0"/>
    <x v="10"/>
    <x v="0"/>
    <x v="3"/>
    <x v="0"/>
    <x v="0"/>
    <x v="1"/>
    <x v="4"/>
    <x v="2"/>
    <x v="1"/>
    <x v="1"/>
    <x v="0"/>
    <x v="1"/>
    <x v="1"/>
    <x v="0"/>
    <x v="0"/>
    <x v="0"/>
  </r>
  <r>
    <x v="489"/>
    <x v="0"/>
    <x v="0"/>
    <x v="0"/>
    <x v="0"/>
    <x v="10"/>
    <x v="0"/>
    <x v="3"/>
    <x v="0"/>
    <x v="0"/>
    <x v="1"/>
    <x v="4"/>
    <x v="2"/>
    <x v="1"/>
    <x v="1"/>
    <x v="0"/>
    <x v="1"/>
    <x v="1"/>
    <x v="0"/>
    <x v="0"/>
    <x v="0"/>
  </r>
  <r>
    <x v="490"/>
    <x v="0"/>
    <x v="0"/>
    <x v="1"/>
    <x v="1"/>
    <x v="10"/>
    <x v="0"/>
    <x v="3"/>
    <x v="2"/>
    <x v="0"/>
    <x v="1"/>
    <x v="3"/>
    <x v="2"/>
    <x v="1"/>
    <x v="1"/>
    <x v="0"/>
    <x v="1"/>
    <x v="1"/>
    <x v="0"/>
    <x v="0"/>
    <x v="0"/>
  </r>
  <r>
    <x v="491"/>
    <x v="0"/>
    <x v="0"/>
    <x v="1"/>
    <x v="1"/>
    <x v="10"/>
    <x v="0"/>
    <x v="3"/>
    <x v="0"/>
    <x v="0"/>
    <x v="1"/>
    <x v="3"/>
    <x v="2"/>
    <x v="1"/>
    <x v="1"/>
    <x v="0"/>
    <x v="1"/>
    <x v="1"/>
    <x v="0"/>
    <x v="0"/>
    <x v="0"/>
  </r>
  <r>
    <x v="492"/>
    <x v="0"/>
    <x v="0"/>
    <x v="1"/>
    <x v="1"/>
    <x v="10"/>
    <x v="0"/>
    <x v="2"/>
    <x v="1"/>
    <x v="3"/>
    <x v="0"/>
    <x v="1"/>
    <x v="1"/>
    <x v="1"/>
    <x v="1"/>
    <x v="0"/>
    <x v="1"/>
    <x v="1"/>
    <x v="0"/>
    <x v="0"/>
    <x v="0"/>
  </r>
  <r>
    <x v="493"/>
    <x v="0"/>
    <x v="0"/>
    <x v="1"/>
    <x v="1"/>
    <x v="10"/>
    <x v="0"/>
    <x v="3"/>
    <x v="2"/>
    <x v="0"/>
    <x v="1"/>
    <x v="3"/>
    <x v="4"/>
    <x v="1"/>
    <x v="1"/>
    <x v="0"/>
    <x v="1"/>
    <x v="0"/>
    <x v="0"/>
    <x v="0"/>
    <x v="0"/>
  </r>
  <r>
    <x v="494"/>
    <x v="0"/>
    <x v="0"/>
    <x v="1"/>
    <x v="1"/>
    <x v="10"/>
    <x v="0"/>
    <x v="3"/>
    <x v="2"/>
    <x v="0"/>
    <x v="1"/>
    <x v="3"/>
    <x v="2"/>
    <x v="1"/>
    <x v="1"/>
    <x v="0"/>
    <x v="1"/>
    <x v="1"/>
    <x v="0"/>
    <x v="0"/>
    <x v="0"/>
  </r>
  <r>
    <x v="495"/>
    <x v="0"/>
    <x v="0"/>
    <x v="0"/>
    <x v="0"/>
    <x v="10"/>
    <x v="0"/>
    <x v="3"/>
    <x v="0"/>
    <x v="0"/>
    <x v="1"/>
    <x v="3"/>
    <x v="4"/>
    <x v="1"/>
    <x v="28"/>
    <x v="0"/>
    <x v="1"/>
    <x v="0"/>
    <x v="0"/>
    <x v="0"/>
    <x v="0"/>
  </r>
  <r>
    <x v="496"/>
    <x v="0"/>
    <x v="0"/>
    <x v="0"/>
    <x v="0"/>
    <x v="10"/>
    <x v="0"/>
    <x v="3"/>
    <x v="3"/>
    <x v="1"/>
    <x v="1"/>
    <x v="1"/>
    <x v="2"/>
    <x v="1"/>
    <x v="28"/>
    <x v="0"/>
    <x v="1"/>
    <x v="1"/>
    <x v="0"/>
    <x v="0"/>
    <x v="0"/>
  </r>
  <r>
    <x v="497"/>
    <x v="0"/>
    <x v="0"/>
    <x v="1"/>
    <x v="1"/>
    <x v="10"/>
    <x v="0"/>
    <x v="3"/>
    <x v="0"/>
    <x v="0"/>
    <x v="1"/>
    <x v="3"/>
    <x v="2"/>
    <x v="1"/>
    <x v="28"/>
    <x v="0"/>
    <x v="1"/>
    <x v="1"/>
    <x v="0"/>
    <x v="0"/>
    <x v="0"/>
  </r>
  <r>
    <x v="498"/>
    <x v="1"/>
    <x v="1"/>
    <x v="1"/>
    <x v="1"/>
    <x v="10"/>
    <x v="0"/>
    <x v="3"/>
    <x v="0"/>
    <x v="0"/>
    <x v="1"/>
    <x v="4"/>
    <x v="2"/>
    <x v="1"/>
    <x v="28"/>
    <x v="0"/>
    <x v="1"/>
    <x v="1"/>
    <x v="0"/>
    <x v="0"/>
    <x v="0"/>
  </r>
  <r>
    <x v="499"/>
    <x v="0"/>
    <x v="0"/>
    <x v="0"/>
    <x v="0"/>
    <x v="10"/>
    <x v="0"/>
    <x v="3"/>
    <x v="0"/>
    <x v="0"/>
    <x v="1"/>
    <x v="4"/>
    <x v="4"/>
    <x v="1"/>
    <x v="40"/>
    <x v="0"/>
    <x v="1"/>
    <x v="0"/>
    <x v="0"/>
    <x v="0"/>
    <x v="0"/>
  </r>
  <r>
    <x v="500"/>
    <x v="0"/>
    <x v="0"/>
    <x v="0"/>
    <x v="0"/>
    <x v="10"/>
    <x v="0"/>
    <x v="3"/>
    <x v="0"/>
    <x v="0"/>
    <x v="1"/>
    <x v="3"/>
    <x v="4"/>
    <x v="1"/>
    <x v="40"/>
    <x v="0"/>
    <x v="1"/>
    <x v="0"/>
    <x v="0"/>
    <x v="0"/>
    <x v="0"/>
  </r>
  <r>
    <x v="501"/>
    <x v="0"/>
    <x v="0"/>
    <x v="1"/>
    <x v="1"/>
    <x v="10"/>
    <x v="0"/>
    <x v="3"/>
    <x v="0"/>
    <x v="0"/>
    <x v="1"/>
    <x v="4"/>
    <x v="2"/>
    <x v="1"/>
    <x v="40"/>
    <x v="0"/>
    <x v="1"/>
    <x v="0"/>
    <x v="0"/>
    <x v="0"/>
    <x v="0"/>
  </r>
  <r>
    <x v="502"/>
    <x v="1"/>
    <x v="1"/>
    <x v="1"/>
    <x v="1"/>
    <x v="10"/>
    <x v="0"/>
    <x v="3"/>
    <x v="3"/>
    <x v="1"/>
    <x v="1"/>
    <x v="1"/>
    <x v="2"/>
    <x v="1"/>
    <x v="40"/>
    <x v="0"/>
    <x v="1"/>
    <x v="1"/>
    <x v="0"/>
    <x v="0"/>
    <x v="0"/>
  </r>
  <r>
    <x v="503"/>
    <x v="1"/>
    <x v="1"/>
    <x v="0"/>
    <x v="0"/>
    <x v="10"/>
    <x v="0"/>
    <x v="3"/>
    <x v="3"/>
    <x v="1"/>
    <x v="1"/>
    <x v="1"/>
    <x v="2"/>
    <x v="1"/>
    <x v="18"/>
    <x v="0"/>
    <x v="1"/>
    <x v="1"/>
    <x v="0"/>
    <x v="0"/>
    <x v="0"/>
  </r>
  <r>
    <x v="504"/>
    <x v="0"/>
    <x v="0"/>
    <x v="0"/>
    <x v="0"/>
    <x v="10"/>
    <x v="0"/>
    <x v="1"/>
    <x v="3"/>
    <x v="1"/>
    <x v="1"/>
    <x v="0"/>
    <x v="2"/>
    <x v="1"/>
    <x v="19"/>
    <x v="0"/>
    <x v="1"/>
    <x v="1"/>
    <x v="0"/>
    <x v="0"/>
    <x v="0"/>
  </r>
  <r>
    <x v="505"/>
    <x v="0"/>
    <x v="0"/>
    <x v="1"/>
    <x v="1"/>
    <x v="10"/>
    <x v="0"/>
    <x v="3"/>
    <x v="3"/>
    <x v="1"/>
    <x v="1"/>
    <x v="1"/>
    <x v="4"/>
    <x v="1"/>
    <x v="19"/>
    <x v="0"/>
    <x v="1"/>
    <x v="1"/>
    <x v="0"/>
    <x v="0"/>
    <x v="0"/>
  </r>
  <r>
    <x v="506"/>
    <x v="0"/>
    <x v="0"/>
    <x v="1"/>
    <x v="1"/>
    <x v="10"/>
    <x v="0"/>
    <x v="0"/>
    <x v="3"/>
    <x v="1"/>
    <x v="1"/>
    <x v="3"/>
    <x v="4"/>
    <x v="1"/>
    <x v="19"/>
    <x v="0"/>
    <x v="1"/>
    <x v="1"/>
    <x v="0"/>
    <x v="0"/>
    <x v="0"/>
  </r>
  <r>
    <x v="507"/>
    <x v="1"/>
    <x v="1"/>
    <x v="1"/>
    <x v="1"/>
    <x v="10"/>
    <x v="0"/>
    <x v="1"/>
    <x v="3"/>
    <x v="1"/>
    <x v="1"/>
    <x v="0"/>
    <x v="2"/>
    <x v="1"/>
    <x v="19"/>
    <x v="0"/>
    <x v="1"/>
    <x v="0"/>
    <x v="0"/>
    <x v="0"/>
    <x v="0"/>
  </r>
  <r>
    <x v="508"/>
    <x v="0"/>
    <x v="0"/>
    <x v="0"/>
    <x v="0"/>
    <x v="10"/>
    <x v="0"/>
    <x v="0"/>
    <x v="3"/>
    <x v="1"/>
    <x v="1"/>
    <x v="3"/>
    <x v="4"/>
    <x v="1"/>
    <x v="41"/>
    <x v="0"/>
    <x v="1"/>
    <x v="1"/>
    <x v="0"/>
    <x v="0"/>
    <x v="0"/>
  </r>
  <r>
    <x v="509"/>
    <x v="0"/>
    <x v="0"/>
    <x v="1"/>
    <x v="1"/>
    <x v="10"/>
    <x v="0"/>
    <x v="0"/>
    <x v="3"/>
    <x v="1"/>
    <x v="1"/>
    <x v="3"/>
    <x v="2"/>
    <x v="1"/>
    <x v="41"/>
    <x v="0"/>
    <x v="1"/>
    <x v="1"/>
    <x v="0"/>
    <x v="0"/>
    <x v="0"/>
  </r>
  <r>
    <x v="510"/>
    <x v="1"/>
    <x v="1"/>
    <x v="0"/>
    <x v="0"/>
    <x v="10"/>
    <x v="0"/>
    <x v="0"/>
    <x v="1"/>
    <x v="1"/>
    <x v="1"/>
    <x v="3"/>
    <x v="2"/>
    <x v="1"/>
    <x v="20"/>
    <x v="0"/>
    <x v="1"/>
    <x v="0"/>
    <x v="0"/>
    <x v="0"/>
    <x v="0"/>
  </r>
  <r>
    <x v="511"/>
    <x v="1"/>
    <x v="1"/>
    <x v="0"/>
    <x v="0"/>
    <x v="10"/>
    <x v="0"/>
    <x v="0"/>
    <x v="3"/>
    <x v="1"/>
    <x v="1"/>
    <x v="3"/>
    <x v="2"/>
    <x v="1"/>
    <x v="37"/>
    <x v="0"/>
    <x v="1"/>
    <x v="1"/>
    <x v="0"/>
    <x v="0"/>
    <x v="0"/>
  </r>
  <r>
    <x v="512"/>
    <x v="0"/>
    <x v="0"/>
    <x v="1"/>
    <x v="1"/>
    <x v="10"/>
    <x v="0"/>
    <x v="5"/>
    <x v="1"/>
    <x v="1"/>
    <x v="1"/>
    <x v="3"/>
    <x v="3"/>
    <x v="1"/>
    <x v="37"/>
    <x v="0"/>
    <x v="1"/>
    <x v="1"/>
    <x v="0"/>
    <x v="0"/>
    <x v="0"/>
  </r>
  <r>
    <x v="513"/>
    <x v="0"/>
    <x v="0"/>
    <x v="1"/>
    <x v="1"/>
    <x v="10"/>
    <x v="0"/>
    <x v="5"/>
    <x v="1"/>
    <x v="1"/>
    <x v="1"/>
    <x v="3"/>
    <x v="2"/>
    <x v="1"/>
    <x v="30"/>
    <x v="0"/>
    <x v="1"/>
    <x v="1"/>
    <x v="0"/>
    <x v="0"/>
    <x v="0"/>
  </r>
  <r>
    <x v="514"/>
    <x v="0"/>
    <x v="0"/>
    <x v="0"/>
    <x v="0"/>
    <x v="10"/>
    <x v="0"/>
    <x v="5"/>
    <x v="3"/>
    <x v="1"/>
    <x v="1"/>
    <x v="3"/>
    <x v="2"/>
    <x v="1"/>
    <x v="2"/>
    <x v="0"/>
    <x v="1"/>
    <x v="1"/>
    <x v="0"/>
    <x v="0"/>
    <x v="0"/>
  </r>
  <r>
    <x v="515"/>
    <x v="1"/>
    <x v="1"/>
    <x v="0"/>
    <x v="0"/>
    <x v="10"/>
    <x v="0"/>
    <x v="5"/>
    <x v="1"/>
    <x v="1"/>
    <x v="1"/>
    <x v="3"/>
    <x v="2"/>
    <x v="1"/>
    <x v="2"/>
    <x v="0"/>
    <x v="1"/>
    <x v="1"/>
    <x v="0"/>
    <x v="0"/>
    <x v="0"/>
  </r>
  <r>
    <x v="516"/>
    <x v="0"/>
    <x v="0"/>
    <x v="1"/>
    <x v="1"/>
    <x v="10"/>
    <x v="0"/>
    <x v="5"/>
    <x v="3"/>
    <x v="1"/>
    <x v="1"/>
    <x v="3"/>
    <x v="2"/>
    <x v="1"/>
    <x v="2"/>
    <x v="0"/>
    <x v="1"/>
    <x v="1"/>
    <x v="0"/>
    <x v="0"/>
    <x v="0"/>
  </r>
  <r>
    <x v="517"/>
    <x v="0"/>
    <x v="0"/>
    <x v="1"/>
    <x v="1"/>
    <x v="10"/>
    <x v="0"/>
    <x v="5"/>
    <x v="3"/>
    <x v="1"/>
    <x v="1"/>
    <x v="3"/>
    <x v="2"/>
    <x v="1"/>
    <x v="2"/>
    <x v="0"/>
    <x v="1"/>
    <x v="1"/>
    <x v="0"/>
    <x v="0"/>
    <x v="0"/>
  </r>
  <r>
    <x v="518"/>
    <x v="0"/>
    <x v="0"/>
    <x v="1"/>
    <x v="1"/>
    <x v="10"/>
    <x v="0"/>
    <x v="5"/>
    <x v="3"/>
    <x v="1"/>
    <x v="0"/>
    <x v="3"/>
    <x v="3"/>
    <x v="1"/>
    <x v="2"/>
    <x v="0"/>
    <x v="1"/>
    <x v="1"/>
    <x v="0"/>
    <x v="0"/>
    <x v="0"/>
  </r>
  <r>
    <x v="519"/>
    <x v="0"/>
    <x v="0"/>
    <x v="0"/>
    <x v="0"/>
    <x v="10"/>
    <x v="0"/>
    <x v="5"/>
    <x v="1"/>
    <x v="1"/>
    <x v="1"/>
    <x v="3"/>
    <x v="3"/>
    <x v="1"/>
    <x v="21"/>
    <x v="0"/>
    <x v="1"/>
    <x v="1"/>
    <x v="0"/>
    <x v="0"/>
    <x v="0"/>
  </r>
  <r>
    <x v="520"/>
    <x v="0"/>
    <x v="0"/>
    <x v="1"/>
    <x v="1"/>
    <x v="10"/>
    <x v="0"/>
    <x v="3"/>
    <x v="1"/>
    <x v="1"/>
    <x v="1"/>
    <x v="4"/>
    <x v="1"/>
    <x v="2"/>
    <x v="21"/>
    <x v="0"/>
    <x v="1"/>
    <x v="0"/>
    <x v="0"/>
    <x v="0"/>
    <x v="0"/>
  </r>
  <r>
    <x v="521"/>
    <x v="0"/>
    <x v="0"/>
    <x v="1"/>
    <x v="1"/>
    <x v="10"/>
    <x v="0"/>
    <x v="5"/>
    <x v="1"/>
    <x v="1"/>
    <x v="1"/>
    <x v="3"/>
    <x v="3"/>
    <x v="1"/>
    <x v="21"/>
    <x v="0"/>
    <x v="1"/>
    <x v="1"/>
    <x v="0"/>
    <x v="0"/>
    <x v="0"/>
  </r>
  <r>
    <x v="522"/>
    <x v="0"/>
    <x v="0"/>
    <x v="0"/>
    <x v="0"/>
    <x v="10"/>
    <x v="0"/>
    <x v="5"/>
    <x v="1"/>
    <x v="1"/>
    <x v="1"/>
    <x v="3"/>
    <x v="2"/>
    <x v="1"/>
    <x v="22"/>
    <x v="0"/>
    <x v="1"/>
    <x v="1"/>
    <x v="0"/>
    <x v="0"/>
    <x v="0"/>
  </r>
  <r>
    <x v="523"/>
    <x v="0"/>
    <x v="0"/>
    <x v="0"/>
    <x v="0"/>
    <x v="10"/>
    <x v="0"/>
    <x v="3"/>
    <x v="1"/>
    <x v="1"/>
    <x v="1"/>
    <x v="3"/>
    <x v="0"/>
    <x v="1"/>
    <x v="43"/>
    <x v="0"/>
    <x v="1"/>
    <x v="1"/>
    <x v="0"/>
    <x v="0"/>
    <x v="0"/>
  </r>
  <r>
    <x v="524"/>
    <x v="0"/>
    <x v="0"/>
    <x v="1"/>
    <x v="1"/>
    <x v="11"/>
    <x v="0"/>
    <x v="4"/>
    <x v="1"/>
    <x v="3"/>
    <x v="1"/>
    <x v="1"/>
    <x v="1"/>
    <x v="1"/>
    <x v="23"/>
    <x v="0"/>
    <x v="0"/>
    <x v="1"/>
    <x v="0"/>
    <x v="0"/>
    <x v="0"/>
  </r>
  <r>
    <x v="525"/>
    <x v="0"/>
    <x v="0"/>
    <x v="1"/>
    <x v="1"/>
    <x v="11"/>
    <x v="0"/>
    <x v="4"/>
    <x v="1"/>
    <x v="3"/>
    <x v="1"/>
    <x v="1"/>
    <x v="3"/>
    <x v="1"/>
    <x v="23"/>
    <x v="0"/>
    <x v="0"/>
    <x v="0"/>
    <x v="0"/>
    <x v="0"/>
    <x v="0"/>
  </r>
  <r>
    <x v="526"/>
    <x v="0"/>
    <x v="0"/>
    <x v="0"/>
    <x v="0"/>
    <x v="11"/>
    <x v="0"/>
    <x v="4"/>
    <x v="1"/>
    <x v="3"/>
    <x v="1"/>
    <x v="1"/>
    <x v="3"/>
    <x v="1"/>
    <x v="3"/>
    <x v="0"/>
    <x v="0"/>
    <x v="0"/>
    <x v="0"/>
    <x v="0"/>
    <x v="0"/>
  </r>
  <r>
    <x v="527"/>
    <x v="1"/>
    <x v="1"/>
    <x v="0"/>
    <x v="0"/>
    <x v="11"/>
    <x v="0"/>
    <x v="4"/>
    <x v="1"/>
    <x v="3"/>
    <x v="1"/>
    <x v="1"/>
    <x v="3"/>
    <x v="1"/>
    <x v="3"/>
    <x v="0"/>
    <x v="0"/>
    <x v="1"/>
    <x v="0"/>
    <x v="0"/>
    <x v="0"/>
  </r>
  <r>
    <x v="528"/>
    <x v="1"/>
    <x v="1"/>
    <x v="0"/>
    <x v="0"/>
    <x v="11"/>
    <x v="0"/>
    <x v="2"/>
    <x v="1"/>
    <x v="3"/>
    <x v="1"/>
    <x v="1"/>
    <x v="3"/>
    <x v="1"/>
    <x v="3"/>
    <x v="0"/>
    <x v="0"/>
    <x v="0"/>
    <x v="0"/>
    <x v="0"/>
    <x v="0"/>
  </r>
  <r>
    <x v="529"/>
    <x v="1"/>
    <x v="1"/>
    <x v="0"/>
    <x v="0"/>
    <x v="11"/>
    <x v="0"/>
    <x v="4"/>
    <x v="1"/>
    <x v="3"/>
    <x v="1"/>
    <x v="1"/>
    <x v="3"/>
    <x v="1"/>
    <x v="3"/>
    <x v="0"/>
    <x v="0"/>
    <x v="0"/>
    <x v="0"/>
    <x v="0"/>
    <x v="0"/>
  </r>
  <r>
    <x v="530"/>
    <x v="0"/>
    <x v="0"/>
    <x v="1"/>
    <x v="1"/>
    <x v="11"/>
    <x v="0"/>
    <x v="2"/>
    <x v="1"/>
    <x v="3"/>
    <x v="1"/>
    <x v="1"/>
    <x v="1"/>
    <x v="1"/>
    <x v="3"/>
    <x v="0"/>
    <x v="0"/>
    <x v="0"/>
    <x v="0"/>
    <x v="0"/>
    <x v="0"/>
  </r>
  <r>
    <x v="531"/>
    <x v="0"/>
    <x v="0"/>
    <x v="0"/>
    <x v="0"/>
    <x v="11"/>
    <x v="0"/>
    <x v="4"/>
    <x v="1"/>
    <x v="3"/>
    <x v="1"/>
    <x v="1"/>
    <x v="1"/>
    <x v="1"/>
    <x v="24"/>
    <x v="0"/>
    <x v="0"/>
    <x v="1"/>
    <x v="0"/>
    <x v="0"/>
    <x v="0"/>
  </r>
  <r>
    <x v="532"/>
    <x v="0"/>
    <x v="0"/>
    <x v="0"/>
    <x v="0"/>
    <x v="11"/>
    <x v="0"/>
    <x v="2"/>
    <x v="3"/>
    <x v="3"/>
    <x v="1"/>
    <x v="1"/>
    <x v="1"/>
    <x v="1"/>
    <x v="24"/>
    <x v="0"/>
    <x v="0"/>
    <x v="0"/>
    <x v="0"/>
    <x v="0"/>
    <x v="0"/>
  </r>
  <r>
    <x v="533"/>
    <x v="0"/>
    <x v="0"/>
    <x v="0"/>
    <x v="0"/>
    <x v="11"/>
    <x v="0"/>
    <x v="2"/>
    <x v="3"/>
    <x v="3"/>
    <x v="1"/>
    <x v="1"/>
    <x v="4"/>
    <x v="1"/>
    <x v="24"/>
    <x v="0"/>
    <x v="0"/>
    <x v="0"/>
    <x v="0"/>
    <x v="0"/>
    <x v="0"/>
  </r>
  <r>
    <x v="534"/>
    <x v="0"/>
    <x v="0"/>
    <x v="1"/>
    <x v="1"/>
    <x v="11"/>
    <x v="0"/>
    <x v="2"/>
    <x v="3"/>
    <x v="3"/>
    <x v="1"/>
    <x v="1"/>
    <x v="1"/>
    <x v="1"/>
    <x v="24"/>
    <x v="0"/>
    <x v="0"/>
    <x v="0"/>
    <x v="0"/>
    <x v="0"/>
    <x v="0"/>
  </r>
  <r>
    <x v="535"/>
    <x v="0"/>
    <x v="0"/>
    <x v="1"/>
    <x v="1"/>
    <x v="11"/>
    <x v="0"/>
    <x v="2"/>
    <x v="1"/>
    <x v="3"/>
    <x v="1"/>
    <x v="1"/>
    <x v="3"/>
    <x v="1"/>
    <x v="24"/>
    <x v="0"/>
    <x v="0"/>
    <x v="1"/>
    <x v="0"/>
    <x v="0"/>
    <x v="0"/>
  </r>
  <r>
    <x v="536"/>
    <x v="0"/>
    <x v="0"/>
    <x v="0"/>
    <x v="0"/>
    <x v="11"/>
    <x v="0"/>
    <x v="2"/>
    <x v="3"/>
    <x v="3"/>
    <x v="1"/>
    <x v="4"/>
    <x v="1"/>
    <x v="1"/>
    <x v="32"/>
    <x v="0"/>
    <x v="0"/>
    <x v="1"/>
    <x v="0"/>
    <x v="0"/>
    <x v="0"/>
  </r>
  <r>
    <x v="537"/>
    <x v="0"/>
    <x v="0"/>
    <x v="0"/>
    <x v="0"/>
    <x v="11"/>
    <x v="0"/>
    <x v="2"/>
    <x v="1"/>
    <x v="3"/>
    <x v="1"/>
    <x v="1"/>
    <x v="1"/>
    <x v="1"/>
    <x v="32"/>
    <x v="0"/>
    <x v="0"/>
    <x v="1"/>
    <x v="0"/>
    <x v="0"/>
    <x v="0"/>
  </r>
  <r>
    <x v="538"/>
    <x v="0"/>
    <x v="0"/>
    <x v="0"/>
    <x v="0"/>
    <x v="11"/>
    <x v="0"/>
    <x v="4"/>
    <x v="1"/>
    <x v="3"/>
    <x v="1"/>
    <x v="1"/>
    <x v="1"/>
    <x v="0"/>
    <x v="9"/>
    <x v="0"/>
    <x v="0"/>
    <x v="0"/>
    <x v="0"/>
    <x v="0"/>
    <x v="0"/>
  </r>
  <r>
    <x v="539"/>
    <x v="1"/>
    <x v="1"/>
    <x v="0"/>
    <x v="0"/>
    <x v="11"/>
    <x v="0"/>
    <x v="4"/>
    <x v="1"/>
    <x v="3"/>
    <x v="1"/>
    <x v="1"/>
    <x v="1"/>
    <x v="0"/>
    <x v="9"/>
    <x v="0"/>
    <x v="0"/>
    <x v="0"/>
    <x v="0"/>
    <x v="0"/>
    <x v="0"/>
  </r>
  <r>
    <x v="540"/>
    <x v="1"/>
    <x v="1"/>
    <x v="0"/>
    <x v="0"/>
    <x v="11"/>
    <x v="0"/>
    <x v="4"/>
    <x v="1"/>
    <x v="3"/>
    <x v="1"/>
    <x v="1"/>
    <x v="3"/>
    <x v="0"/>
    <x v="9"/>
    <x v="0"/>
    <x v="0"/>
    <x v="1"/>
    <x v="0"/>
    <x v="0"/>
    <x v="0"/>
  </r>
  <r>
    <x v="541"/>
    <x v="0"/>
    <x v="0"/>
    <x v="1"/>
    <x v="1"/>
    <x v="11"/>
    <x v="0"/>
    <x v="2"/>
    <x v="3"/>
    <x v="3"/>
    <x v="1"/>
    <x v="1"/>
    <x v="1"/>
    <x v="1"/>
    <x v="9"/>
    <x v="0"/>
    <x v="0"/>
    <x v="1"/>
    <x v="0"/>
    <x v="0"/>
    <x v="0"/>
  </r>
  <r>
    <x v="542"/>
    <x v="1"/>
    <x v="1"/>
    <x v="0"/>
    <x v="0"/>
    <x v="11"/>
    <x v="0"/>
    <x v="4"/>
    <x v="1"/>
    <x v="3"/>
    <x v="0"/>
    <x v="1"/>
    <x v="1"/>
    <x v="0"/>
    <x v="5"/>
    <x v="0"/>
    <x v="0"/>
    <x v="0"/>
    <x v="0"/>
    <x v="0"/>
    <x v="0"/>
  </r>
  <r>
    <x v="543"/>
    <x v="1"/>
    <x v="1"/>
    <x v="1"/>
    <x v="1"/>
    <x v="11"/>
    <x v="0"/>
    <x v="4"/>
    <x v="1"/>
    <x v="3"/>
    <x v="1"/>
    <x v="1"/>
    <x v="1"/>
    <x v="0"/>
    <x v="5"/>
    <x v="0"/>
    <x v="0"/>
    <x v="0"/>
    <x v="0"/>
    <x v="0"/>
    <x v="0"/>
  </r>
  <r>
    <x v="544"/>
    <x v="1"/>
    <x v="1"/>
    <x v="1"/>
    <x v="1"/>
    <x v="11"/>
    <x v="0"/>
    <x v="3"/>
    <x v="3"/>
    <x v="3"/>
    <x v="1"/>
    <x v="1"/>
    <x v="4"/>
    <x v="1"/>
    <x v="5"/>
    <x v="0"/>
    <x v="0"/>
    <x v="0"/>
    <x v="0"/>
    <x v="0"/>
    <x v="0"/>
  </r>
  <r>
    <x v="545"/>
    <x v="1"/>
    <x v="1"/>
    <x v="1"/>
    <x v="1"/>
    <x v="11"/>
    <x v="0"/>
    <x v="3"/>
    <x v="3"/>
    <x v="3"/>
    <x v="1"/>
    <x v="4"/>
    <x v="4"/>
    <x v="1"/>
    <x v="10"/>
    <x v="0"/>
    <x v="0"/>
    <x v="0"/>
    <x v="0"/>
    <x v="0"/>
    <x v="0"/>
  </r>
  <r>
    <x v="546"/>
    <x v="1"/>
    <x v="1"/>
    <x v="1"/>
    <x v="1"/>
    <x v="11"/>
    <x v="0"/>
    <x v="3"/>
    <x v="3"/>
    <x v="3"/>
    <x v="0"/>
    <x v="4"/>
    <x v="1"/>
    <x v="1"/>
    <x v="10"/>
    <x v="0"/>
    <x v="0"/>
    <x v="0"/>
    <x v="0"/>
    <x v="0"/>
    <x v="0"/>
  </r>
  <r>
    <x v="547"/>
    <x v="1"/>
    <x v="1"/>
    <x v="1"/>
    <x v="1"/>
    <x v="11"/>
    <x v="0"/>
    <x v="4"/>
    <x v="0"/>
    <x v="3"/>
    <x v="0"/>
    <x v="4"/>
    <x v="4"/>
    <x v="1"/>
    <x v="25"/>
    <x v="0"/>
    <x v="0"/>
    <x v="0"/>
    <x v="0"/>
    <x v="0"/>
    <x v="0"/>
  </r>
  <r>
    <x v="548"/>
    <x v="1"/>
    <x v="1"/>
    <x v="1"/>
    <x v="1"/>
    <x v="11"/>
    <x v="0"/>
    <x v="3"/>
    <x v="3"/>
    <x v="3"/>
    <x v="0"/>
    <x v="4"/>
    <x v="1"/>
    <x v="1"/>
    <x v="25"/>
    <x v="0"/>
    <x v="0"/>
    <x v="0"/>
    <x v="0"/>
    <x v="0"/>
    <x v="0"/>
  </r>
  <r>
    <x v="549"/>
    <x v="1"/>
    <x v="1"/>
    <x v="0"/>
    <x v="0"/>
    <x v="11"/>
    <x v="0"/>
    <x v="5"/>
    <x v="3"/>
    <x v="3"/>
    <x v="0"/>
    <x v="4"/>
    <x v="1"/>
    <x v="1"/>
    <x v="11"/>
    <x v="0"/>
    <x v="0"/>
    <x v="1"/>
    <x v="0"/>
    <x v="0"/>
    <x v="0"/>
  </r>
  <r>
    <x v="550"/>
    <x v="0"/>
    <x v="0"/>
    <x v="1"/>
    <x v="1"/>
    <x v="11"/>
    <x v="0"/>
    <x v="5"/>
    <x v="3"/>
    <x v="3"/>
    <x v="1"/>
    <x v="3"/>
    <x v="4"/>
    <x v="1"/>
    <x v="11"/>
    <x v="0"/>
    <x v="0"/>
    <x v="1"/>
    <x v="0"/>
    <x v="0"/>
    <x v="0"/>
  </r>
  <r>
    <x v="551"/>
    <x v="0"/>
    <x v="0"/>
    <x v="0"/>
    <x v="0"/>
    <x v="11"/>
    <x v="0"/>
    <x v="5"/>
    <x v="3"/>
    <x v="3"/>
    <x v="1"/>
    <x v="3"/>
    <x v="1"/>
    <x v="1"/>
    <x v="12"/>
    <x v="0"/>
    <x v="0"/>
    <x v="1"/>
    <x v="0"/>
    <x v="0"/>
    <x v="0"/>
  </r>
  <r>
    <x v="552"/>
    <x v="0"/>
    <x v="0"/>
    <x v="1"/>
    <x v="1"/>
    <x v="11"/>
    <x v="0"/>
    <x v="5"/>
    <x v="3"/>
    <x v="3"/>
    <x v="1"/>
    <x v="0"/>
    <x v="2"/>
    <x v="1"/>
    <x v="12"/>
    <x v="0"/>
    <x v="0"/>
    <x v="1"/>
    <x v="0"/>
    <x v="0"/>
    <x v="0"/>
  </r>
  <r>
    <x v="553"/>
    <x v="1"/>
    <x v="1"/>
    <x v="1"/>
    <x v="1"/>
    <x v="11"/>
    <x v="0"/>
    <x v="5"/>
    <x v="3"/>
    <x v="3"/>
    <x v="1"/>
    <x v="3"/>
    <x v="4"/>
    <x v="1"/>
    <x v="12"/>
    <x v="0"/>
    <x v="0"/>
    <x v="0"/>
    <x v="0"/>
    <x v="0"/>
    <x v="0"/>
  </r>
  <r>
    <x v="554"/>
    <x v="1"/>
    <x v="1"/>
    <x v="0"/>
    <x v="0"/>
    <x v="11"/>
    <x v="0"/>
    <x v="0"/>
    <x v="3"/>
    <x v="3"/>
    <x v="1"/>
    <x v="3"/>
    <x v="1"/>
    <x v="1"/>
    <x v="13"/>
    <x v="0"/>
    <x v="0"/>
    <x v="1"/>
    <x v="0"/>
    <x v="0"/>
    <x v="0"/>
  </r>
  <r>
    <x v="555"/>
    <x v="0"/>
    <x v="0"/>
    <x v="1"/>
    <x v="1"/>
    <x v="11"/>
    <x v="0"/>
    <x v="0"/>
    <x v="3"/>
    <x v="3"/>
    <x v="1"/>
    <x v="0"/>
    <x v="2"/>
    <x v="1"/>
    <x v="13"/>
    <x v="0"/>
    <x v="0"/>
    <x v="1"/>
    <x v="0"/>
    <x v="0"/>
    <x v="0"/>
  </r>
  <r>
    <x v="556"/>
    <x v="0"/>
    <x v="0"/>
    <x v="0"/>
    <x v="0"/>
    <x v="11"/>
    <x v="0"/>
    <x v="0"/>
    <x v="3"/>
    <x v="1"/>
    <x v="1"/>
    <x v="3"/>
    <x v="2"/>
    <x v="1"/>
    <x v="37"/>
    <x v="0"/>
    <x v="1"/>
    <x v="1"/>
    <x v="0"/>
    <x v="0"/>
    <x v="0"/>
  </r>
  <r>
    <x v="557"/>
    <x v="0"/>
    <x v="0"/>
    <x v="1"/>
    <x v="1"/>
    <x v="11"/>
    <x v="0"/>
    <x v="0"/>
    <x v="3"/>
    <x v="1"/>
    <x v="1"/>
    <x v="3"/>
    <x v="2"/>
    <x v="1"/>
    <x v="37"/>
    <x v="0"/>
    <x v="1"/>
    <x v="1"/>
    <x v="0"/>
    <x v="0"/>
    <x v="0"/>
  </r>
  <r>
    <x v="558"/>
    <x v="0"/>
    <x v="0"/>
    <x v="0"/>
    <x v="0"/>
    <x v="11"/>
    <x v="0"/>
    <x v="0"/>
    <x v="3"/>
    <x v="1"/>
    <x v="1"/>
    <x v="3"/>
    <x v="3"/>
    <x v="1"/>
    <x v="30"/>
    <x v="0"/>
    <x v="1"/>
    <x v="0"/>
    <x v="0"/>
    <x v="0"/>
    <x v="0"/>
  </r>
  <r>
    <x v="559"/>
    <x v="0"/>
    <x v="0"/>
    <x v="1"/>
    <x v="1"/>
    <x v="11"/>
    <x v="0"/>
    <x v="3"/>
    <x v="1"/>
    <x v="1"/>
    <x v="1"/>
    <x v="4"/>
    <x v="0"/>
    <x v="2"/>
    <x v="30"/>
    <x v="0"/>
    <x v="1"/>
    <x v="0"/>
    <x v="0"/>
    <x v="0"/>
    <x v="0"/>
  </r>
  <r>
    <x v="560"/>
    <x v="0"/>
    <x v="0"/>
    <x v="1"/>
    <x v="1"/>
    <x v="11"/>
    <x v="0"/>
    <x v="0"/>
    <x v="3"/>
    <x v="1"/>
    <x v="1"/>
    <x v="3"/>
    <x v="2"/>
    <x v="1"/>
    <x v="30"/>
    <x v="0"/>
    <x v="1"/>
    <x v="1"/>
    <x v="0"/>
    <x v="0"/>
    <x v="0"/>
  </r>
  <r>
    <x v="561"/>
    <x v="0"/>
    <x v="0"/>
    <x v="1"/>
    <x v="1"/>
    <x v="11"/>
    <x v="0"/>
    <x v="3"/>
    <x v="1"/>
    <x v="1"/>
    <x v="1"/>
    <x v="3"/>
    <x v="0"/>
    <x v="1"/>
    <x v="22"/>
    <x v="0"/>
    <x v="1"/>
    <x v="1"/>
    <x v="0"/>
    <x v="0"/>
    <x v="0"/>
  </r>
  <r>
    <x v="562"/>
    <x v="1"/>
    <x v="1"/>
    <x v="1"/>
    <x v="1"/>
    <x v="11"/>
    <x v="0"/>
    <x v="5"/>
    <x v="1"/>
    <x v="1"/>
    <x v="1"/>
    <x v="3"/>
    <x v="2"/>
    <x v="1"/>
    <x v="22"/>
    <x v="0"/>
    <x v="1"/>
    <x v="1"/>
    <x v="0"/>
    <x v="0"/>
    <x v="0"/>
  </r>
  <r>
    <x v="563"/>
    <x v="0"/>
    <x v="0"/>
    <x v="1"/>
    <x v="1"/>
    <x v="11"/>
    <x v="0"/>
    <x v="3"/>
    <x v="1"/>
    <x v="1"/>
    <x v="1"/>
    <x v="3"/>
    <x v="0"/>
    <x v="1"/>
    <x v="47"/>
    <x v="0"/>
    <x v="1"/>
    <x v="1"/>
    <x v="0"/>
    <x v="0"/>
    <x v="0"/>
  </r>
  <r>
    <x v="564"/>
    <x v="0"/>
    <x v="0"/>
    <x v="1"/>
    <x v="1"/>
    <x v="12"/>
    <x v="0"/>
    <x v="4"/>
    <x v="1"/>
    <x v="4"/>
    <x v="1"/>
    <x v="1"/>
    <x v="1"/>
    <x v="0"/>
    <x v="48"/>
    <x v="0"/>
    <x v="2"/>
    <x v="0"/>
    <x v="0"/>
    <x v="0"/>
    <x v="0"/>
  </r>
  <r>
    <x v="565"/>
    <x v="1"/>
    <x v="1"/>
    <x v="0"/>
    <x v="0"/>
    <x v="12"/>
    <x v="0"/>
    <x v="4"/>
    <x v="4"/>
    <x v="4"/>
    <x v="1"/>
    <x v="3"/>
    <x v="0"/>
    <x v="1"/>
    <x v="49"/>
    <x v="0"/>
    <x v="2"/>
    <x v="1"/>
    <x v="0"/>
    <x v="0"/>
    <x v="0"/>
  </r>
  <r>
    <x v="566"/>
    <x v="0"/>
    <x v="0"/>
    <x v="0"/>
    <x v="0"/>
    <x v="12"/>
    <x v="0"/>
    <x v="4"/>
    <x v="2"/>
    <x v="3"/>
    <x v="1"/>
    <x v="3"/>
    <x v="0"/>
    <x v="1"/>
    <x v="45"/>
    <x v="0"/>
    <x v="2"/>
    <x v="1"/>
    <x v="0"/>
    <x v="0"/>
    <x v="0"/>
  </r>
  <r>
    <x v="567"/>
    <x v="1"/>
    <x v="1"/>
    <x v="0"/>
    <x v="0"/>
    <x v="12"/>
    <x v="0"/>
    <x v="4"/>
    <x v="2"/>
    <x v="3"/>
    <x v="0"/>
    <x v="3"/>
    <x v="1"/>
    <x v="1"/>
    <x v="45"/>
    <x v="0"/>
    <x v="2"/>
    <x v="0"/>
    <x v="0"/>
    <x v="0"/>
    <x v="0"/>
  </r>
  <r>
    <x v="568"/>
    <x v="1"/>
    <x v="1"/>
    <x v="0"/>
    <x v="0"/>
    <x v="12"/>
    <x v="0"/>
    <x v="4"/>
    <x v="0"/>
    <x v="3"/>
    <x v="0"/>
    <x v="4"/>
    <x v="3"/>
    <x v="1"/>
    <x v="45"/>
    <x v="0"/>
    <x v="2"/>
    <x v="1"/>
    <x v="0"/>
    <x v="0"/>
    <x v="0"/>
  </r>
  <r>
    <x v="569"/>
    <x v="0"/>
    <x v="0"/>
    <x v="1"/>
    <x v="1"/>
    <x v="12"/>
    <x v="0"/>
    <x v="4"/>
    <x v="2"/>
    <x v="3"/>
    <x v="0"/>
    <x v="3"/>
    <x v="1"/>
    <x v="1"/>
    <x v="45"/>
    <x v="0"/>
    <x v="2"/>
    <x v="0"/>
    <x v="0"/>
    <x v="0"/>
    <x v="0"/>
  </r>
  <r>
    <x v="570"/>
    <x v="0"/>
    <x v="0"/>
    <x v="1"/>
    <x v="1"/>
    <x v="12"/>
    <x v="0"/>
    <x v="4"/>
    <x v="2"/>
    <x v="3"/>
    <x v="1"/>
    <x v="3"/>
    <x v="0"/>
    <x v="1"/>
    <x v="45"/>
    <x v="0"/>
    <x v="2"/>
    <x v="1"/>
    <x v="0"/>
    <x v="0"/>
    <x v="0"/>
  </r>
  <r>
    <x v="571"/>
    <x v="0"/>
    <x v="0"/>
    <x v="1"/>
    <x v="1"/>
    <x v="12"/>
    <x v="0"/>
    <x v="4"/>
    <x v="2"/>
    <x v="3"/>
    <x v="1"/>
    <x v="3"/>
    <x v="0"/>
    <x v="1"/>
    <x v="45"/>
    <x v="0"/>
    <x v="2"/>
    <x v="1"/>
    <x v="0"/>
    <x v="0"/>
    <x v="0"/>
  </r>
  <r>
    <x v="572"/>
    <x v="0"/>
    <x v="0"/>
    <x v="1"/>
    <x v="1"/>
    <x v="12"/>
    <x v="0"/>
    <x v="4"/>
    <x v="0"/>
    <x v="3"/>
    <x v="1"/>
    <x v="4"/>
    <x v="0"/>
    <x v="1"/>
    <x v="45"/>
    <x v="0"/>
    <x v="2"/>
    <x v="1"/>
    <x v="0"/>
    <x v="0"/>
    <x v="0"/>
  </r>
  <r>
    <x v="573"/>
    <x v="1"/>
    <x v="1"/>
    <x v="1"/>
    <x v="1"/>
    <x v="12"/>
    <x v="0"/>
    <x v="4"/>
    <x v="2"/>
    <x v="3"/>
    <x v="1"/>
    <x v="3"/>
    <x v="0"/>
    <x v="1"/>
    <x v="45"/>
    <x v="0"/>
    <x v="2"/>
    <x v="1"/>
    <x v="0"/>
    <x v="0"/>
    <x v="0"/>
  </r>
  <r>
    <x v="574"/>
    <x v="1"/>
    <x v="1"/>
    <x v="1"/>
    <x v="1"/>
    <x v="12"/>
    <x v="0"/>
    <x v="4"/>
    <x v="0"/>
    <x v="3"/>
    <x v="1"/>
    <x v="4"/>
    <x v="0"/>
    <x v="1"/>
    <x v="45"/>
    <x v="0"/>
    <x v="2"/>
    <x v="1"/>
    <x v="0"/>
    <x v="0"/>
    <x v="0"/>
  </r>
  <r>
    <x v="575"/>
    <x v="0"/>
    <x v="0"/>
    <x v="0"/>
    <x v="0"/>
    <x v="12"/>
    <x v="0"/>
    <x v="4"/>
    <x v="0"/>
    <x v="3"/>
    <x v="1"/>
    <x v="3"/>
    <x v="0"/>
    <x v="1"/>
    <x v="50"/>
    <x v="0"/>
    <x v="2"/>
    <x v="1"/>
    <x v="0"/>
    <x v="0"/>
    <x v="0"/>
  </r>
  <r>
    <x v="576"/>
    <x v="1"/>
    <x v="1"/>
    <x v="0"/>
    <x v="0"/>
    <x v="12"/>
    <x v="0"/>
    <x v="4"/>
    <x v="3"/>
    <x v="4"/>
    <x v="0"/>
    <x v="1"/>
    <x v="1"/>
    <x v="2"/>
    <x v="50"/>
    <x v="0"/>
    <x v="2"/>
    <x v="0"/>
    <x v="0"/>
    <x v="0"/>
    <x v="0"/>
  </r>
  <r>
    <x v="577"/>
    <x v="1"/>
    <x v="1"/>
    <x v="0"/>
    <x v="0"/>
    <x v="12"/>
    <x v="0"/>
    <x v="4"/>
    <x v="2"/>
    <x v="3"/>
    <x v="0"/>
    <x v="3"/>
    <x v="1"/>
    <x v="1"/>
    <x v="50"/>
    <x v="0"/>
    <x v="2"/>
    <x v="0"/>
    <x v="0"/>
    <x v="0"/>
    <x v="0"/>
  </r>
  <r>
    <x v="578"/>
    <x v="0"/>
    <x v="0"/>
    <x v="1"/>
    <x v="1"/>
    <x v="12"/>
    <x v="0"/>
    <x v="4"/>
    <x v="2"/>
    <x v="3"/>
    <x v="1"/>
    <x v="3"/>
    <x v="0"/>
    <x v="1"/>
    <x v="50"/>
    <x v="0"/>
    <x v="2"/>
    <x v="0"/>
    <x v="0"/>
    <x v="0"/>
    <x v="0"/>
  </r>
  <r>
    <x v="579"/>
    <x v="0"/>
    <x v="0"/>
    <x v="1"/>
    <x v="1"/>
    <x v="12"/>
    <x v="0"/>
    <x v="4"/>
    <x v="2"/>
    <x v="3"/>
    <x v="1"/>
    <x v="3"/>
    <x v="0"/>
    <x v="1"/>
    <x v="50"/>
    <x v="0"/>
    <x v="2"/>
    <x v="0"/>
    <x v="0"/>
    <x v="0"/>
    <x v="0"/>
  </r>
  <r>
    <x v="580"/>
    <x v="0"/>
    <x v="0"/>
    <x v="1"/>
    <x v="1"/>
    <x v="12"/>
    <x v="0"/>
    <x v="4"/>
    <x v="2"/>
    <x v="3"/>
    <x v="1"/>
    <x v="3"/>
    <x v="0"/>
    <x v="1"/>
    <x v="50"/>
    <x v="0"/>
    <x v="2"/>
    <x v="0"/>
    <x v="0"/>
    <x v="0"/>
    <x v="0"/>
  </r>
  <r>
    <x v="581"/>
    <x v="0"/>
    <x v="0"/>
    <x v="1"/>
    <x v="1"/>
    <x v="12"/>
    <x v="0"/>
    <x v="4"/>
    <x v="0"/>
    <x v="3"/>
    <x v="1"/>
    <x v="4"/>
    <x v="0"/>
    <x v="1"/>
    <x v="50"/>
    <x v="0"/>
    <x v="2"/>
    <x v="1"/>
    <x v="0"/>
    <x v="0"/>
    <x v="0"/>
  </r>
  <r>
    <x v="582"/>
    <x v="1"/>
    <x v="1"/>
    <x v="1"/>
    <x v="1"/>
    <x v="12"/>
    <x v="0"/>
    <x v="4"/>
    <x v="2"/>
    <x v="3"/>
    <x v="0"/>
    <x v="3"/>
    <x v="1"/>
    <x v="1"/>
    <x v="50"/>
    <x v="0"/>
    <x v="2"/>
    <x v="0"/>
    <x v="0"/>
    <x v="0"/>
    <x v="0"/>
  </r>
  <r>
    <x v="583"/>
    <x v="1"/>
    <x v="1"/>
    <x v="0"/>
    <x v="0"/>
    <x v="12"/>
    <x v="0"/>
    <x v="4"/>
    <x v="4"/>
    <x v="4"/>
    <x v="1"/>
    <x v="3"/>
    <x v="0"/>
    <x v="1"/>
    <x v="38"/>
    <x v="0"/>
    <x v="2"/>
    <x v="1"/>
    <x v="0"/>
    <x v="0"/>
    <x v="0"/>
  </r>
  <r>
    <x v="584"/>
    <x v="0"/>
    <x v="0"/>
    <x v="1"/>
    <x v="1"/>
    <x v="12"/>
    <x v="0"/>
    <x v="4"/>
    <x v="2"/>
    <x v="3"/>
    <x v="1"/>
    <x v="3"/>
    <x v="0"/>
    <x v="1"/>
    <x v="38"/>
    <x v="0"/>
    <x v="2"/>
    <x v="1"/>
    <x v="0"/>
    <x v="0"/>
    <x v="0"/>
  </r>
  <r>
    <x v="585"/>
    <x v="0"/>
    <x v="0"/>
    <x v="1"/>
    <x v="1"/>
    <x v="12"/>
    <x v="0"/>
    <x v="4"/>
    <x v="0"/>
    <x v="3"/>
    <x v="1"/>
    <x v="4"/>
    <x v="0"/>
    <x v="1"/>
    <x v="38"/>
    <x v="0"/>
    <x v="2"/>
    <x v="1"/>
    <x v="0"/>
    <x v="0"/>
    <x v="0"/>
  </r>
  <r>
    <x v="586"/>
    <x v="1"/>
    <x v="1"/>
    <x v="0"/>
    <x v="0"/>
    <x v="12"/>
    <x v="0"/>
    <x v="4"/>
    <x v="2"/>
    <x v="3"/>
    <x v="1"/>
    <x v="4"/>
    <x v="0"/>
    <x v="1"/>
    <x v="39"/>
    <x v="0"/>
    <x v="0"/>
    <x v="1"/>
    <x v="0"/>
    <x v="0"/>
    <x v="0"/>
  </r>
  <r>
    <x v="587"/>
    <x v="1"/>
    <x v="1"/>
    <x v="0"/>
    <x v="0"/>
    <x v="12"/>
    <x v="0"/>
    <x v="5"/>
    <x v="0"/>
    <x v="4"/>
    <x v="1"/>
    <x v="4"/>
    <x v="3"/>
    <x v="1"/>
    <x v="39"/>
    <x v="0"/>
    <x v="0"/>
    <x v="0"/>
    <x v="0"/>
    <x v="0"/>
    <x v="0"/>
  </r>
  <r>
    <x v="588"/>
    <x v="1"/>
    <x v="1"/>
    <x v="0"/>
    <x v="0"/>
    <x v="12"/>
    <x v="0"/>
    <x v="4"/>
    <x v="2"/>
    <x v="3"/>
    <x v="1"/>
    <x v="3"/>
    <x v="0"/>
    <x v="1"/>
    <x v="39"/>
    <x v="0"/>
    <x v="0"/>
    <x v="1"/>
    <x v="0"/>
    <x v="0"/>
    <x v="0"/>
  </r>
  <r>
    <x v="589"/>
    <x v="1"/>
    <x v="1"/>
    <x v="0"/>
    <x v="0"/>
    <x v="12"/>
    <x v="0"/>
    <x v="4"/>
    <x v="2"/>
    <x v="3"/>
    <x v="1"/>
    <x v="3"/>
    <x v="0"/>
    <x v="1"/>
    <x v="39"/>
    <x v="0"/>
    <x v="0"/>
    <x v="1"/>
    <x v="0"/>
    <x v="0"/>
    <x v="0"/>
  </r>
  <r>
    <x v="590"/>
    <x v="0"/>
    <x v="0"/>
    <x v="1"/>
    <x v="1"/>
    <x v="12"/>
    <x v="0"/>
    <x v="0"/>
    <x v="0"/>
    <x v="4"/>
    <x v="0"/>
    <x v="1"/>
    <x v="1"/>
    <x v="1"/>
    <x v="39"/>
    <x v="0"/>
    <x v="0"/>
    <x v="1"/>
    <x v="0"/>
    <x v="0"/>
    <x v="0"/>
  </r>
  <r>
    <x v="591"/>
    <x v="0"/>
    <x v="0"/>
    <x v="1"/>
    <x v="1"/>
    <x v="12"/>
    <x v="0"/>
    <x v="4"/>
    <x v="0"/>
    <x v="3"/>
    <x v="0"/>
    <x v="3"/>
    <x v="3"/>
    <x v="1"/>
    <x v="39"/>
    <x v="0"/>
    <x v="0"/>
    <x v="1"/>
    <x v="0"/>
    <x v="0"/>
    <x v="0"/>
  </r>
  <r>
    <x v="592"/>
    <x v="0"/>
    <x v="0"/>
    <x v="1"/>
    <x v="1"/>
    <x v="12"/>
    <x v="0"/>
    <x v="4"/>
    <x v="0"/>
    <x v="3"/>
    <x v="1"/>
    <x v="4"/>
    <x v="0"/>
    <x v="1"/>
    <x v="39"/>
    <x v="0"/>
    <x v="0"/>
    <x v="1"/>
    <x v="0"/>
    <x v="0"/>
    <x v="0"/>
  </r>
  <r>
    <x v="593"/>
    <x v="0"/>
    <x v="0"/>
    <x v="1"/>
    <x v="1"/>
    <x v="12"/>
    <x v="0"/>
    <x v="4"/>
    <x v="2"/>
    <x v="3"/>
    <x v="0"/>
    <x v="3"/>
    <x v="3"/>
    <x v="1"/>
    <x v="39"/>
    <x v="0"/>
    <x v="0"/>
    <x v="1"/>
    <x v="0"/>
    <x v="0"/>
    <x v="0"/>
  </r>
  <r>
    <x v="594"/>
    <x v="1"/>
    <x v="1"/>
    <x v="1"/>
    <x v="1"/>
    <x v="12"/>
    <x v="0"/>
    <x v="4"/>
    <x v="2"/>
    <x v="3"/>
    <x v="0"/>
    <x v="3"/>
    <x v="3"/>
    <x v="1"/>
    <x v="39"/>
    <x v="0"/>
    <x v="0"/>
    <x v="1"/>
    <x v="0"/>
    <x v="0"/>
    <x v="0"/>
  </r>
  <r>
    <x v="595"/>
    <x v="0"/>
    <x v="0"/>
    <x v="0"/>
    <x v="0"/>
    <x v="12"/>
    <x v="0"/>
    <x v="5"/>
    <x v="0"/>
    <x v="4"/>
    <x v="1"/>
    <x v="1"/>
    <x v="3"/>
    <x v="1"/>
    <x v="8"/>
    <x v="0"/>
    <x v="0"/>
    <x v="1"/>
    <x v="0"/>
    <x v="0"/>
    <x v="0"/>
  </r>
  <r>
    <x v="596"/>
    <x v="0"/>
    <x v="0"/>
    <x v="0"/>
    <x v="0"/>
    <x v="12"/>
    <x v="0"/>
    <x v="5"/>
    <x v="0"/>
    <x v="4"/>
    <x v="1"/>
    <x v="4"/>
    <x v="1"/>
    <x v="1"/>
    <x v="8"/>
    <x v="0"/>
    <x v="0"/>
    <x v="1"/>
    <x v="0"/>
    <x v="0"/>
    <x v="0"/>
  </r>
  <r>
    <x v="597"/>
    <x v="1"/>
    <x v="1"/>
    <x v="0"/>
    <x v="0"/>
    <x v="12"/>
    <x v="0"/>
    <x v="4"/>
    <x v="2"/>
    <x v="3"/>
    <x v="1"/>
    <x v="4"/>
    <x v="0"/>
    <x v="1"/>
    <x v="8"/>
    <x v="0"/>
    <x v="0"/>
    <x v="1"/>
    <x v="0"/>
    <x v="0"/>
    <x v="0"/>
  </r>
  <r>
    <x v="598"/>
    <x v="1"/>
    <x v="1"/>
    <x v="0"/>
    <x v="0"/>
    <x v="12"/>
    <x v="0"/>
    <x v="5"/>
    <x v="0"/>
    <x v="4"/>
    <x v="1"/>
    <x v="4"/>
    <x v="3"/>
    <x v="1"/>
    <x v="8"/>
    <x v="0"/>
    <x v="0"/>
    <x v="0"/>
    <x v="0"/>
    <x v="0"/>
    <x v="0"/>
  </r>
  <r>
    <x v="599"/>
    <x v="1"/>
    <x v="1"/>
    <x v="0"/>
    <x v="0"/>
    <x v="12"/>
    <x v="0"/>
    <x v="4"/>
    <x v="2"/>
    <x v="3"/>
    <x v="0"/>
    <x v="3"/>
    <x v="3"/>
    <x v="1"/>
    <x v="8"/>
    <x v="0"/>
    <x v="0"/>
    <x v="0"/>
    <x v="0"/>
    <x v="0"/>
    <x v="0"/>
  </r>
  <r>
    <x v="600"/>
    <x v="1"/>
    <x v="1"/>
    <x v="0"/>
    <x v="0"/>
    <x v="12"/>
    <x v="0"/>
    <x v="4"/>
    <x v="2"/>
    <x v="3"/>
    <x v="1"/>
    <x v="3"/>
    <x v="0"/>
    <x v="1"/>
    <x v="8"/>
    <x v="0"/>
    <x v="0"/>
    <x v="1"/>
    <x v="0"/>
    <x v="0"/>
    <x v="0"/>
  </r>
  <r>
    <x v="601"/>
    <x v="0"/>
    <x v="0"/>
    <x v="1"/>
    <x v="1"/>
    <x v="12"/>
    <x v="0"/>
    <x v="4"/>
    <x v="2"/>
    <x v="3"/>
    <x v="1"/>
    <x v="4"/>
    <x v="0"/>
    <x v="1"/>
    <x v="8"/>
    <x v="0"/>
    <x v="0"/>
    <x v="1"/>
    <x v="0"/>
    <x v="0"/>
    <x v="0"/>
  </r>
  <r>
    <x v="602"/>
    <x v="1"/>
    <x v="1"/>
    <x v="1"/>
    <x v="1"/>
    <x v="12"/>
    <x v="0"/>
    <x v="4"/>
    <x v="2"/>
    <x v="3"/>
    <x v="1"/>
    <x v="4"/>
    <x v="0"/>
    <x v="1"/>
    <x v="8"/>
    <x v="0"/>
    <x v="0"/>
    <x v="1"/>
    <x v="0"/>
    <x v="0"/>
    <x v="0"/>
  </r>
  <r>
    <x v="603"/>
    <x v="1"/>
    <x v="1"/>
    <x v="1"/>
    <x v="1"/>
    <x v="12"/>
    <x v="0"/>
    <x v="4"/>
    <x v="2"/>
    <x v="3"/>
    <x v="1"/>
    <x v="3"/>
    <x v="0"/>
    <x v="1"/>
    <x v="8"/>
    <x v="0"/>
    <x v="0"/>
    <x v="1"/>
    <x v="0"/>
    <x v="0"/>
    <x v="0"/>
  </r>
  <r>
    <x v="604"/>
    <x v="1"/>
    <x v="1"/>
    <x v="1"/>
    <x v="1"/>
    <x v="12"/>
    <x v="0"/>
    <x v="4"/>
    <x v="2"/>
    <x v="3"/>
    <x v="1"/>
    <x v="3"/>
    <x v="0"/>
    <x v="1"/>
    <x v="8"/>
    <x v="0"/>
    <x v="0"/>
    <x v="1"/>
    <x v="0"/>
    <x v="0"/>
    <x v="0"/>
  </r>
  <r>
    <x v="605"/>
    <x v="1"/>
    <x v="1"/>
    <x v="1"/>
    <x v="1"/>
    <x v="12"/>
    <x v="0"/>
    <x v="4"/>
    <x v="2"/>
    <x v="3"/>
    <x v="0"/>
    <x v="3"/>
    <x v="3"/>
    <x v="1"/>
    <x v="8"/>
    <x v="0"/>
    <x v="0"/>
    <x v="0"/>
    <x v="0"/>
    <x v="0"/>
    <x v="0"/>
  </r>
  <r>
    <x v="606"/>
    <x v="0"/>
    <x v="0"/>
    <x v="0"/>
    <x v="0"/>
    <x v="12"/>
    <x v="0"/>
    <x v="2"/>
    <x v="3"/>
    <x v="3"/>
    <x v="1"/>
    <x v="1"/>
    <x v="3"/>
    <x v="0"/>
    <x v="23"/>
    <x v="0"/>
    <x v="0"/>
    <x v="0"/>
    <x v="0"/>
    <x v="0"/>
    <x v="0"/>
  </r>
  <r>
    <x v="607"/>
    <x v="0"/>
    <x v="0"/>
    <x v="0"/>
    <x v="0"/>
    <x v="12"/>
    <x v="0"/>
    <x v="2"/>
    <x v="3"/>
    <x v="3"/>
    <x v="1"/>
    <x v="4"/>
    <x v="3"/>
    <x v="0"/>
    <x v="23"/>
    <x v="0"/>
    <x v="0"/>
    <x v="0"/>
    <x v="0"/>
    <x v="0"/>
    <x v="0"/>
  </r>
  <r>
    <x v="608"/>
    <x v="0"/>
    <x v="0"/>
    <x v="0"/>
    <x v="0"/>
    <x v="12"/>
    <x v="0"/>
    <x v="5"/>
    <x v="0"/>
    <x v="4"/>
    <x v="1"/>
    <x v="4"/>
    <x v="3"/>
    <x v="1"/>
    <x v="23"/>
    <x v="0"/>
    <x v="0"/>
    <x v="1"/>
    <x v="0"/>
    <x v="0"/>
    <x v="0"/>
  </r>
  <r>
    <x v="609"/>
    <x v="1"/>
    <x v="1"/>
    <x v="0"/>
    <x v="0"/>
    <x v="12"/>
    <x v="0"/>
    <x v="5"/>
    <x v="0"/>
    <x v="4"/>
    <x v="0"/>
    <x v="3"/>
    <x v="1"/>
    <x v="1"/>
    <x v="23"/>
    <x v="0"/>
    <x v="0"/>
    <x v="1"/>
    <x v="0"/>
    <x v="0"/>
    <x v="0"/>
  </r>
  <r>
    <x v="610"/>
    <x v="0"/>
    <x v="0"/>
    <x v="1"/>
    <x v="1"/>
    <x v="12"/>
    <x v="0"/>
    <x v="2"/>
    <x v="3"/>
    <x v="3"/>
    <x v="1"/>
    <x v="4"/>
    <x v="1"/>
    <x v="0"/>
    <x v="23"/>
    <x v="0"/>
    <x v="0"/>
    <x v="0"/>
    <x v="0"/>
    <x v="0"/>
    <x v="0"/>
  </r>
  <r>
    <x v="611"/>
    <x v="0"/>
    <x v="0"/>
    <x v="0"/>
    <x v="0"/>
    <x v="12"/>
    <x v="0"/>
    <x v="2"/>
    <x v="3"/>
    <x v="3"/>
    <x v="1"/>
    <x v="4"/>
    <x v="3"/>
    <x v="0"/>
    <x v="3"/>
    <x v="0"/>
    <x v="0"/>
    <x v="0"/>
    <x v="0"/>
    <x v="0"/>
    <x v="0"/>
  </r>
  <r>
    <x v="612"/>
    <x v="1"/>
    <x v="1"/>
    <x v="0"/>
    <x v="0"/>
    <x v="12"/>
    <x v="0"/>
    <x v="3"/>
    <x v="0"/>
    <x v="4"/>
    <x v="1"/>
    <x v="1"/>
    <x v="1"/>
    <x v="0"/>
    <x v="3"/>
    <x v="0"/>
    <x v="0"/>
    <x v="1"/>
    <x v="0"/>
    <x v="0"/>
    <x v="0"/>
  </r>
  <r>
    <x v="613"/>
    <x v="1"/>
    <x v="1"/>
    <x v="0"/>
    <x v="0"/>
    <x v="12"/>
    <x v="0"/>
    <x v="3"/>
    <x v="0"/>
    <x v="4"/>
    <x v="1"/>
    <x v="1"/>
    <x v="3"/>
    <x v="0"/>
    <x v="3"/>
    <x v="0"/>
    <x v="0"/>
    <x v="0"/>
    <x v="0"/>
    <x v="0"/>
    <x v="0"/>
  </r>
  <r>
    <x v="614"/>
    <x v="0"/>
    <x v="0"/>
    <x v="1"/>
    <x v="1"/>
    <x v="12"/>
    <x v="0"/>
    <x v="2"/>
    <x v="3"/>
    <x v="3"/>
    <x v="1"/>
    <x v="4"/>
    <x v="1"/>
    <x v="0"/>
    <x v="3"/>
    <x v="0"/>
    <x v="0"/>
    <x v="0"/>
    <x v="0"/>
    <x v="0"/>
    <x v="0"/>
  </r>
  <r>
    <x v="615"/>
    <x v="1"/>
    <x v="1"/>
    <x v="1"/>
    <x v="1"/>
    <x v="12"/>
    <x v="0"/>
    <x v="3"/>
    <x v="0"/>
    <x v="4"/>
    <x v="1"/>
    <x v="1"/>
    <x v="3"/>
    <x v="0"/>
    <x v="3"/>
    <x v="0"/>
    <x v="0"/>
    <x v="0"/>
    <x v="0"/>
    <x v="0"/>
    <x v="0"/>
  </r>
  <r>
    <x v="616"/>
    <x v="0"/>
    <x v="0"/>
    <x v="0"/>
    <x v="0"/>
    <x v="12"/>
    <x v="0"/>
    <x v="3"/>
    <x v="0"/>
    <x v="4"/>
    <x v="0"/>
    <x v="4"/>
    <x v="1"/>
    <x v="0"/>
    <x v="24"/>
    <x v="0"/>
    <x v="0"/>
    <x v="1"/>
    <x v="0"/>
    <x v="0"/>
    <x v="0"/>
  </r>
  <r>
    <x v="617"/>
    <x v="1"/>
    <x v="1"/>
    <x v="1"/>
    <x v="1"/>
    <x v="12"/>
    <x v="0"/>
    <x v="3"/>
    <x v="0"/>
    <x v="4"/>
    <x v="0"/>
    <x v="4"/>
    <x v="1"/>
    <x v="0"/>
    <x v="24"/>
    <x v="0"/>
    <x v="0"/>
    <x v="1"/>
    <x v="0"/>
    <x v="0"/>
    <x v="0"/>
  </r>
  <r>
    <x v="618"/>
    <x v="1"/>
    <x v="1"/>
    <x v="1"/>
    <x v="1"/>
    <x v="12"/>
    <x v="0"/>
    <x v="3"/>
    <x v="0"/>
    <x v="4"/>
    <x v="1"/>
    <x v="1"/>
    <x v="1"/>
    <x v="0"/>
    <x v="24"/>
    <x v="0"/>
    <x v="0"/>
    <x v="1"/>
    <x v="0"/>
    <x v="0"/>
    <x v="0"/>
  </r>
  <r>
    <x v="619"/>
    <x v="0"/>
    <x v="0"/>
    <x v="0"/>
    <x v="0"/>
    <x v="12"/>
    <x v="0"/>
    <x v="4"/>
    <x v="1"/>
    <x v="4"/>
    <x v="1"/>
    <x v="1"/>
    <x v="1"/>
    <x v="0"/>
    <x v="32"/>
    <x v="0"/>
    <x v="0"/>
    <x v="0"/>
    <x v="0"/>
    <x v="0"/>
    <x v="0"/>
  </r>
  <r>
    <x v="620"/>
    <x v="1"/>
    <x v="1"/>
    <x v="0"/>
    <x v="0"/>
    <x v="12"/>
    <x v="0"/>
    <x v="3"/>
    <x v="0"/>
    <x v="4"/>
    <x v="1"/>
    <x v="3"/>
    <x v="3"/>
    <x v="0"/>
    <x v="32"/>
    <x v="0"/>
    <x v="0"/>
    <x v="1"/>
    <x v="0"/>
    <x v="0"/>
    <x v="0"/>
  </r>
  <r>
    <x v="621"/>
    <x v="0"/>
    <x v="0"/>
    <x v="1"/>
    <x v="1"/>
    <x v="12"/>
    <x v="0"/>
    <x v="3"/>
    <x v="0"/>
    <x v="4"/>
    <x v="1"/>
    <x v="4"/>
    <x v="3"/>
    <x v="0"/>
    <x v="32"/>
    <x v="0"/>
    <x v="0"/>
    <x v="0"/>
    <x v="0"/>
    <x v="0"/>
    <x v="0"/>
  </r>
  <r>
    <x v="622"/>
    <x v="0"/>
    <x v="0"/>
    <x v="1"/>
    <x v="1"/>
    <x v="12"/>
    <x v="0"/>
    <x v="3"/>
    <x v="0"/>
    <x v="4"/>
    <x v="1"/>
    <x v="4"/>
    <x v="3"/>
    <x v="0"/>
    <x v="32"/>
    <x v="0"/>
    <x v="0"/>
    <x v="0"/>
    <x v="0"/>
    <x v="0"/>
    <x v="0"/>
  </r>
  <r>
    <x v="623"/>
    <x v="1"/>
    <x v="1"/>
    <x v="1"/>
    <x v="1"/>
    <x v="12"/>
    <x v="0"/>
    <x v="3"/>
    <x v="0"/>
    <x v="4"/>
    <x v="1"/>
    <x v="1"/>
    <x v="3"/>
    <x v="0"/>
    <x v="32"/>
    <x v="0"/>
    <x v="0"/>
    <x v="0"/>
    <x v="0"/>
    <x v="0"/>
    <x v="0"/>
  </r>
  <r>
    <x v="624"/>
    <x v="1"/>
    <x v="1"/>
    <x v="1"/>
    <x v="1"/>
    <x v="12"/>
    <x v="0"/>
    <x v="3"/>
    <x v="0"/>
    <x v="4"/>
    <x v="1"/>
    <x v="4"/>
    <x v="3"/>
    <x v="0"/>
    <x v="32"/>
    <x v="0"/>
    <x v="0"/>
    <x v="0"/>
    <x v="0"/>
    <x v="0"/>
    <x v="0"/>
  </r>
  <r>
    <x v="625"/>
    <x v="0"/>
    <x v="0"/>
    <x v="0"/>
    <x v="0"/>
    <x v="12"/>
    <x v="0"/>
    <x v="4"/>
    <x v="1"/>
    <x v="4"/>
    <x v="1"/>
    <x v="1"/>
    <x v="1"/>
    <x v="0"/>
    <x v="9"/>
    <x v="0"/>
    <x v="0"/>
    <x v="0"/>
    <x v="0"/>
    <x v="0"/>
    <x v="0"/>
  </r>
  <r>
    <x v="626"/>
    <x v="0"/>
    <x v="0"/>
    <x v="1"/>
    <x v="1"/>
    <x v="12"/>
    <x v="0"/>
    <x v="2"/>
    <x v="3"/>
    <x v="3"/>
    <x v="0"/>
    <x v="4"/>
    <x v="1"/>
    <x v="1"/>
    <x v="9"/>
    <x v="0"/>
    <x v="0"/>
    <x v="0"/>
    <x v="0"/>
    <x v="0"/>
    <x v="0"/>
  </r>
  <r>
    <x v="627"/>
    <x v="1"/>
    <x v="1"/>
    <x v="1"/>
    <x v="1"/>
    <x v="12"/>
    <x v="0"/>
    <x v="3"/>
    <x v="3"/>
    <x v="3"/>
    <x v="1"/>
    <x v="1"/>
    <x v="4"/>
    <x v="1"/>
    <x v="9"/>
    <x v="0"/>
    <x v="0"/>
    <x v="1"/>
    <x v="0"/>
    <x v="0"/>
    <x v="0"/>
  </r>
  <r>
    <x v="628"/>
    <x v="1"/>
    <x v="1"/>
    <x v="1"/>
    <x v="1"/>
    <x v="12"/>
    <x v="0"/>
    <x v="3"/>
    <x v="0"/>
    <x v="4"/>
    <x v="1"/>
    <x v="3"/>
    <x v="3"/>
    <x v="0"/>
    <x v="9"/>
    <x v="0"/>
    <x v="0"/>
    <x v="1"/>
    <x v="0"/>
    <x v="0"/>
    <x v="0"/>
  </r>
  <r>
    <x v="629"/>
    <x v="1"/>
    <x v="1"/>
    <x v="1"/>
    <x v="1"/>
    <x v="12"/>
    <x v="0"/>
    <x v="3"/>
    <x v="0"/>
    <x v="4"/>
    <x v="0"/>
    <x v="3"/>
    <x v="1"/>
    <x v="0"/>
    <x v="9"/>
    <x v="0"/>
    <x v="0"/>
    <x v="0"/>
    <x v="0"/>
    <x v="0"/>
    <x v="0"/>
  </r>
  <r>
    <x v="630"/>
    <x v="1"/>
    <x v="1"/>
    <x v="1"/>
    <x v="1"/>
    <x v="12"/>
    <x v="0"/>
    <x v="4"/>
    <x v="1"/>
    <x v="4"/>
    <x v="0"/>
    <x v="1"/>
    <x v="1"/>
    <x v="0"/>
    <x v="9"/>
    <x v="0"/>
    <x v="0"/>
    <x v="0"/>
    <x v="0"/>
    <x v="0"/>
    <x v="0"/>
  </r>
  <r>
    <x v="631"/>
    <x v="0"/>
    <x v="0"/>
    <x v="0"/>
    <x v="0"/>
    <x v="12"/>
    <x v="0"/>
    <x v="4"/>
    <x v="1"/>
    <x v="4"/>
    <x v="1"/>
    <x v="1"/>
    <x v="1"/>
    <x v="0"/>
    <x v="5"/>
    <x v="0"/>
    <x v="0"/>
    <x v="0"/>
    <x v="0"/>
    <x v="0"/>
    <x v="0"/>
  </r>
  <r>
    <x v="632"/>
    <x v="1"/>
    <x v="1"/>
    <x v="0"/>
    <x v="0"/>
    <x v="12"/>
    <x v="0"/>
    <x v="4"/>
    <x v="1"/>
    <x v="4"/>
    <x v="1"/>
    <x v="1"/>
    <x v="1"/>
    <x v="0"/>
    <x v="5"/>
    <x v="0"/>
    <x v="0"/>
    <x v="0"/>
    <x v="0"/>
    <x v="0"/>
    <x v="0"/>
  </r>
  <r>
    <x v="633"/>
    <x v="1"/>
    <x v="1"/>
    <x v="0"/>
    <x v="0"/>
    <x v="12"/>
    <x v="0"/>
    <x v="4"/>
    <x v="1"/>
    <x v="4"/>
    <x v="0"/>
    <x v="1"/>
    <x v="1"/>
    <x v="0"/>
    <x v="5"/>
    <x v="0"/>
    <x v="0"/>
    <x v="0"/>
    <x v="0"/>
    <x v="0"/>
    <x v="0"/>
  </r>
  <r>
    <x v="634"/>
    <x v="0"/>
    <x v="0"/>
    <x v="1"/>
    <x v="1"/>
    <x v="12"/>
    <x v="0"/>
    <x v="4"/>
    <x v="1"/>
    <x v="4"/>
    <x v="1"/>
    <x v="1"/>
    <x v="1"/>
    <x v="0"/>
    <x v="5"/>
    <x v="0"/>
    <x v="0"/>
    <x v="0"/>
    <x v="0"/>
    <x v="0"/>
    <x v="0"/>
  </r>
  <r>
    <x v="635"/>
    <x v="0"/>
    <x v="0"/>
    <x v="1"/>
    <x v="1"/>
    <x v="12"/>
    <x v="0"/>
    <x v="4"/>
    <x v="1"/>
    <x v="4"/>
    <x v="1"/>
    <x v="1"/>
    <x v="1"/>
    <x v="0"/>
    <x v="5"/>
    <x v="0"/>
    <x v="0"/>
    <x v="0"/>
    <x v="0"/>
    <x v="0"/>
    <x v="0"/>
  </r>
  <r>
    <x v="636"/>
    <x v="0"/>
    <x v="0"/>
    <x v="1"/>
    <x v="1"/>
    <x v="12"/>
    <x v="0"/>
    <x v="4"/>
    <x v="1"/>
    <x v="4"/>
    <x v="1"/>
    <x v="1"/>
    <x v="1"/>
    <x v="0"/>
    <x v="5"/>
    <x v="0"/>
    <x v="0"/>
    <x v="0"/>
    <x v="0"/>
    <x v="0"/>
    <x v="0"/>
  </r>
  <r>
    <x v="637"/>
    <x v="0"/>
    <x v="0"/>
    <x v="0"/>
    <x v="0"/>
    <x v="12"/>
    <x v="0"/>
    <x v="4"/>
    <x v="3"/>
    <x v="4"/>
    <x v="1"/>
    <x v="1"/>
    <x v="1"/>
    <x v="0"/>
    <x v="10"/>
    <x v="0"/>
    <x v="0"/>
    <x v="0"/>
    <x v="0"/>
    <x v="0"/>
    <x v="0"/>
  </r>
  <r>
    <x v="638"/>
    <x v="0"/>
    <x v="0"/>
    <x v="0"/>
    <x v="0"/>
    <x v="12"/>
    <x v="0"/>
    <x v="4"/>
    <x v="3"/>
    <x v="4"/>
    <x v="1"/>
    <x v="1"/>
    <x v="1"/>
    <x v="0"/>
    <x v="10"/>
    <x v="0"/>
    <x v="0"/>
    <x v="0"/>
    <x v="0"/>
    <x v="0"/>
    <x v="0"/>
  </r>
  <r>
    <x v="639"/>
    <x v="0"/>
    <x v="0"/>
    <x v="0"/>
    <x v="0"/>
    <x v="12"/>
    <x v="0"/>
    <x v="4"/>
    <x v="3"/>
    <x v="4"/>
    <x v="1"/>
    <x v="1"/>
    <x v="1"/>
    <x v="0"/>
    <x v="10"/>
    <x v="0"/>
    <x v="0"/>
    <x v="0"/>
    <x v="0"/>
    <x v="0"/>
    <x v="0"/>
  </r>
  <r>
    <x v="640"/>
    <x v="1"/>
    <x v="1"/>
    <x v="0"/>
    <x v="0"/>
    <x v="12"/>
    <x v="0"/>
    <x v="4"/>
    <x v="1"/>
    <x v="4"/>
    <x v="1"/>
    <x v="1"/>
    <x v="1"/>
    <x v="0"/>
    <x v="10"/>
    <x v="0"/>
    <x v="0"/>
    <x v="0"/>
    <x v="0"/>
    <x v="0"/>
    <x v="0"/>
  </r>
  <r>
    <x v="641"/>
    <x v="1"/>
    <x v="1"/>
    <x v="0"/>
    <x v="0"/>
    <x v="12"/>
    <x v="0"/>
    <x v="4"/>
    <x v="3"/>
    <x v="4"/>
    <x v="0"/>
    <x v="1"/>
    <x v="1"/>
    <x v="0"/>
    <x v="10"/>
    <x v="0"/>
    <x v="0"/>
    <x v="0"/>
    <x v="0"/>
    <x v="0"/>
    <x v="0"/>
  </r>
  <r>
    <x v="642"/>
    <x v="1"/>
    <x v="1"/>
    <x v="0"/>
    <x v="0"/>
    <x v="12"/>
    <x v="0"/>
    <x v="4"/>
    <x v="3"/>
    <x v="4"/>
    <x v="0"/>
    <x v="1"/>
    <x v="1"/>
    <x v="0"/>
    <x v="10"/>
    <x v="0"/>
    <x v="0"/>
    <x v="0"/>
    <x v="0"/>
    <x v="0"/>
    <x v="0"/>
  </r>
  <r>
    <x v="643"/>
    <x v="0"/>
    <x v="0"/>
    <x v="1"/>
    <x v="1"/>
    <x v="12"/>
    <x v="0"/>
    <x v="4"/>
    <x v="3"/>
    <x v="4"/>
    <x v="1"/>
    <x v="1"/>
    <x v="1"/>
    <x v="0"/>
    <x v="10"/>
    <x v="0"/>
    <x v="0"/>
    <x v="0"/>
    <x v="0"/>
    <x v="0"/>
    <x v="0"/>
  </r>
  <r>
    <x v="644"/>
    <x v="0"/>
    <x v="0"/>
    <x v="1"/>
    <x v="1"/>
    <x v="12"/>
    <x v="0"/>
    <x v="4"/>
    <x v="3"/>
    <x v="4"/>
    <x v="0"/>
    <x v="1"/>
    <x v="1"/>
    <x v="0"/>
    <x v="10"/>
    <x v="0"/>
    <x v="0"/>
    <x v="0"/>
    <x v="0"/>
    <x v="0"/>
    <x v="0"/>
  </r>
  <r>
    <x v="645"/>
    <x v="1"/>
    <x v="1"/>
    <x v="1"/>
    <x v="1"/>
    <x v="12"/>
    <x v="0"/>
    <x v="4"/>
    <x v="1"/>
    <x v="4"/>
    <x v="0"/>
    <x v="1"/>
    <x v="1"/>
    <x v="0"/>
    <x v="10"/>
    <x v="0"/>
    <x v="0"/>
    <x v="0"/>
    <x v="0"/>
    <x v="0"/>
    <x v="0"/>
  </r>
  <r>
    <x v="646"/>
    <x v="0"/>
    <x v="0"/>
    <x v="0"/>
    <x v="0"/>
    <x v="12"/>
    <x v="0"/>
    <x v="4"/>
    <x v="3"/>
    <x v="4"/>
    <x v="1"/>
    <x v="1"/>
    <x v="1"/>
    <x v="0"/>
    <x v="25"/>
    <x v="0"/>
    <x v="0"/>
    <x v="0"/>
    <x v="0"/>
    <x v="0"/>
    <x v="0"/>
  </r>
  <r>
    <x v="647"/>
    <x v="0"/>
    <x v="0"/>
    <x v="1"/>
    <x v="1"/>
    <x v="12"/>
    <x v="0"/>
    <x v="4"/>
    <x v="3"/>
    <x v="4"/>
    <x v="1"/>
    <x v="1"/>
    <x v="1"/>
    <x v="0"/>
    <x v="25"/>
    <x v="0"/>
    <x v="0"/>
    <x v="1"/>
    <x v="0"/>
    <x v="0"/>
    <x v="0"/>
  </r>
  <r>
    <x v="648"/>
    <x v="1"/>
    <x v="1"/>
    <x v="1"/>
    <x v="1"/>
    <x v="12"/>
    <x v="0"/>
    <x v="4"/>
    <x v="3"/>
    <x v="4"/>
    <x v="1"/>
    <x v="1"/>
    <x v="1"/>
    <x v="0"/>
    <x v="25"/>
    <x v="0"/>
    <x v="0"/>
    <x v="0"/>
    <x v="0"/>
    <x v="0"/>
    <x v="0"/>
  </r>
  <r>
    <x v="649"/>
    <x v="1"/>
    <x v="1"/>
    <x v="1"/>
    <x v="1"/>
    <x v="12"/>
    <x v="0"/>
    <x v="4"/>
    <x v="3"/>
    <x v="0"/>
    <x v="0"/>
    <x v="1"/>
    <x v="1"/>
    <x v="0"/>
    <x v="25"/>
    <x v="0"/>
    <x v="0"/>
    <x v="0"/>
    <x v="0"/>
    <x v="0"/>
    <x v="0"/>
  </r>
  <r>
    <x v="650"/>
    <x v="0"/>
    <x v="0"/>
    <x v="0"/>
    <x v="0"/>
    <x v="12"/>
    <x v="0"/>
    <x v="4"/>
    <x v="3"/>
    <x v="0"/>
    <x v="0"/>
    <x v="1"/>
    <x v="1"/>
    <x v="0"/>
    <x v="11"/>
    <x v="0"/>
    <x v="0"/>
    <x v="0"/>
    <x v="0"/>
    <x v="0"/>
    <x v="0"/>
  </r>
  <r>
    <x v="651"/>
    <x v="0"/>
    <x v="0"/>
    <x v="1"/>
    <x v="1"/>
    <x v="12"/>
    <x v="0"/>
    <x v="4"/>
    <x v="3"/>
    <x v="0"/>
    <x v="1"/>
    <x v="1"/>
    <x v="1"/>
    <x v="0"/>
    <x v="11"/>
    <x v="0"/>
    <x v="0"/>
    <x v="0"/>
    <x v="0"/>
    <x v="0"/>
    <x v="0"/>
  </r>
  <r>
    <x v="652"/>
    <x v="1"/>
    <x v="1"/>
    <x v="1"/>
    <x v="1"/>
    <x v="12"/>
    <x v="0"/>
    <x v="4"/>
    <x v="3"/>
    <x v="0"/>
    <x v="0"/>
    <x v="1"/>
    <x v="1"/>
    <x v="0"/>
    <x v="11"/>
    <x v="0"/>
    <x v="0"/>
    <x v="0"/>
    <x v="0"/>
    <x v="0"/>
    <x v="0"/>
  </r>
  <r>
    <x v="653"/>
    <x v="0"/>
    <x v="0"/>
    <x v="0"/>
    <x v="0"/>
    <x v="12"/>
    <x v="0"/>
    <x v="2"/>
    <x v="3"/>
    <x v="3"/>
    <x v="1"/>
    <x v="1"/>
    <x v="1"/>
    <x v="0"/>
    <x v="12"/>
    <x v="0"/>
    <x v="0"/>
    <x v="1"/>
    <x v="0"/>
    <x v="0"/>
    <x v="0"/>
  </r>
  <r>
    <x v="654"/>
    <x v="0"/>
    <x v="0"/>
    <x v="0"/>
    <x v="0"/>
    <x v="12"/>
    <x v="0"/>
    <x v="2"/>
    <x v="3"/>
    <x v="3"/>
    <x v="1"/>
    <x v="1"/>
    <x v="1"/>
    <x v="0"/>
    <x v="12"/>
    <x v="0"/>
    <x v="0"/>
    <x v="1"/>
    <x v="0"/>
    <x v="0"/>
    <x v="0"/>
  </r>
  <r>
    <x v="655"/>
    <x v="0"/>
    <x v="0"/>
    <x v="0"/>
    <x v="0"/>
    <x v="12"/>
    <x v="0"/>
    <x v="2"/>
    <x v="3"/>
    <x v="3"/>
    <x v="1"/>
    <x v="1"/>
    <x v="1"/>
    <x v="0"/>
    <x v="13"/>
    <x v="0"/>
    <x v="0"/>
    <x v="1"/>
    <x v="0"/>
    <x v="0"/>
    <x v="0"/>
  </r>
  <r>
    <x v="656"/>
    <x v="0"/>
    <x v="0"/>
    <x v="0"/>
    <x v="0"/>
    <x v="12"/>
    <x v="0"/>
    <x v="2"/>
    <x v="3"/>
    <x v="3"/>
    <x v="1"/>
    <x v="1"/>
    <x v="1"/>
    <x v="0"/>
    <x v="13"/>
    <x v="0"/>
    <x v="0"/>
    <x v="1"/>
    <x v="0"/>
    <x v="0"/>
    <x v="0"/>
  </r>
  <r>
    <x v="657"/>
    <x v="0"/>
    <x v="0"/>
    <x v="0"/>
    <x v="0"/>
    <x v="12"/>
    <x v="0"/>
    <x v="2"/>
    <x v="3"/>
    <x v="3"/>
    <x v="1"/>
    <x v="1"/>
    <x v="1"/>
    <x v="0"/>
    <x v="13"/>
    <x v="0"/>
    <x v="0"/>
    <x v="0"/>
    <x v="0"/>
    <x v="0"/>
    <x v="0"/>
  </r>
  <r>
    <x v="658"/>
    <x v="1"/>
    <x v="1"/>
    <x v="0"/>
    <x v="0"/>
    <x v="12"/>
    <x v="0"/>
    <x v="4"/>
    <x v="3"/>
    <x v="0"/>
    <x v="1"/>
    <x v="4"/>
    <x v="4"/>
    <x v="1"/>
    <x v="13"/>
    <x v="0"/>
    <x v="0"/>
    <x v="0"/>
    <x v="0"/>
    <x v="0"/>
    <x v="0"/>
  </r>
  <r>
    <x v="659"/>
    <x v="0"/>
    <x v="0"/>
    <x v="1"/>
    <x v="1"/>
    <x v="12"/>
    <x v="0"/>
    <x v="2"/>
    <x v="3"/>
    <x v="3"/>
    <x v="1"/>
    <x v="1"/>
    <x v="1"/>
    <x v="0"/>
    <x v="13"/>
    <x v="0"/>
    <x v="0"/>
    <x v="0"/>
    <x v="0"/>
    <x v="0"/>
    <x v="0"/>
  </r>
  <r>
    <x v="660"/>
    <x v="0"/>
    <x v="0"/>
    <x v="1"/>
    <x v="1"/>
    <x v="12"/>
    <x v="0"/>
    <x v="4"/>
    <x v="3"/>
    <x v="0"/>
    <x v="0"/>
    <x v="4"/>
    <x v="1"/>
    <x v="1"/>
    <x v="13"/>
    <x v="0"/>
    <x v="0"/>
    <x v="1"/>
    <x v="0"/>
    <x v="0"/>
    <x v="0"/>
  </r>
  <r>
    <x v="661"/>
    <x v="0"/>
    <x v="0"/>
    <x v="0"/>
    <x v="0"/>
    <x v="12"/>
    <x v="0"/>
    <x v="0"/>
    <x v="2"/>
    <x v="3"/>
    <x v="1"/>
    <x v="3"/>
    <x v="4"/>
    <x v="1"/>
    <x v="26"/>
    <x v="0"/>
    <x v="0"/>
    <x v="1"/>
    <x v="0"/>
    <x v="0"/>
    <x v="0"/>
  </r>
  <r>
    <x v="662"/>
    <x v="0"/>
    <x v="0"/>
    <x v="0"/>
    <x v="0"/>
    <x v="12"/>
    <x v="0"/>
    <x v="2"/>
    <x v="3"/>
    <x v="3"/>
    <x v="1"/>
    <x v="4"/>
    <x v="1"/>
    <x v="0"/>
    <x v="26"/>
    <x v="0"/>
    <x v="0"/>
    <x v="0"/>
    <x v="0"/>
    <x v="0"/>
    <x v="0"/>
  </r>
  <r>
    <x v="663"/>
    <x v="0"/>
    <x v="0"/>
    <x v="0"/>
    <x v="0"/>
    <x v="12"/>
    <x v="0"/>
    <x v="2"/>
    <x v="3"/>
    <x v="3"/>
    <x v="1"/>
    <x v="1"/>
    <x v="1"/>
    <x v="0"/>
    <x v="26"/>
    <x v="0"/>
    <x v="0"/>
    <x v="0"/>
    <x v="0"/>
    <x v="0"/>
    <x v="0"/>
  </r>
  <r>
    <x v="664"/>
    <x v="0"/>
    <x v="0"/>
    <x v="1"/>
    <x v="1"/>
    <x v="12"/>
    <x v="0"/>
    <x v="2"/>
    <x v="3"/>
    <x v="3"/>
    <x v="1"/>
    <x v="4"/>
    <x v="1"/>
    <x v="0"/>
    <x v="26"/>
    <x v="0"/>
    <x v="0"/>
    <x v="0"/>
    <x v="0"/>
    <x v="0"/>
    <x v="0"/>
  </r>
  <r>
    <x v="665"/>
    <x v="0"/>
    <x v="0"/>
    <x v="1"/>
    <x v="1"/>
    <x v="12"/>
    <x v="0"/>
    <x v="2"/>
    <x v="3"/>
    <x v="3"/>
    <x v="1"/>
    <x v="1"/>
    <x v="1"/>
    <x v="0"/>
    <x v="26"/>
    <x v="0"/>
    <x v="0"/>
    <x v="0"/>
    <x v="0"/>
    <x v="0"/>
    <x v="0"/>
  </r>
  <r>
    <x v="666"/>
    <x v="0"/>
    <x v="0"/>
    <x v="1"/>
    <x v="1"/>
    <x v="12"/>
    <x v="0"/>
    <x v="2"/>
    <x v="3"/>
    <x v="3"/>
    <x v="0"/>
    <x v="1"/>
    <x v="1"/>
    <x v="0"/>
    <x v="26"/>
    <x v="0"/>
    <x v="0"/>
    <x v="0"/>
    <x v="0"/>
    <x v="0"/>
    <x v="0"/>
  </r>
  <r>
    <x v="667"/>
    <x v="0"/>
    <x v="0"/>
    <x v="1"/>
    <x v="1"/>
    <x v="12"/>
    <x v="0"/>
    <x v="0"/>
    <x v="2"/>
    <x v="3"/>
    <x v="1"/>
    <x v="3"/>
    <x v="1"/>
    <x v="1"/>
    <x v="6"/>
    <x v="0"/>
    <x v="0"/>
    <x v="0"/>
    <x v="0"/>
    <x v="0"/>
    <x v="0"/>
  </r>
  <r>
    <x v="668"/>
    <x v="0"/>
    <x v="0"/>
    <x v="1"/>
    <x v="1"/>
    <x v="12"/>
    <x v="0"/>
    <x v="0"/>
    <x v="2"/>
    <x v="3"/>
    <x v="1"/>
    <x v="3"/>
    <x v="4"/>
    <x v="1"/>
    <x v="6"/>
    <x v="0"/>
    <x v="0"/>
    <x v="0"/>
    <x v="0"/>
    <x v="0"/>
    <x v="0"/>
  </r>
  <r>
    <x v="669"/>
    <x v="0"/>
    <x v="0"/>
    <x v="1"/>
    <x v="1"/>
    <x v="12"/>
    <x v="0"/>
    <x v="2"/>
    <x v="3"/>
    <x v="3"/>
    <x v="1"/>
    <x v="4"/>
    <x v="1"/>
    <x v="0"/>
    <x v="6"/>
    <x v="0"/>
    <x v="0"/>
    <x v="0"/>
    <x v="0"/>
    <x v="0"/>
    <x v="0"/>
  </r>
  <r>
    <x v="670"/>
    <x v="1"/>
    <x v="1"/>
    <x v="1"/>
    <x v="1"/>
    <x v="12"/>
    <x v="0"/>
    <x v="4"/>
    <x v="3"/>
    <x v="0"/>
    <x v="0"/>
    <x v="4"/>
    <x v="4"/>
    <x v="1"/>
    <x v="14"/>
    <x v="0"/>
    <x v="0"/>
    <x v="1"/>
    <x v="0"/>
    <x v="0"/>
    <x v="0"/>
  </r>
  <r>
    <x v="671"/>
    <x v="0"/>
    <x v="0"/>
    <x v="1"/>
    <x v="1"/>
    <x v="12"/>
    <x v="0"/>
    <x v="0"/>
    <x v="2"/>
    <x v="3"/>
    <x v="1"/>
    <x v="3"/>
    <x v="4"/>
    <x v="1"/>
    <x v="27"/>
    <x v="0"/>
    <x v="0"/>
    <x v="1"/>
    <x v="0"/>
    <x v="0"/>
    <x v="0"/>
  </r>
  <r>
    <x v="672"/>
    <x v="1"/>
    <x v="1"/>
    <x v="0"/>
    <x v="0"/>
    <x v="12"/>
    <x v="0"/>
    <x v="3"/>
    <x v="0"/>
    <x v="4"/>
    <x v="0"/>
    <x v="4"/>
    <x v="3"/>
    <x v="1"/>
    <x v="4"/>
    <x v="0"/>
    <x v="0"/>
    <x v="0"/>
    <x v="0"/>
    <x v="0"/>
    <x v="0"/>
  </r>
  <r>
    <x v="673"/>
    <x v="0"/>
    <x v="0"/>
    <x v="1"/>
    <x v="1"/>
    <x v="12"/>
    <x v="0"/>
    <x v="3"/>
    <x v="0"/>
    <x v="4"/>
    <x v="1"/>
    <x v="4"/>
    <x v="1"/>
    <x v="1"/>
    <x v="4"/>
    <x v="0"/>
    <x v="0"/>
    <x v="1"/>
    <x v="0"/>
    <x v="0"/>
    <x v="0"/>
  </r>
  <r>
    <x v="674"/>
    <x v="1"/>
    <x v="1"/>
    <x v="1"/>
    <x v="1"/>
    <x v="12"/>
    <x v="0"/>
    <x v="3"/>
    <x v="0"/>
    <x v="4"/>
    <x v="0"/>
    <x v="4"/>
    <x v="3"/>
    <x v="1"/>
    <x v="4"/>
    <x v="0"/>
    <x v="0"/>
    <x v="0"/>
    <x v="0"/>
    <x v="0"/>
    <x v="0"/>
  </r>
  <r>
    <x v="675"/>
    <x v="0"/>
    <x v="0"/>
    <x v="0"/>
    <x v="0"/>
    <x v="12"/>
    <x v="0"/>
    <x v="2"/>
    <x v="0"/>
    <x v="4"/>
    <x v="1"/>
    <x v="4"/>
    <x v="3"/>
    <x v="1"/>
    <x v="0"/>
    <x v="0"/>
    <x v="0"/>
    <x v="0"/>
    <x v="0"/>
    <x v="0"/>
    <x v="0"/>
  </r>
  <r>
    <x v="676"/>
    <x v="0"/>
    <x v="0"/>
    <x v="0"/>
    <x v="0"/>
    <x v="12"/>
    <x v="0"/>
    <x v="3"/>
    <x v="0"/>
    <x v="4"/>
    <x v="1"/>
    <x v="4"/>
    <x v="1"/>
    <x v="1"/>
    <x v="0"/>
    <x v="0"/>
    <x v="0"/>
    <x v="1"/>
    <x v="0"/>
    <x v="0"/>
    <x v="0"/>
  </r>
  <r>
    <x v="677"/>
    <x v="0"/>
    <x v="0"/>
    <x v="1"/>
    <x v="1"/>
    <x v="12"/>
    <x v="0"/>
    <x v="2"/>
    <x v="0"/>
    <x v="4"/>
    <x v="1"/>
    <x v="4"/>
    <x v="3"/>
    <x v="1"/>
    <x v="0"/>
    <x v="0"/>
    <x v="0"/>
    <x v="0"/>
    <x v="0"/>
    <x v="0"/>
    <x v="0"/>
  </r>
  <r>
    <x v="678"/>
    <x v="0"/>
    <x v="0"/>
    <x v="0"/>
    <x v="0"/>
    <x v="12"/>
    <x v="0"/>
    <x v="2"/>
    <x v="0"/>
    <x v="4"/>
    <x v="1"/>
    <x v="4"/>
    <x v="3"/>
    <x v="1"/>
    <x v="36"/>
    <x v="0"/>
    <x v="0"/>
    <x v="0"/>
    <x v="0"/>
    <x v="0"/>
    <x v="0"/>
  </r>
  <r>
    <x v="679"/>
    <x v="0"/>
    <x v="0"/>
    <x v="0"/>
    <x v="0"/>
    <x v="12"/>
    <x v="0"/>
    <x v="2"/>
    <x v="0"/>
    <x v="4"/>
    <x v="1"/>
    <x v="4"/>
    <x v="3"/>
    <x v="1"/>
    <x v="36"/>
    <x v="0"/>
    <x v="0"/>
    <x v="0"/>
    <x v="0"/>
    <x v="0"/>
    <x v="0"/>
  </r>
  <r>
    <x v="680"/>
    <x v="0"/>
    <x v="0"/>
    <x v="0"/>
    <x v="0"/>
    <x v="12"/>
    <x v="0"/>
    <x v="2"/>
    <x v="0"/>
    <x v="4"/>
    <x v="1"/>
    <x v="4"/>
    <x v="3"/>
    <x v="1"/>
    <x v="7"/>
    <x v="0"/>
    <x v="1"/>
    <x v="0"/>
    <x v="0"/>
    <x v="0"/>
    <x v="0"/>
  </r>
  <r>
    <x v="681"/>
    <x v="0"/>
    <x v="0"/>
    <x v="0"/>
    <x v="0"/>
    <x v="12"/>
    <x v="0"/>
    <x v="2"/>
    <x v="0"/>
    <x v="4"/>
    <x v="1"/>
    <x v="4"/>
    <x v="3"/>
    <x v="1"/>
    <x v="7"/>
    <x v="0"/>
    <x v="1"/>
    <x v="0"/>
    <x v="0"/>
    <x v="0"/>
    <x v="0"/>
  </r>
  <r>
    <x v="682"/>
    <x v="1"/>
    <x v="1"/>
    <x v="0"/>
    <x v="0"/>
    <x v="12"/>
    <x v="0"/>
    <x v="3"/>
    <x v="0"/>
    <x v="3"/>
    <x v="1"/>
    <x v="3"/>
    <x v="0"/>
    <x v="2"/>
    <x v="16"/>
    <x v="0"/>
    <x v="1"/>
    <x v="0"/>
    <x v="0"/>
    <x v="0"/>
    <x v="0"/>
  </r>
  <r>
    <x v="683"/>
    <x v="0"/>
    <x v="0"/>
    <x v="1"/>
    <x v="1"/>
    <x v="12"/>
    <x v="0"/>
    <x v="3"/>
    <x v="3"/>
    <x v="1"/>
    <x v="1"/>
    <x v="4"/>
    <x v="1"/>
    <x v="2"/>
    <x v="16"/>
    <x v="0"/>
    <x v="1"/>
    <x v="0"/>
    <x v="0"/>
    <x v="0"/>
    <x v="0"/>
  </r>
  <r>
    <x v="684"/>
    <x v="1"/>
    <x v="1"/>
    <x v="1"/>
    <x v="1"/>
    <x v="12"/>
    <x v="0"/>
    <x v="5"/>
    <x v="4"/>
    <x v="4"/>
    <x v="0"/>
    <x v="3"/>
    <x v="0"/>
    <x v="2"/>
    <x v="16"/>
    <x v="0"/>
    <x v="1"/>
    <x v="0"/>
    <x v="0"/>
    <x v="0"/>
    <x v="0"/>
  </r>
  <r>
    <x v="685"/>
    <x v="1"/>
    <x v="1"/>
    <x v="1"/>
    <x v="1"/>
    <x v="12"/>
    <x v="0"/>
    <x v="3"/>
    <x v="0"/>
    <x v="3"/>
    <x v="0"/>
    <x v="3"/>
    <x v="3"/>
    <x v="2"/>
    <x v="16"/>
    <x v="0"/>
    <x v="1"/>
    <x v="1"/>
    <x v="0"/>
    <x v="0"/>
    <x v="0"/>
  </r>
  <r>
    <x v="686"/>
    <x v="1"/>
    <x v="1"/>
    <x v="1"/>
    <x v="1"/>
    <x v="12"/>
    <x v="0"/>
    <x v="3"/>
    <x v="3"/>
    <x v="1"/>
    <x v="0"/>
    <x v="4"/>
    <x v="0"/>
    <x v="2"/>
    <x v="16"/>
    <x v="0"/>
    <x v="1"/>
    <x v="0"/>
    <x v="0"/>
    <x v="0"/>
    <x v="0"/>
  </r>
  <r>
    <x v="687"/>
    <x v="1"/>
    <x v="1"/>
    <x v="0"/>
    <x v="0"/>
    <x v="12"/>
    <x v="0"/>
    <x v="3"/>
    <x v="3"/>
    <x v="1"/>
    <x v="0"/>
    <x v="4"/>
    <x v="0"/>
    <x v="2"/>
    <x v="31"/>
    <x v="0"/>
    <x v="1"/>
    <x v="0"/>
    <x v="0"/>
    <x v="0"/>
    <x v="0"/>
  </r>
  <r>
    <x v="688"/>
    <x v="1"/>
    <x v="1"/>
    <x v="0"/>
    <x v="0"/>
    <x v="12"/>
    <x v="0"/>
    <x v="3"/>
    <x v="0"/>
    <x v="3"/>
    <x v="0"/>
    <x v="3"/>
    <x v="3"/>
    <x v="2"/>
    <x v="31"/>
    <x v="0"/>
    <x v="1"/>
    <x v="0"/>
    <x v="0"/>
    <x v="0"/>
    <x v="0"/>
  </r>
  <r>
    <x v="689"/>
    <x v="0"/>
    <x v="0"/>
    <x v="0"/>
    <x v="0"/>
    <x v="12"/>
    <x v="0"/>
    <x v="5"/>
    <x v="0"/>
    <x v="0"/>
    <x v="0"/>
    <x v="3"/>
    <x v="3"/>
    <x v="1"/>
    <x v="17"/>
    <x v="0"/>
    <x v="1"/>
    <x v="0"/>
    <x v="0"/>
    <x v="0"/>
    <x v="0"/>
  </r>
  <r>
    <x v="690"/>
    <x v="0"/>
    <x v="0"/>
    <x v="0"/>
    <x v="0"/>
    <x v="12"/>
    <x v="0"/>
    <x v="5"/>
    <x v="0"/>
    <x v="0"/>
    <x v="1"/>
    <x v="3"/>
    <x v="0"/>
    <x v="1"/>
    <x v="17"/>
    <x v="0"/>
    <x v="1"/>
    <x v="1"/>
    <x v="0"/>
    <x v="0"/>
    <x v="0"/>
  </r>
  <r>
    <x v="691"/>
    <x v="0"/>
    <x v="0"/>
    <x v="1"/>
    <x v="1"/>
    <x v="12"/>
    <x v="0"/>
    <x v="5"/>
    <x v="0"/>
    <x v="0"/>
    <x v="0"/>
    <x v="3"/>
    <x v="0"/>
    <x v="1"/>
    <x v="17"/>
    <x v="0"/>
    <x v="1"/>
    <x v="0"/>
    <x v="0"/>
    <x v="0"/>
    <x v="0"/>
  </r>
  <r>
    <x v="692"/>
    <x v="0"/>
    <x v="0"/>
    <x v="1"/>
    <x v="1"/>
    <x v="12"/>
    <x v="0"/>
    <x v="3"/>
    <x v="4"/>
    <x v="3"/>
    <x v="1"/>
    <x v="3"/>
    <x v="4"/>
    <x v="1"/>
    <x v="1"/>
    <x v="0"/>
    <x v="1"/>
    <x v="1"/>
    <x v="0"/>
    <x v="0"/>
    <x v="0"/>
  </r>
  <r>
    <x v="693"/>
    <x v="1"/>
    <x v="1"/>
    <x v="0"/>
    <x v="0"/>
    <x v="12"/>
    <x v="0"/>
    <x v="3"/>
    <x v="2"/>
    <x v="0"/>
    <x v="1"/>
    <x v="3"/>
    <x v="2"/>
    <x v="1"/>
    <x v="40"/>
    <x v="0"/>
    <x v="1"/>
    <x v="1"/>
    <x v="0"/>
    <x v="0"/>
    <x v="0"/>
  </r>
  <r>
    <x v="694"/>
    <x v="1"/>
    <x v="1"/>
    <x v="1"/>
    <x v="1"/>
    <x v="12"/>
    <x v="0"/>
    <x v="3"/>
    <x v="2"/>
    <x v="0"/>
    <x v="0"/>
    <x v="4"/>
    <x v="4"/>
    <x v="1"/>
    <x v="18"/>
    <x v="0"/>
    <x v="1"/>
    <x v="0"/>
    <x v="0"/>
    <x v="0"/>
    <x v="0"/>
  </r>
  <r>
    <x v="695"/>
    <x v="0"/>
    <x v="0"/>
    <x v="0"/>
    <x v="0"/>
    <x v="12"/>
    <x v="0"/>
    <x v="0"/>
    <x v="2"/>
    <x v="0"/>
    <x v="1"/>
    <x v="3"/>
    <x v="0"/>
    <x v="1"/>
    <x v="19"/>
    <x v="0"/>
    <x v="1"/>
    <x v="0"/>
    <x v="0"/>
    <x v="0"/>
    <x v="0"/>
  </r>
  <r>
    <x v="696"/>
    <x v="0"/>
    <x v="0"/>
    <x v="0"/>
    <x v="0"/>
    <x v="12"/>
    <x v="0"/>
    <x v="3"/>
    <x v="2"/>
    <x v="0"/>
    <x v="0"/>
    <x v="3"/>
    <x v="4"/>
    <x v="1"/>
    <x v="19"/>
    <x v="0"/>
    <x v="1"/>
    <x v="1"/>
    <x v="0"/>
    <x v="0"/>
    <x v="0"/>
  </r>
  <r>
    <x v="697"/>
    <x v="0"/>
    <x v="0"/>
    <x v="0"/>
    <x v="0"/>
    <x v="12"/>
    <x v="0"/>
    <x v="1"/>
    <x v="2"/>
    <x v="0"/>
    <x v="0"/>
    <x v="3"/>
    <x v="4"/>
    <x v="1"/>
    <x v="41"/>
    <x v="0"/>
    <x v="1"/>
    <x v="1"/>
    <x v="0"/>
    <x v="0"/>
    <x v="0"/>
  </r>
  <r>
    <x v="698"/>
    <x v="0"/>
    <x v="0"/>
    <x v="0"/>
    <x v="0"/>
    <x v="12"/>
    <x v="0"/>
    <x v="1"/>
    <x v="2"/>
    <x v="0"/>
    <x v="1"/>
    <x v="3"/>
    <x v="2"/>
    <x v="1"/>
    <x v="41"/>
    <x v="0"/>
    <x v="1"/>
    <x v="1"/>
    <x v="0"/>
    <x v="0"/>
    <x v="0"/>
  </r>
  <r>
    <x v="699"/>
    <x v="1"/>
    <x v="1"/>
    <x v="0"/>
    <x v="0"/>
    <x v="12"/>
    <x v="0"/>
    <x v="1"/>
    <x v="2"/>
    <x v="0"/>
    <x v="0"/>
    <x v="0"/>
    <x v="4"/>
    <x v="1"/>
    <x v="41"/>
    <x v="0"/>
    <x v="1"/>
    <x v="0"/>
    <x v="0"/>
    <x v="0"/>
    <x v="0"/>
  </r>
  <r>
    <x v="700"/>
    <x v="1"/>
    <x v="1"/>
    <x v="1"/>
    <x v="1"/>
    <x v="12"/>
    <x v="0"/>
    <x v="1"/>
    <x v="2"/>
    <x v="0"/>
    <x v="1"/>
    <x v="2"/>
    <x v="2"/>
    <x v="1"/>
    <x v="41"/>
    <x v="0"/>
    <x v="1"/>
    <x v="0"/>
    <x v="0"/>
    <x v="0"/>
    <x v="0"/>
  </r>
  <r>
    <x v="701"/>
    <x v="0"/>
    <x v="0"/>
    <x v="0"/>
    <x v="0"/>
    <x v="12"/>
    <x v="0"/>
    <x v="1"/>
    <x v="2"/>
    <x v="0"/>
    <x v="0"/>
    <x v="3"/>
    <x v="2"/>
    <x v="1"/>
    <x v="20"/>
    <x v="0"/>
    <x v="1"/>
    <x v="1"/>
    <x v="0"/>
    <x v="0"/>
    <x v="0"/>
  </r>
  <r>
    <x v="702"/>
    <x v="0"/>
    <x v="0"/>
    <x v="0"/>
    <x v="0"/>
    <x v="12"/>
    <x v="0"/>
    <x v="0"/>
    <x v="2"/>
    <x v="0"/>
    <x v="1"/>
    <x v="3"/>
    <x v="2"/>
    <x v="1"/>
    <x v="20"/>
    <x v="0"/>
    <x v="1"/>
    <x v="1"/>
    <x v="0"/>
    <x v="0"/>
    <x v="0"/>
  </r>
  <r>
    <x v="703"/>
    <x v="0"/>
    <x v="0"/>
    <x v="1"/>
    <x v="1"/>
    <x v="12"/>
    <x v="0"/>
    <x v="0"/>
    <x v="2"/>
    <x v="0"/>
    <x v="0"/>
    <x v="3"/>
    <x v="2"/>
    <x v="1"/>
    <x v="20"/>
    <x v="0"/>
    <x v="1"/>
    <x v="0"/>
    <x v="0"/>
    <x v="0"/>
    <x v="0"/>
  </r>
  <r>
    <x v="704"/>
    <x v="1"/>
    <x v="1"/>
    <x v="1"/>
    <x v="1"/>
    <x v="12"/>
    <x v="0"/>
    <x v="0"/>
    <x v="2"/>
    <x v="0"/>
    <x v="1"/>
    <x v="3"/>
    <x v="2"/>
    <x v="1"/>
    <x v="29"/>
    <x v="0"/>
    <x v="1"/>
    <x v="0"/>
    <x v="0"/>
    <x v="0"/>
    <x v="0"/>
  </r>
  <r>
    <x v="705"/>
    <x v="1"/>
    <x v="1"/>
    <x v="1"/>
    <x v="1"/>
    <x v="12"/>
    <x v="0"/>
    <x v="3"/>
    <x v="3"/>
    <x v="1"/>
    <x v="1"/>
    <x v="3"/>
    <x v="0"/>
    <x v="2"/>
    <x v="37"/>
    <x v="0"/>
    <x v="1"/>
    <x v="0"/>
    <x v="0"/>
    <x v="0"/>
    <x v="0"/>
  </r>
  <r>
    <x v="706"/>
    <x v="0"/>
    <x v="0"/>
    <x v="1"/>
    <x v="1"/>
    <x v="12"/>
    <x v="0"/>
    <x v="0"/>
    <x v="2"/>
    <x v="0"/>
    <x v="1"/>
    <x v="3"/>
    <x v="2"/>
    <x v="1"/>
    <x v="30"/>
    <x v="0"/>
    <x v="1"/>
    <x v="1"/>
    <x v="0"/>
    <x v="0"/>
    <x v="0"/>
  </r>
  <r>
    <x v="707"/>
    <x v="1"/>
    <x v="1"/>
    <x v="0"/>
    <x v="0"/>
    <x v="12"/>
    <x v="0"/>
    <x v="3"/>
    <x v="3"/>
    <x v="1"/>
    <x v="1"/>
    <x v="3"/>
    <x v="0"/>
    <x v="2"/>
    <x v="33"/>
    <x v="0"/>
    <x v="1"/>
    <x v="0"/>
    <x v="0"/>
    <x v="0"/>
    <x v="0"/>
  </r>
  <r>
    <x v="708"/>
    <x v="0"/>
    <x v="0"/>
    <x v="1"/>
    <x v="1"/>
    <x v="12"/>
    <x v="0"/>
    <x v="3"/>
    <x v="3"/>
    <x v="1"/>
    <x v="1"/>
    <x v="3"/>
    <x v="1"/>
    <x v="2"/>
    <x v="33"/>
    <x v="0"/>
    <x v="1"/>
    <x v="1"/>
    <x v="0"/>
    <x v="0"/>
    <x v="0"/>
  </r>
  <r>
    <x v="709"/>
    <x v="1"/>
    <x v="1"/>
    <x v="1"/>
    <x v="1"/>
    <x v="12"/>
    <x v="0"/>
    <x v="3"/>
    <x v="3"/>
    <x v="1"/>
    <x v="1"/>
    <x v="3"/>
    <x v="0"/>
    <x v="2"/>
    <x v="33"/>
    <x v="0"/>
    <x v="1"/>
    <x v="0"/>
    <x v="0"/>
    <x v="0"/>
    <x v="0"/>
  </r>
  <r>
    <x v="710"/>
    <x v="0"/>
    <x v="0"/>
    <x v="0"/>
    <x v="0"/>
    <x v="12"/>
    <x v="0"/>
    <x v="3"/>
    <x v="3"/>
    <x v="1"/>
    <x v="1"/>
    <x v="3"/>
    <x v="0"/>
    <x v="2"/>
    <x v="2"/>
    <x v="0"/>
    <x v="1"/>
    <x v="0"/>
    <x v="0"/>
    <x v="0"/>
    <x v="0"/>
  </r>
  <r>
    <x v="711"/>
    <x v="0"/>
    <x v="0"/>
    <x v="0"/>
    <x v="0"/>
    <x v="12"/>
    <x v="0"/>
    <x v="3"/>
    <x v="3"/>
    <x v="1"/>
    <x v="1"/>
    <x v="3"/>
    <x v="1"/>
    <x v="2"/>
    <x v="2"/>
    <x v="0"/>
    <x v="1"/>
    <x v="0"/>
    <x v="0"/>
    <x v="0"/>
    <x v="0"/>
  </r>
  <r>
    <x v="712"/>
    <x v="1"/>
    <x v="1"/>
    <x v="1"/>
    <x v="1"/>
    <x v="12"/>
    <x v="0"/>
    <x v="3"/>
    <x v="3"/>
    <x v="1"/>
    <x v="1"/>
    <x v="3"/>
    <x v="0"/>
    <x v="2"/>
    <x v="2"/>
    <x v="0"/>
    <x v="1"/>
    <x v="0"/>
    <x v="0"/>
    <x v="0"/>
    <x v="0"/>
  </r>
  <r>
    <x v="713"/>
    <x v="0"/>
    <x v="0"/>
    <x v="1"/>
    <x v="1"/>
    <x v="12"/>
    <x v="0"/>
    <x v="3"/>
    <x v="3"/>
    <x v="1"/>
    <x v="1"/>
    <x v="3"/>
    <x v="1"/>
    <x v="2"/>
    <x v="21"/>
    <x v="0"/>
    <x v="1"/>
    <x v="1"/>
    <x v="0"/>
    <x v="0"/>
    <x v="0"/>
  </r>
  <r>
    <x v="714"/>
    <x v="0"/>
    <x v="0"/>
    <x v="0"/>
    <x v="0"/>
    <x v="12"/>
    <x v="0"/>
    <x v="0"/>
    <x v="2"/>
    <x v="0"/>
    <x v="1"/>
    <x v="3"/>
    <x v="0"/>
    <x v="1"/>
    <x v="22"/>
    <x v="0"/>
    <x v="1"/>
    <x v="1"/>
    <x v="0"/>
    <x v="0"/>
    <x v="0"/>
  </r>
  <r>
    <x v="715"/>
    <x v="0"/>
    <x v="0"/>
    <x v="1"/>
    <x v="1"/>
    <x v="12"/>
    <x v="0"/>
    <x v="5"/>
    <x v="0"/>
    <x v="0"/>
    <x v="0"/>
    <x v="3"/>
    <x v="0"/>
    <x v="1"/>
    <x v="34"/>
    <x v="0"/>
    <x v="1"/>
    <x v="0"/>
    <x v="0"/>
    <x v="0"/>
    <x v="0"/>
  </r>
  <r>
    <x v="716"/>
    <x v="0"/>
    <x v="0"/>
    <x v="0"/>
    <x v="0"/>
    <x v="12"/>
    <x v="0"/>
    <x v="2"/>
    <x v="3"/>
    <x v="4"/>
    <x v="1"/>
    <x v="1"/>
    <x v="1"/>
    <x v="0"/>
    <x v="51"/>
    <x v="0"/>
    <x v="1"/>
    <x v="1"/>
    <x v="0"/>
    <x v="0"/>
    <x v="0"/>
  </r>
  <r>
    <x v="717"/>
    <x v="0"/>
    <x v="0"/>
    <x v="0"/>
    <x v="0"/>
    <x v="12"/>
    <x v="0"/>
    <x v="2"/>
    <x v="3"/>
    <x v="3"/>
    <x v="1"/>
    <x v="4"/>
    <x v="1"/>
    <x v="0"/>
    <x v="52"/>
    <x v="0"/>
    <x v="1"/>
    <x v="1"/>
    <x v="0"/>
    <x v="0"/>
    <x v="0"/>
  </r>
  <r>
    <x v="718"/>
    <x v="1"/>
    <x v="1"/>
    <x v="0"/>
    <x v="0"/>
    <x v="13"/>
    <x v="0"/>
    <x v="4"/>
    <x v="2"/>
    <x v="3"/>
    <x v="0"/>
    <x v="3"/>
    <x v="1"/>
    <x v="1"/>
    <x v="48"/>
    <x v="0"/>
    <x v="2"/>
    <x v="0"/>
    <x v="0"/>
    <x v="0"/>
    <x v="0"/>
  </r>
  <r>
    <x v="719"/>
    <x v="1"/>
    <x v="1"/>
    <x v="0"/>
    <x v="0"/>
    <x v="13"/>
    <x v="0"/>
    <x v="4"/>
    <x v="2"/>
    <x v="3"/>
    <x v="0"/>
    <x v="3"/>
    <x v="0"/>
    <x v="1"/>
    <x v="49"/>
    <x v="0"/>
    <x v="2"/>
    <x v="1"/>
    <x v="0"/>
    <x v="0"/>
    <x v="0"/>
  </r>
  <r>
    <x v="720"/>
    <x v="1"/>
    <x v="1"/>
    <x v="0"/>
    <x v="0"/>
    <x v="13"/>
    <x v="0"/>
    <x v="4"/>
    <x v="0"/>
    <x v="3"/>
    <x v="1"/>
    <x v="4"/>
    <x v="0"/>
    <x v="1"/>
    <x v="49"/>
    <x v="0"/>
    <x v="2"/>
    <x v="1"/>
    <x v="0"/>
    <x v="0"/>
    <x v="0"/>
  </r>
  <r>
    <x v="721"/>
    <x v="1"/>
    <x v="1"/>
    <x v="0"/>
    <x v="0"/>
    <x v="13"/>
    <x v="0"/>
    <x v="5"/>
    <x v="0"/>
    <x v="4"/>
    <x v="0"/>
    <x v="4"/>
    <x v="1"/>
    <x v="0"/>
    <x v="49"/>
    <x v="0"/>
    <x v="2"/>
    <x v="1"/>
    <x v="0"/>
    <x v="0"/>
    <x v="0"/>
  </r>
  <r>
    <x v="722"/>
    <x v="0"/>
    <x v="0"/>
    <x v="1"/>
    <x v="1"/>
    <x v="13"/>
    <x v="0"/>
    <x v="4"/>
    <x v="2"/>
    <x v="3"/>
    <x v="1"/>
    <x v="3"/>
    <x v="0"/>
    <x v="1"/>
    <x v="49"/>
    <x v="0"/>
    <x v="2"/>
    <x v="1"/>
    <x v="0"/>
    <x v="0"/>
    <x v="0"/>
  </r>
  <r>
    <x v="723"/>
    <x v="1"/>
    <x v="1"/>
    <x v="1"/>
    <x v="1"/>
    <x v="13"/>
    <x v="0"/>
    <x v="4"/>
    <x v="4"/>
    <x v="4"/>
    <x v="0"/>
    <x v="3"/>
    <x v="1"/>
    <x v="1"/>
    <x v="49"/>
    <x v="0"/>
    <x v="2"/>
    <x v="1"/>
    <x v="0"/>
    <x v="0"/>
    <x v="0"/>
  </r>
  <r>
    <x v="724"/>
    <x v="1"/>
    <x v="1"/>
    <x v="1"/>
    <x v="1"/>
    <x v="13"/>
    <x v="0"/>
    <x v="4"/>
    <x v="2"/>
    <x v="3"/>
    <x v="1"/>
    <x v="3"/>
    <x v="0"/>
    <x v="1"/>
    <x v="49"/>
    <x v="0"/>
    <x v="2"/>
    <x v="1"/>
    <x v="0"/>
    <x v="0"/>
    <x v="0"/>
  </r>
  <r>
    <x v="725"/>
    <x v="1"/>
    <x v="1"/>
    <x v="0"/>
    <x v="0"/>
    <x v="13"/>
    <x v="0"/>
    <x v="5"/>
    <x v="0"/>
    <x v="4"/>
    <x v="1"/>
    <x v="3"/>
    <x v="1"/>
    <x v="0"/>
    <x v="45"/>
    <x v="0"/>
    <x v="2"/>
    <x v="1"/>
    <x v="0"/>
    <x v="0"/>
    <x v="0"/>
  </r>
  <r>
    <x v="726"/>
    <x v="1"/>
    <x v="1"/>
    <x v="0"/>
    <x v="0"/>
    <x v="13"/>
    <x v="0"/>
    <x v="5"/>
    <x v="0"/>
    <x v="4"/>
    <x v="0"/>
    <x v="3"/>
    <x v="1"/>
    <x v="0"/>
    <x v="45"/>
    <x v="0"/>
    <x v="2"/>
    <x v="0"/>
    <x v="0"/>
    <x v="0"/>
    <x v="0"/>
  </r>
  <r>
    <x v="727"/>
    <x v="1"/>
    <x v="1"/>
    <x v="0"/>
    <x v="0"/>
    <x v="13"/>
    <x v="0"/>
    <x v="4"/>
    <x v="4"/>
    <x v="4"/>
    <x v="1"/>
    <x v="3"/>
    <x v="0"/>
    <x v="1"/>
    <x v="45"/>
    <x v="0"/>
    <x v="2"/>
    <x v="1"/>
    <x v="0"/>
    <x v="0"/>
    <x v="0"/>
  </r>
  <r>
    <x v="728"/>
    <x v="1"/>
    <x v="1"/>
    <x v="1"/>
    <x v="1"/>
    <x v="13"/>
    <x v="0"/>
    <x v="4"/>
    <x v="0"/>
    <x v="4"/>
    <x v="0"/>
    <x v="4"/>
    <x v="3"/>
    <x v="0"/>
    <x v="45"/>
    <x v="0"/>
    <x v="2"/>
    <x v="1"/>
    <x v="0"/>
    <x v="0"/>
    <x v="0"/>
  </r>
  <r>
    <x v="729"/>
    <x v="1"/>
    <x v="1"/>
    <x v="1"/>
    <x v="1"/>
    <x v="13"/>
    <x v="0"/>
    <x v="4"/>
    <x v="0"/>
    <x v="3"/>
    <x v="1"/>
    <x v="4"/>
    <x v="0"/>
    <x v="1"/>
    <x v="45"/>
    <x v="0"/>
    <x v="2"/>
    <x v="1"/>
    <x v="0"/>
    <x v="0"/>
    <x v="0"/>
  </r>
  <r>
    <x v="730"/>
    <x v="1"/>
    <x v="1"/>
    <x v="1"/>
    <x v="1"/>
    <x v="13"/>
    <x v="0"/>
    <x v="4"/>
    <x v="4"/>
    <x v="4"/>
    <x v="0"/>
    <x v="3"/>
    <x v="0"/>
    <x v="1"/>
    <x v="45"/>
    <x v="0"/>
    <x v="2"/>
    <x v="1"/>
    <x v="0"/>
    <x v="0"/>
    <x v="0"/>
  </r>
  <r>
    <x v="731"/>
    <x v="0"/>
    <x v="0"/>
    <x v="0"/>
    <x v="0"/>
    <x v="13"/>
    <x v="0"/>
    <x v="4"/>
    <x v="4"/>
    <x v="4"/>
    <x v="0"/>
    <x v="3"/>
    <x v="1"/>
    <x v="1"/>
    <x v="50"/>
    <x v="0"/>
    <x v="2"/>
    <x v="1"/>
    <x v="0"/>
    <x v="0"/>
    <x v="0"/>
  </r>
  <r>
    <x v="732"/>
    <x v="1"/>
    <x v="1"/>
    <x v="0"/>
    <x v="0"/>
    <x v="13"/>
    <x v="0"/>
    <x v="4"/>
    <x v="0"/>
    <x v="3"/>
    <x v="1"/>
    <x v="4"/>
    <x v="0"/>
    <x v="1"/>
    <x v="50"/>
    <x v="0"/>
    <x v="2"/>
    <x v="1"/>
    <x v="0"/>
    <x v="0"/>
    <x v="0"/>
  </r>
  <r>
    <x v="733"/>
    <x v="1"/>
    <x v="1"/>
    <x v="0"/>
    <x v="0"/>
    <x v="13"/>
    <x v="0"/>
    <x v="4"/>
    <x v="0"/>
    <x v="4"/>
    <x v="0"/>
    <x v="4"/>
    <x v="1"/>
    <x v="0"/>
    <x v="50"/>
    <x v="0"/>
    <x v="2"/>
    <x v="1"/>
    <x v="0"/>
    <x v="0"/>
    <x v="0"/>
  </r>
  <r>
    <x v="734"/>
    <x v="1"/>
    <x v="1"/>
    <x v="0"/>
    <x v="0"/>
    <x v="13"/>
    <x v="0"/>
    <x v="4"/>
    <x v="0"/>
    <x v="3"/>
    <x v="1"/>
    <x v="4"/>
    <x v="0"/>
    <x v="1"/>
    <x v="50"/>
    <x v="0"/>
    <x v="2"/>
    <x v="1"/>
    <x v="0"/>
    <x v="0"/>
    <x v="0"/>
  </r>
  <r>
    <x v="735"/>
    <x v="1"/>
    <x v="1"/>
    <x v="0"/>
    <x v="0"/>
    <x v="13"/>
    <x v="0"/>
    <x v="5"/>
    <x v="0"/>
    <x v="4"/>
    <x v="1"/>
    <x v="3"/>
    <x v="1"/>
    <x v="0"/>
    <x v="50"/>
    <x v="0"/>
    <x v="2"/>
    <x v="0"/>
    <x v="0"/>
    <x v="0"/>
    <x v="0"/>
  </r>
  <r>
    <x v="736"/>
    <x v="0"/>
    <x v="0"/>
    <x v="1"/>
    <x v="1"/>
    <x v="13"/>
    <x v="0"/>
    <x v="4"/>
    <x v="4"/>
    <x v="4"/>
    <x v="0"/>
    <x v="3"/>
    <x v="1"/>
    <x v="1"/>
    <x v="50"/>
    <x v="0"/>
    <x v="2"/>
    <x v="1"/>
    <x v="0"/>
    <x v="0"/>
    <x v="0"/>
  </r>
  <r>
    <x v="737"/>
    <x v="1"/>
    <x v="1"/>
    <x v="1"/>
    <x v="1"/>
    <x v="13"/>
    <x v="0"/>
    <x v="4"/>
    <x v="4"/>
    <x v="4"/>
    <x v="1"/>
    <x v="3"/>
    <x v="0"/>
    <x v="1"/>
    <x v="50"/>
    <x v="0"/>
    <x v="2"/>
    <x v="1"/>
    <x v="0"/>
    <x v="0"/>
    <x v="0"/>
  </r>
  <r>
    <x v="738"/>
    <x v="1"/>
    <x v="1"/>
    <x v="1"/>
    <x v="1"/>
    <x v="13"/>
    <x v="0"/>
    <x v="4"/>
    <x v="2"/>
    <x v="2"/>
    <x v="0"/>
    <x v="4"/>
    <x v="3"/>
    <x v="0"/>
    <x v="50"/>
    <x v="0"/>
    <x v="2"/>
    <x v="1"/>
    <x v="0"/>
    <x v="0"/>
    <x v="0"/>
  </r>
  <r>
    <x v="739"/>
    <x v="1"/>
    <x v="1"/>
    <x v="1"/>
    <x v="1"/>
    <x v="13"/>
    <x v="0"/>
    <x v="4"/>
    <x v="0"/>
    <x v="4"/>
    <x v="0"/>
    <x v="4"/>
    <x v="4"/>
    <x v="0"/>
    <x v="50"/>
    <x v="0"/>
    <x v="2"/>
    <x v="1"/>
    <x v="0"/>
    <x v="0"/>
    <x v="0"/>
  </r>
  <r>
    <x v="740"/>
    <x v="1"/>
    <x v="1"/>
    <x v="0"/>
    <x v="0"/>
    <x v="13"/>
    <x v="0"/>
    <x v="4"/>
    <x v="0"/>
    <x v="4"/>
    <x v="0"/>
    <x v="4"/>
    <x v="4"/>
    <x v="0"/>
    <x v="38"/>
    <x v="0"/>
    <x v="2"/>
    <x v="1"/>
    <x v="0"/>
    <x v="0"/>
    <x v="0"/>
  </r>
  <r>
    <x v="741"/>
    <x v="1"/>
    <x v="1"/>
    <x v="0"/>
    <x v="0"/>
    <x v="13"/>
    <x v="0"/>
    <x v="4"/>
    <x v="0"/>
    <x v="4"/>
    <x v="0"/>
    <x v="4"/>
    <x v="1"/>
    <x v="0"/>
    <x v="38"/>
    <x v="0"/>
    <x v="2"/>
    <x v="0"/>
    <x v="0"/>
    <x v="0"/>
    <x v="0"/>
  </r>
  <r>
    <x v="742"/>
    <x v="1"/>
    <x v="1"/>
    <x v="0"/>
    <x v="0"/>
    <x v="13"/>
    <x v="0"/>
    <x v="4"/>
    <x v="0"/>
    <x v="4"/>
    <x v="0"/>
    <x v="4"/>
    <x v="1"/>
    <x v="0"/>
    <x v="38"/>
    <x v="0"/>
    <x v="2"/>
    <x v="0"/>
    <x v="0"/>
    <x v="0"/>
    <x v="0"/>
  </r>
  <r>
    <x v="743"/>
    <x v="1"/>
    <x v="1"/>
    <x v="1"/>
    <x v="1"/>
    <x v="13"/>
    <x v="0"/>
    <x v="4"/>
    <x v="0"/>
    <x v="4"/>
    <x v="0"/>
    <x v="4"/>
    <x v="1"/>
    <x v="0"/>
    <x v="38"/>
    <x v="0"/>
    <x v="2"/>
    <x v="0"/>
    <x v="0"/>
    <x v="0"/>
    <x v="0"/>
  </r>
  <r>
    <x v="744"/>
    <x v="1"/>
    <x v="1"/>
    <x v="1"/>
    <x v="1"/>
    <x v="13"/>
    <x v="0"/>
    <x v="4"/>
    <x v="0"/>
    <x v="4"/>
    <x v="0"/>
    <x v="4"/>
    <x v="4"/>
    <x v="0"/>
    <x v="38"/>
    <x v="0"/>
    <x v="2"/>
    <x v="1"/>
    <x v="0"/>
    <x v="0"/>
    <x v="0"/>
  </r>
  <r>
    <x v="745"/>
    <x v="1"/>
    <x v="1"/>
    <x v="0"/>
    <x v="0"/>
    <x v="13"/>
    <x v="0"/>
    <x v="4"/>
    <x v="0"/>
    <x v="4"/>
    <x v="0"/>
    <x v="4"/>
    <x v="4"/>
    <x v="0"/>
    <x v="39"/>
    <x v="0"/>
    <x v="0"/>
    <x v="1"/>
    <x v="0"/>
    <x v="0"/>
    <x v="0"/>
  </r>
  <r>
    <x v="746"/>
    <x v="1"/>
    <x v="1"/>
    <x v="0"/>
    <x v="0"/>
    <x v="13"/>
    <x v="0"/>
    <x v="4"/>
    <x v="0"/>
    <x v="4"/>
    <x v="0"/>
    <x v="4"/>
    <x v="4"/>
    <x v="0"/>
    <x v="39"/>
    <x v="0"/>
    <x v="0"/>
    <x v="1"/>
    <x v="0"/>
    <x v="0"/>
    <x v="0"/>
  </r>
  <r>
    <x v="747"/>
    <x v="1"/>
    <x v="1"/>
    <x v="0"/>
    <x v="0"/>
    <x v="13"/>
    <x v="0"/>
    <x v="4"/>
    <x v="0"/>
    <x v="4"/>
    <x v="0"/>
    <x v="4"/>
    <x v="4"/>
    <x v="0"/>
    <x v="39"/>
    <x v="0"/>
    <x v="0"/>
    <x v="1"/>
    <x v="0"/>
    <x v="0"/>
    <x v="0"/>
  </r>
  <r>
    <x v="748"/>
    <x v="1"/>
    <x v="1"/>
    <x v="1"/>
    <x v="1"/>
    <x v="13"/>
    <x v="0"/>
    <x v="4"/>
    <x v="2"/>
    <x v="3"/>
    <x v="1"/>
    <x v="3"/>
    <x v="0"/>
    <x v="1"/>
    <x v="39"/>
    <x v="0"/>
    <x v="0"/>
    <x v="1"/>
    <x v="0"/>
    <x v="0"/>
    <x v="0"/>
  </r>
  <r>
    <x v="749"/>
    <x v="1"/>
    <x v="1"/>
    <x v="1"/>
    <x v="1"/>
    <x v="13"/>
    <x v="0"/>
    <x v="4"/>
    <x v="0"/>
    <x v="4"/>
    <x v="1"/>
    <x v="4"/>
    <x v="4"/>
    <x v="0"/>
    <x v="39"/>
    <x v="0"/>
    <x v="0"/>
    <x v="1"/>
    <x v="0"/>
    <x v="0"/>
    <x v="0"/>
  </r>
  <r>
    <x v="750"/>
    <x v="1"/>
    <x v="1"/>
    <x v="1"/>
    <x v="1"/>
    <x v="13"/>
    <x v="0"/>
    <x v="4"/>
    <x v="0"/>
    <x v="3"/>
    <x v="1"/>
    <x v="3"/>
    <x v="0"/>
    <x v="1"/>
    <x v="39"/>
    <x v="0"/>
    <x v="0"/>
    <x v="1"/>
    <x v="0"/>
    <x v="0"/>
    <x v="0"/>
  </r>
  <r>
    <x v="751"/>
    <x v="1"/>
    <x v="1"/>
    <x v="1"/>
    <x v="1"/>
    <x v="13"/>
    <x v="0"/>
    <x v="4"/>
    <x v="2"/>
    <x v="3"/>
    <x v="1"/>
    <x v="3"/>
    <x v="0"/>
    <x v="1"/>
    <x v="39"/>
    <x v="0"/>
    <x v="0"/>
    <x v="1"/>
    <x v="0"/>
    <x v="0"/>
    <x v="0"/>
  </r>
  <r>
    <x v="752"/>
    <x v="1"/>
    <x v="1"/>
    <x v="1"/>
    <x v="1"/>
    <x v="13"/>
    <x v="0"/>
    <x v="4"/>
    <x v="0"/>
    <x v="4"/>
    <x v="0"/>
    <x v="4"/>
    <x v="1"/>
    <x v="0"/>
    <x v="39"/>
    <x v="0"/>
    <x v="0"/>
    <x v="0"/>
    <x v="0"/>
    <x v="0"/>
    <x v="0"/>
  </r>
  <r>
    <x v="753"/>
    <x v="1"/>
    <x v="1"/>
    <x v="0"/>
    <x v="0"/>
    <x v="13"/>
    <x v="0"/>
    <x v="4"/>
    <x v="0"/>
    <x v="4"/>
    <x v="1"/>
    <x v="4"/>
    <x v="4"/>
    <x v="0"/>
    <x v="8"/>
    <x v="0"/>
    <x v="0"/>
    <x v="1"/>
    <x v="0"/>
    <x v="0"/>
    <x v="0"/>
  </r>
  <r>
    <x v="754"/>
    <x v="1"/>
    <x v="1"/>
    <x v="0"/>
    <x v="0"/>
    <x v="13"/>
    <x v="0"/>
    <x v="4"/>
    <x v="0"/>
    <x v="3"/>
    <x v="0"/>
    <x v="4"/>
    <x v="3"/>
    <x v="1"/>
    <x v="8"/>
    <x v="0"/>
    <x v="0"/>
    <x v="1"/>
    <x v="0"/>
    <x v="0"/>
    <x v="0"/>
  </r>
  <r>
    <x v="755"/>
    <x v="1"/>
    <x v="1"/>
    <x v="0"/>
    <x v="0"/>
    <x v="13"/>
    <x v="0"/>
    <x v="4"/>
    <x v="0"/>
    <x v="4"/>
    <x v="0"/>
    <x v="4"/>
    <x v="4"/>
    <x v="0"/>
    <x v="8"/>
    <x v="0"/>
    <x v="0"/>
    <x v="0"/>
    <x v="0"/>
    <x v="0"/>
    <x v="0"/>
  </r>
  <r>
    <x v="756"/>
    <x v="1"/>
    <x v="1"/>
    <x v="1"/>
    <x v="1"/>
    <x v="13"/>
    <x v="0"/>
    <x v="4"/>
    <x v="2"/>
    <x v="3"/>
    <x v="0"/>
    <x v="3"/>
    <x v="3"/>
    <x v="1"/>
    <x v="8"/>
    <x v="0"/>
    <x v="0"/>
    <x v="0"/>
    <x v="0"/>
    <x v="0"/>
    <x v="0"/>
  </r>
  <r>
    <x v="757"/>
    <x v="1"/>
    <x v="1"/>
    <x v="1"/>
    <x v="1"/>
    <x v="13"/>
    <x v="0"/>
    <x v="4"/>
    <x v="0"/>
    <x v="4"/>
    <x v="0"/>
    <x v="4"/>
    <x v="4"/>
    <x v="0"/>
    <x v="8"/>
    <x v="0"/>
    <x v="0"/>
    <x v="0"/>
    <x v="0"/>
    <x v="0"/>
    <x v="0"/>
  </r>
  <r>
    <x v="758"/>
    <x v="1"/>
    <x v="1"/>
    <x v="0"/>
    <x v="0"/>
    <x v="13"/>
    <x v="0"/>
    <x v="4"/>
    <x v="2"/>
    <x v="2"/>
    <x v="0"/>
    <x v="4"/>
    <x v="4"/>
    <x v="0"/>
    <x v="23"/>
    <x v="0"/>
    <x v="0"/>
    <x v="1"/>
    <x v="0"/>
    <x v="0"/>
    <x v="0"/>
  </r>
  <r>
    <x v="759"/>
    <x v="1"/>
    <x v="1"/>
    <x v="0"/>
    <x v="0"/>
    <x v="13"/>
    <x v="0"/>
    <x v="4"/>
    <x v="2"/>
    <x v="2"/>
    <x v="0"/>
    <x v="4"/>
    <x v="4"/>
    <x v="0"/>
    <x v="23"/>
    <x v="0"/>
    <x v="0"/>
    <x v="0"/>
    <x v="0"/>
    <x v="0"/>
    <x v="0"/>
  </r>
  <r>
    <x v="760"/>
    <x v="0"/>
    <x v="0"/>
    <x v="1"/>
    <x v="1"/>
    <x v="13"/>
    <x v="0"/>
    <x v="4"/>
    <x v="2"/>
    <x v="3"/>
    <x v="1"/>
    <x v="3"/>
    <x v="0"/>
    <x v="1"/>
    <x v="23"/>
    <x v="0"/>
    <x v="0"/>
    <x v="1"/>
    <x v="0"/>
    <x v="0"/>
    <x v="0"/>
  </r>
  <r>
    <x v="761"/>
    <x v="0"/>
    <x v="0"/>
    <x v="1"/>
    <x v="1"/>
    <x v="13"/>
    <x v="0"/>
    <x v="4"/>
    <x v="1"/>
    <x v="3"/>
    <x v="1"/>
    <x v="1"/>
    <x v="1"/>
    <x v="1"/>
    <x v="23"/>
    <x v="0"/>
    <x v="0"/>
    <x v="1"/>
    <x v="0"/>
    <x v="0"/>
    <x v="0"/>
  </r>
  <r>
    <x v="762"/>
    <x v="1"/>
    <x v="1"/>
    <x v="1"/>
    <x v="1"/>
    <x v="13"/>
    <x v="0"/>
    <x v="4"/>
    <x v="0"/>
    <x v="4"/>
    <x v="1"/>
    <x v="4"/>
    <x v="4"/>
    <x v="0"/>
    <x v="23"/>
    <x v="0"/>
    <x v="0"/>
    <x v="1"/>
    <x v="0"/>
    <x v="0"/>
    <x v="0"/>
  </r>
  <r>
    <x v="763"/>
    <x v="1"/>
    <x v="1"/>
    <x v="1"/>
    <x v="1"/>
    <x v="13"/>
    <x v="0"/>
    <x v="4"/>
    <x v="2"/>
    <x v="2"/>
    <x v="0"/>
    <x v="4"/>
    <x v="3"/>
    <x v="0"/>
    <x v="23"/>
    <x v="0"/>
    <x v="0"/>
    <x v="1"/>
    <x v="0"/>
    <x v="0"/>
    <x v="0"/>
  </r>
  <r>
    <x v="764"/>
    <x v="1"/>
    <x v="1"/>
    <x v="1"/>
    <x v="1"/>
    <x v="13"/>
    <x v="0"/>
    <x v="4"/>
    <x v="0"/>
    <x v="3"/>
    <x v="1"/>
    <x v="4"/>
    <x v="0"/>
    <x v="1"/>
    <x v="23"/>
    <x v="0"/>
    <x v="0"/>
    <x v="1"/>
    <x v="0"/>
    <x v="0"/>
    <x v="0"/>
  </r>
  <r>
    <x v="765"/>
    <x v="1"/>
    <x v="1"/>
    <x v="0"/>
    <x v="0"/>
    <x v="13"/>
    <x v="0"/>
    <x v="4"/>
    <x v="0"/>
    <x v="4"/>
    <x v="0"/>
    <x v="4"/>
    <x v="4"/>
    <x v="0"/>
    <x v="3"/>
    <x v="0"/>
    <x v="0"/>
    <x v="1"/>
    <x v="0"/>
    <x v="0"/>
    <x v="0"/>
  </r>
  <r>
    <x v="766"/>
    <x v="1"/>
    <x v="1"/>
    <x v="1"/>
    <x v="1"/>
    <x v="13"/>
    <x v="0"/>
    <x v="4"/>
    <x v="2"/>
    <x v="2"/>
    <x v="1"/>
    <x v="4"/>
    <x v="4"/>
    <x v="0"/>
    <x v="3"/>
    <x v="0"/>
    <x v="0"/>
    <x v="0"/>
    <x v="0"/>
    <x v="0"/>
    <x v="0"/>
  </r>
  <r>
    <x v="767"/>
    <x v="1"/>
    <x v="1"/>
    <x v="0"/>
    <x v="0"/>
    <x v="13"/>
    <x v="0"/>
    <x v="4"/>
    <x v="2"/>
    <x v="2"/>
    <x v="0"/>
    <x v="4"/>
    <x v="4"/>
    <x v="0"/>
    <x v="24"/>
    <x v="0"/>
    <x v="0"/>
    <x v="0"/>
    <x v="0"/>
    <x v="0"/>
    <x v="0"/>
  </r>
  <r>
    <x v="768"/>
    <x v="1"/>
    <x v="1"/>
    <x v="1"/>
    <x v="1"/>
    <x v="13"/>
    <x v="0"/>
    <x v="4"/>
    <x v="2"/>
    <x v="2"/>
    <x v="0"/>
    <x v="4"/>
    <x v="4"/>
    <x v="0"/>
    <x v="24"/>
    <x v="0"/>
    <x v="0"/>
    <x v="1"/>
    <x v="0"/>
    <x v="0"/>
    <x v="0"/>
  </r>
  <r>
    <x v="769"/>
    <x v="1"/>
    <x v="1"/>
    <x v="1"/>
    <x v="1"/>
    <x v="13"/>
    <x v="0"/>
    <x v="4"/>
    <x v="2"/>
    <x v="2"/>
    <x v="1"/>
    <x v="4"/>
    <x v="4"/>
    <x v="0"/>
    <x v="24"/>
    <x v="0"/>
    <x v="0"/>
    <x v="0"/>
    <x v="0"/>
    <x v="0"/>
    <x v="0"/>
  </r>
  <r>
    <x v="770"/>
    <x v="0"/>
    <x v="0"/>
    <x v="1"/>
    <x v="1"/>
    <x v="13"/>
    <x v="0"/>
    <x v="4"/>
    <x v="3"/>
    <x v="4"/>
    <x v="1"/>
    <x v="1"/>
    <x v="1"/>
    <x v="0"/>
    <x v="32"/>
    <x v="0"/>
    <x v="0"/>
    <x v="0"/>
    <x v="0"/>
    <x v="0"/>
    <x v="0"/>
  </r>
  <r>
    <x v="771"/>
    <x v="0"/>
    <x v="0"/>
    <x v="1"/>
    <x v="1"/>
    <x v="13"/>
    <x v="0"/>
    <x v="4"/>
    <x v="3"/>
    <x v="4"/>
    <x v="1"/>
    <x v="1"/>
    <x v="1"/>
    <x v="0"/>
    <x v="32"/>
    <x v="0"/>
    <x v="0"/>
    <x v="0"/>
    <x v="0"/>
    <x v="0"/>
    <x v="0"/>
  </r>
  <r>
    <x v="772"/>
    <x v="0"/>
    <x v="0"/>
    <x v="0"/>
    <x v="0"/>
    <x v="13"/>
    <x v="0"/>
    <x v="4"/>
    <x v="3"/>
    <x v="4"/>
    <x v="0"/>
    <x v="1"/>
    <x v="1"/>
    <x v="0"/>
    <x v="9"/>
    <x v="0"/>
    <x v="0"/>
    <x v="0"/>
    <x v="0"/>
    <x v="0"/>
    <x v="0"/>
  </r>
  <r>
    <x v="773"/>
    <x v="1"/>
    <x v="1"/>
    <x v="1"/>
    <x v="1"/>
    <x v="13"/>
    <x v="0"/>
    <x v="4"/>
    <x v="3"/>
    <x v="4"/>
    <x v="0"/>
    <x v="1"/>
    <x v="1"/>
    <x v="0"/>
    <x v="9"/>
    <x v="0"/>
    <x v="0"/>
    <x v="0"/>
    <x v="0"/>
    <x v="0"/>
    <x v="0"/>
  </r>
  <r>
    <x v="774"/>
    <x v="0"/>
    <x v="0"/>
    <x v="0"/>
    <x v="0"/>
    <x v="13"/>
    <x v="0"/>
    <x v="2"/>
    <x v="3"/>
    <x v="4"/>
    <x v="1"/>
    <x v="1"/>
    <x v="1"/>
    <x v="0"/>
    <x v="5"/>
    <x v="0"/>
    <x v="0"/>
    <x v="0"/>
    <x v="0"/>
    <x v="0"/>
    <x v="0"/>
  </r>
  <r>
    <x v="775"/>
    <x v="0"/>
    <x v="0"/>
    <x v="0"/>
    <x v="0"/>
    <x v="13"/>
    <x v="0"/>
    <x v="4"/>
    <x v="3"/>
    <x v="4"/>
    <x v="1"/>
    <x v="1"/>
    <x v="1"/>
    <x v="0"/>
    <x v="5"/>
    <x v="0"/>
    <x v="0"/>
    <x v="0"/>
    <x v="0"/>
    <x v="0"/>
    <x v="0"/>
  </r>
  <r>
    <x v="776"/>
    <x v="1"/>
    <x v="1"/>
    <x v="1"/>
    <x v="1"/>
    <x v="13"/>
    <x v="0"/>
    <x v="2"/>
    <x v="3"/>
    <x v="4"/>
    <x v="1"/>
    <x v="1"/>
    <x v="3"/>
    <x v="0"/>
    <x v="5"/>
    <x v="0"/>
    <x v="0"/>
    <x v="0"/>
    <x v="0"/>
    <x v="0"/>
    <x v="0"/>
  </r>
  <r>
    <x v="777"/>
    <x v="0"/>
    <x v="0"/>
    <x v="1"/>
    <x v="1"/>
    <x v="13"/>
    <x v="0"/>
    <x v="2"/>
    <x v="3"/>
    <x v="4"/>
    <x v="1"/>
    <x v="1"/>
    <x v="1"/>
    <x v="0"/>
    <x v="10"/>
    <x v="0"/>
    <x v="0"/>
    <x v="0"/>
    <x v="0"/>
    <x v="0"/>
    <x v="0"/>
  </r>
  <r>
    <x v="778"/>
    <x v="1"/>
    <x v="1"/>
    <x v="1"/>
    <x v="1"/>
    <x v="13"/>
    <x v="0"/>
    <x v="2"/>
    <x v="3"/>
    <x v="4"/>
    <x v="0"/>
    <x v="1"/>
    <x v="1"/>
    <x v="0"/>
    <x v="10"/>
    <x v="0"/>
    <x v="0"/>
    <x v="0"/>
    <x v="0"/>
    <x v="0"/>
    <x v="0"/>
  </r>
  <r>
    <x v="779"/>
    <x v="0"/>
    <x v="0"/>
    <x v="1"/>
    <x v="1"/>
    <x v="13"/>
    <x v="0"/>
    <x v="2"/>
    <x v="3"/>
    <x v="4"/>
    <x v="1"/>
    <x v="4"/>
    <x v="4"/>
    <x v="0"/>
    <x v="25"/>
    <x v="0"/>
    <x v="0"/>
    <x v="1"/>
    <x v="0"/>
    <x v="0"/>
    <x v="0"/>
  </r>
  <r>
    <x v="780"/>
    <x v="1"/>
    <x v="1"/>
    <x v="1"/>
    <x v="1"/>
    <x v="13"/>
    <x v="0"/>
    <x v="2"/>
    <x v="3"/>
    <x v="4"/>
    <x v="0"/>
    <x v="4"/>
    <x v="3"/>
    <x v="0"/>
    <x v="25"/>
    <x v="0"/>
    <x v="0"/>
    <x v="1"/>
    <x v="0"/>
    <x v="0"/>
    <x v="0"/>
  </r>
  <r>
    <x v="781"/>
    <x v="1"/>
    <x v="1"/>
    <x v="1"/>
    <x v="1"/>
    <x v="13"/>
    <x v="0"/>
    <x v="2"/>
    <x v="3"/>
    <x v="4"/>
    <x v="0"/>
    <x v="4"/>
    <x v="1"/>
    <x v="0"/>
    <x v="25"/>
    <x v="0"/>
    <x v="0"/>
    <x v="0"/>
    <x v="0"/>
    <x v="0"/>
    <x v="0"/>
  </r>
  <r>
    <x v="782"/>
    <x v="1"/>
    <x v="1"/>
    <x v="1"/>
    <x v="1"/>
    <x v="13"/>
    <x v="0"/>
    <x v="2"/>
    <x v="3"/>
    <x v="4"/>
    <x v="1"/>
    <x v="4"/>
    <x v="3"/>
    <x v="0"/>
    <x v="25"/>
    <x v="0"/>
    <x v="0"/>
    <x v="0"/>
    <x v="0"/>
    <x v="0"/>
    <x v="0"/>
  </r>
  <r>
    <x v="783"/>
    <x v="0"/>
    <x v="0"/>
    <x v="0"/>
    <x v="0"/>
    <x v="13"/>
    <x v="0"/>
    <x v="2"/>
    <x v="3"/>
    <x v="3"/>
    <x v="1"/>
    <x v="3"/>
    <x v="1"/>
    <x v="0"/>
    <x v="11"/>
    <x v="0"/>
    <x v="0"/>
    <x v="1"/>
    <x v="0"/>
    <x v="0"/>
    <x v="0"/>
  </r>
  <r>
    <x v="784"/>
    <x v="0"/>
    <x v="0"/>
    <x v="1"/>
    <x v="1"/>
    <x v="13"/>
    <x v="0"/>
    <x v="2"/>
    <x v="3"/>
    <x v="3"/>
    <x v="1"/>
    <x v="3"/>
    <x v="1"/>
    <x v="0"/>
    <x v="11"/>
    <x v="0"/>
    <x v="0"/>
    <x v="1"/>
    <x v="0"/>
    <x v="0"/>
    <x v="0"/>
  </r>
  <r>
    <x v="785"/>
    <x v="0"/>
    <x v="0"/>
    <x v="1"/>
    <x v="1"/>
    <x v="13"/>
    <x v="0"/>
    <x v="2"/>
    <x v="3"/>
    <x v="3"/>
    <x v="1"/>
    <x v="3"/>
    <x v="1"/>
    <x v="0"/>
    <x v="12"/>
    <x v="0"/>
    <x v="0"/>
    <x v="0"/>
    <x v="0"/>
    <x v="0"/>
    <x v="0"/>
  </r>
  <r>
    <x v="786"/>
    <x v="0"/>
    <x v="0"/>
    <x v="0"/>
    <x v="0"/>
    <x v="13"/>
    <x v="0"/>
    <x v="5"/>
    <x v="0"/>
    <x v="4"/>
    <x v="0"/>
    <x v="1"/>
    <x v="1"/>
    <x v="0"/>
    <x v="13"/>
    <x v="0"/>
    <x v="0"/>
    <x v="1"/>
    <x v="0"/>
    <x v="0"/>
    <x v="0"/>
  </r>
  <r>
    <x v="787"/>
    <x v="0"/>
    <x v="0"/>
    <x v="0"/>
    <x v="0"/>
    <x v="13"/>
    <x v="0"/>
    <x v="2"/>
    <x v="3"/>
    <x v="3"/>
    <x v="1"/>
    <x v="3"/>
    <x v="1"/>
    <x v="0"/>
    <x v="13"/>
    <x v="0"/>
    <x v="0"/>
    <x v="1"/>
    <x v="0"/>
    <x v="0"/>
    <x v="0"/>
  </r>
  <r>
    <x v="788"/>
    <x v="1"/>
    <x v="1"/>
    <x v="0"/>
    <x v="0"/>
    <x v="13"/>
    <x v="0"/>
    <x v="3"/>
    <x v="0"/>
    <x v="4"/>
    <x v="1"/>
    <x v="3"/>
    <x v="1"/>
    <x v="0"/>
    <x v="13"/>
    <x v="0"/>
    <x v="0"/>
    <x v="1"/>
    <x v="0"/>
    <x v="0"/>
    <x v="0"/>
  </r>
  <r>
    <x v="789"/>
    <x v="1"/>
    <x v="1"/>
    <x v="0"/>
    <x v="0"/>
    <x v="13"/>
    <x v="0"/>
    <x v="3"/>
    <x v="0"/>
    <x v="4"/>
    <x v="1"/>
    <x v="3"/>
    <x v="1"/>
    <x v="0"/>
    <x v="13"/>
    <x v="0"/>
    <x v="0"/>
    <x v="1"/>
    <x v="0"/>
    <x v="0"/>
    <x v="0"/>
  </r>
  <r>
    <x v="790"/>
    <x v="1"/>
    <x v="1"/>
    <x v="0"/>
    <x v="0"/>
    <x v="13"/>
    <x v="0"/>
    <x v="5"/>
    <x v="0"/>
    <x v="4"/>
    <x v="1"/>
    <x v="1"/>
    <x v="1"/>
    <x v="0"/>
    <x v="13"/>
    <x v="0"/>
    <x v="0"/>
    <x v="0"/>
    <x v="0"/>
    <x v="0"/>
    <x v="0"/>
  </r>
  <r>
    <x v="791"/>
    <x v="0"/>
    <x v="0"/>
    <x v="1"/>
    <x v="1"/>
    <x v="13"/>
    <x v="0"/>
    <x v="3"/>
    <x v="0"/>
    <x v="4"/>
    <x v="0"/>
    <x v="3"/>
    <x v="1"/>
    <x v="0"/>
    <x v="13"/>
    <x v="0"/>
    <x v="0"/>
    <x v="1"/>
    <x v="0"/>
    <x v="0"/>
    <x v="0"/>
  </r>
  <r>
    <x v="792"/>
    <x v="1"/>
    <x v="1"/>
    <x v="1"/>
    <x v="1"/>
    <x v="13"/>
    <x v="0"/>
    <x v="3"/>
    <x v="0"/>
    <x v="4"/>
    <x v="1"/>
    <x v="3"/>
    <x v="1"/>
    <x v="0"/>
    <x v="13"/>
    <x v="0"/>
    <x v="0"/>
    <x v="1"/>
    <x v="0"/>
    <x v="0"/>
    <x v="0"/>
  </r>
  <r>
    <x v="793"/>
    <x v="1"/>
    <x v="1"/>
    <x v="0"/>
    <x v="0"/>
    <x v="13"/>
    <x v="0"/>
    <x v="3"/>
    <x v="0"/>
    <x v="4"/>
    <x v="1"/>
    <x v="1"/>
    <x v="1"/>
    <x v="0"/>
    <x v="26"/>
    <x v="0"/>
    <x v="0"/>
    <x v="1"/>
    <x v="0"/>
    <x v="0"/>
    <x v="0"/>
  </r>
  <r>
    <x v="794"/>
    <x v="1"/>
    <x v="1"/>
    <x v="0"/>
    <x v="0"/>
    <x v="13"/>
    <x v="0"/>
    <x v="3"/>
    <x v="0"/>
    <x v="4"/>
    <x v="0"/>
    <x v="1"/>
    <x v="1"/>
    <x v="0"/>
    <x v="26"/>
    <x v="0"/>
    <x v="0"/>
    <x v="1"/>
    <x v="0"/>
    <x v="0"/>
    <x v="0"/>
  </r>
  <r>
    <x v="795"/>
    <x v="0"/>
    <x v="0"/>
    <x v="1"/>
    <x v="1"/>
    <x v="13"/>
    <x v="0"/>
    <x v="2"/>
    <x v="0"/>
    <x v="4"/>
    <x v="1"/>
    <x v="4"/>
    <x v="1"/>
    <x v="0"/>
    <x v="26"/>
    <x v="0"/>
    <x v="0"/>
    <x v="1"/>
    <x v="0"/>
    <x v="0"/>
    <x v="0"/>
  </r>
  <r>
    <x v="796"/>
    <x v="0"/>
    <x v="0"/>
    <x v="1"/>
    <x v="1"/>
    <x v="13"/>
    <x v="0"/>
    <x v="5"/>
    <x v="0"/>
    <x v="4"/>
    <x v="1"/>
    <x v="4"/>
    <x v="1"/>
    <x v="0"/>
    <x v="26"/>
    <x v="0"/>
    <x v="0"/>
    <x v="1"/>
    <x v="0"/>
    <x v="0"/>
    <x v="0"/>
  </r>
  <r>
    <x v="797"/>
    <x v="1"/>
    <x v="1"/>
    <x v="1"/>
    <x v="1"/>
    <x v="13"/>
    <x v="0"/>
    <x v="5"/>
    <x v="0"/>
    <x v="4"/>
    <x v="1"/>
    <x v="1"/>
    <x v="1"/>
    <x v="0"/>
    <x v="26"/>
    <x v="0"/>
    <x v="0"/>
    <x v="1"/>
    <x v="0"/>
    <x v="0"/>
    <x v="0"/>
  </r>
  <r>
    <x v="798"/>
    <x v="1"/>
    <x v="1"/>
    <x v="0"/>
    <x v="0"/>
    <x v="13"/>
    <x v="0"/>
    <x v="1"/>
    <x v="1"/>
    <x v="4"/>
    <x v="1"/>
    <x v="1"/>
    <x v="1"/>
    <x v="0"/>
    <x v="6"/>
    <x v="0"/>
    <x v="0"/>
    <x v="0"/>
    <x v="0"/>
    <x v="0"/>
    <x v="0"/>
  </r>
  <r>
    <x v="799"/>
    <x v="0"/>
    <x v="0"/>
    <x v="1"/>
    <x v="1"/>
    <x v="13"/>
    <x v="0"/>
    <x v="2"/>
    <x v="0"/>
    <x v="4"/>
    <x v="1"/>
    <x v="4"/>
    <x v="1"/>
    <x v="0"/>
    <x v="6"/>
    <x v="0"/>
    <x v="0"/>
    <x v="0"/>
    <x v="0"/>
    <x v="0"/>
    <x v="0"/>
  </r>
  <r>
    <x v="800"/>
    <x v="0"/>
    <x v="0"/>
    <x v="0"/>
    <x v="0"/>
    <x v="13"/>
    <x v="0"/>
    <x v="5"/>
    <x v="3"/>
    <x v="4"/>
    <x v="1"/>
    <x v="1"/>
    <x v="1"/>
    <x v="0"/>
    <x v="14"/>
    <x v="0"/>
    <x v="0"/>
    <x v="1"/>
    <x v="0"/>
    <x v="0"/>
    <x v="0"/>
  </r>
  <r>
    <x v="801"/>
    <x v="0"/>
    <x v="0"/>
    <x v="0"/>
    <x v="0"/>
    <x v="13"/>
    <x v="0"/>
    <x v="0"/>
    <x v="1"/>
    <x v="4"/>
    <x v="1"/>
    <x v="1"/>
    <x v="1"/>
    <x v="0"/>
    <x v="14"/>
    <x v="0"/>
    <x v="0"/>
    <x v="1"/>
    <x v="0"/>
    <x v="0"/>
    <x v="0"/>
  </r>
  <r>
    <x v="802"/>
    <x v="0"/>
    <x v="0"/>
    <x v="0"/>
    <x v="0"/>
    <x v="13"/>
    <x v="0"/>
    <x v="0"/>
    <x v="1"/>
    <x v="4"/>
    <x v="1"/>
    <x v="1"/>
    <x v="1"/>
    <x v="0"/>
    <x v="14"/>
    <x v="0"/>
    <x v="0"/>
    <x v="0"/>
    <x v="0"/>
    <x v="0"/>
    <x v="0"/>
  </r>
  <r>
    <x v="803"/>
    <x v="0"/>
    <x v="0"/>
    <x v="0"/>
    <x v="0"/>
    <x v="13"/>
    <x v="0"/>
    <x v="5"/>
    <x v="1"/>
    <x v="4"/>
    <x v="1"/>
    <x v="1"/>
    <x v="1"/>
    <x v="0"/>
    <x v="27"/>
    <x v="0"/>
    <x v="0"/>
    <x v="1"/>
    <x v="0"/>
    <x v="0"/>
    <x v="0"/>
  </r>
  <r>
    <x v="804"/>
    <x v="1"/>
    <x v="1"/>
    <x v="0"/>
    <x v="0"/>
    <x v="13"/>
    <x v="0"/>
    <x v="5"/>
    <x v="3"/>
    <x v="4"/>
    <x v="1"/>
    <x v="1"/>
    <x v="1"/>
    <x v="0"/>
    <x v="27"/>
    <x v="0"/>
    <x v="0"/>
    <x v="0"/>
    <x v="0"/>
    <x v="0"/>
    <x v="0"/>
  </r>
  <r>
    <x v="805"/>
    <x v="1"/>
    <x v="1"/>
    <x v="0"/>
    <x v="0"/>
    <x v="13"/>
    <x v="0"/>
    <x v="2"/>
    <x v="0"/>
    <x v="2"/>
    <x v="0"/>
    <x v="1"/>
    <x v="1"/>
    <x v="0"/>
    <x v="27"/>
    <x v="0"/>
    <x v="0"/>
    <x v="0"/>
    <x v="0"/>
    <x v="0"/>
    <x v="0"/>
  </r>
  <r>
    <x v="806"/>
    <x v="1"/>
    <x v="1"/>
    <x v="0"/>
    <x v="0"/>
    <x v="13"/>
    <x v="0"/>
    <x v="5"/>
    <x v="1"/>
    <x v="4"/>
    <x v="0"/>
    <x v="1"/>
    <x v="1"/>
    <x v="0"/>
    <x v="27"/>
    <x v="0"/>
    <x v="0"/>
    <x v="0"/>
    <x v="0"/>
    <x v="0"/>
    <x v="0"/>
  </r>
  <r>
    <x v="807"/>
    <x v="0"/>
    <x v="0"/>
    <x v="1"/>
    <x v="1"/>
    <x v="13"/>
    <x v="0"/>
    <x v="5"/>
    <x v="1"/>
    <x v="4"/>
    <x v="1"/>
    <x v="1"/>
    <x v="1"/>
    <x v="0"/>
    <x v="27"/>
    <x v="0"/>
    <x v="0"/>
    <x v="0"/>
    <x v="0"/>
    <x v="0"/>
    <x v="0"/>
  </r>
  <r>
    <x v="808"/>
    <x v="0"/>
    <x v="0"/>
    <x v="0"/>
    <x v="0"/>
    <x v="13"/>
    <x v="0"/>
    <x v="2"/>
    <x v="3"/>
    <x v="4"/>
    <x v="1"/>
    <x v="1"/>
    <x v="1"/>
    <x v="0"/>
    <x v="4"/>
    <x v="0"/>
    <x v="0"/>
    <x v="1"/>
    <x v="0"/>
    <x v="0"/>
    <x v="0"/>
  </r>
  <r>
    <x v="809"/>
    <x v="0"/>
    <x v="0"/>
    <x v="0"/>
    <x v="0"/>
    <x v="13"/>
    <x v="0"/>
    <x v="4"/>
    <x v="3"/>
    <x v="4"/>
    <x v="1"/>
    <x v="1"/>
    <x v="1"/>
    <x v="0"/>
    <x v="4"/>
    <x v="0"/>
    <x v="0"/>
    <x v="0"/>
    <x v="0"/>
    <x v="0"/>
    <x v="0"/>
  </r>
  <r>
    <x v="810"/>
    <x v="1"/>
    <x v="1"/>
    <x v="0"/>
    <x v="0"/>
    <x v="13"/>
    <x v="0"/>
    <x v="5"/>
    <x v="3"/>
    <x v="4"/>
    <x v="1"/>
    <x v="1"/>
    <x v="1"/>
    <x v="0"/>
    <x v="4"/>
    <x v="0"/>
    <x v="0"/>
    <x v="0"/>
    <x v="0"/>
    <x v="0"/>
    <x v="0"/>
  </r>
  <r>
    <x v="811"/>
    <x v="1"/>
    <x v="1"/>
    <x v="0"/>
    <x v="0"/>
    <x v="13"/>
    <x v="0"/>
    <x v="5"/>
    <x v="1"/>
    <x v="4"/>
    <x v="1"/>
    <x v="1"/>
    <x v="1"/>
    <x v="0"/>
    <x v="4"/>
    <x v="0"/>
    <x v="0"/>
    <x v="0"/>
    <x v="0"/>
    <x v="0"/>
    <x v="0"/>
  </r>
  <r>
    <x v="812"/>
    <x v="0"/>
    <x v="0"/>
    <x v="1"/>
    <x v="1"/>
    <x v="13"/>
    <x v="0"/>
    <x v="2"/>
    <x v="3"/>
    <x v="4"/>
    <x v="1"/>
    <x v="1"/>
    <x v="1"/>
    <x v="0"/>
    <x v="4"/>
    <x v="0"/>
    <x v="0"/>
    <x v="1"/>
    <x v="0"/>
    <x v="0"/>
    <x v="0"/>
  </r>
  <r>
    <x v="813"/>
    <x v="0"/>
    <x v="0"/>
    <x v="1"/>
    <x v="1"/>
    <x v="13"/>
    <x v="0"/>
    <x v="4"/>
    <x v="3"/>
    <x v="4"/>
    <x v="1"/>
    <x v="1"/>
    <x v="1"/>
    <x v="0"/>
    <x v="4"/>
    <x v="0"/>
    <x v="0"/>
    <x v="0"/>
    <x v="0"/>
    <x v="0"/>
    <x v="0"/>
  </r>
  <r>
    <x v="814"/>
    <x v="0"/>
    <x v="0"/>
    <x v="0"/>
    <x v="0"/>
    <x v="13"/>
    <x v="0"/>
    <x v="3"/>
    <x v="2"/>
    <x v="3"/>
    <x v="1"/>
    <x v="3"/>
    <x v="3"/>
    <x v="1"/>
    <x v="0"/>
    <x v="0"/>
    <x v="0"/>
    <x v="1"/>
    <x v="0"/>
    <x v="0"/>
    <x v="0"/>
  </r>
  <r>
    <x v="815"/>
    <x v="1"/>
    <x v="1"/>
    <x v="0"/>
    <x v="0"/>
    <x v="13"/>
    <x v="0"/>
    <x v="3"/>
    <x v="2"/>
    <x v="3"/>
    <x v="0"/>
    <x v="3"/>
    <x v="1"/>
    <x v="1"/>
    <x v="36"/>
    <x v="0"/>
    <x v="0"/>
    <x v="1"/>
    <x v="0"/>
    <x v="0"/>
    <x v="0"/>
  </r>
  <r>
    <x v="816"/>
    <x v="0"/>
    <x v="0"/>
    <x v="1"/>
    <x v="1"/>
    <x v="13"/>
    <x v="0"/>
    <x v="3"/>
    <x v="2"/>
    <x v="3"/>
    <x v="1"/>
    <x v="3"/>
    <x v="3"/>
    <x v="1"/>
    <x v="36"/>
    <x v="0"/>
    <x v="0"/>
    <x v="1"/>
    <x v="0"/>
    <x v="0"/>
    <x v="0"/>
  </r>
  <r>
    <x v="817"/>
    <x v="0"/>
    <x v="0"/>
    <x v="1"/>
    <x v="1"/>
    <x v="13"/>
    <x v="0"/>
    <x v="3"/>
    <x v="2"/>
    <x v="3"/>
    <x v="1"/>
    <x v="3"/>
    <x v="3"/>
    <x v="1"/>
    <x v="36"/>
    <x v="0"/>
    <x v="0"/>
    <x v="1"/>
    <x v="0"/>
    <x v="0"/>
    <x v="0"/>
  </r>
  <r>
    <x v="818"/>
    <x v="0"/>
    <x v="0"/>
    <x v="1"/>
    <x v="1"/>
    <x v="13"/>
    <x v="0"/>
    <x v="3"/>
    <x v="2"/>
    <x v="3"/>
    <x v="0"/>
    <x v="3"/>
    <x v="1"/>
    <x v="1"/>
    <x v="36"/>
    <x v="0"/>
    <x v="0"/>
    <x v="1"/>
    <x v="0"/>
    <x v="0"/>
    <x v="0"/>
  </r>
  <r>
    <x v="819"/>
    <x v="0"/>
    <x v="0"/>
    <x v="1"/>
    <x v="1"/>
    <x v="13"/>
    <x v="0"/>
    <x v="3"/>
    <x v="2"/>
    <x v="3"/>
    <x v="1"/>
    <x v="3"/>
    <x v="3"/>
    <x v="1"/>
    <x v="15"/>
    <x v="0"/>
    <x v="0"/>
    <x v="1"/>
    <x v="0"/>
    <x v="0"/>
    <x v="0"/>
  </r>
  <r>
    <x v="820"/>
    <x v="1"/>
    <x v="1"/>
    <x v="1"/>
    <x v="1"/>
    <x v="13"/>
    <x v="0"/>
    <x v="3"/>
    <x v="2"/>
    <x v="3"/>
    <x v="1"/>
    <x v="3"/>
    <x v="3"/>
    <x v="1"/>
    <x v="15"/>
    <x v="0"/>
    <x v="0"/>
    <x v="0"/>
    <x v="0"/>
    <x v="0"/>
    <x v="0"/>
  </r>
  <r>
    <x v="821"/>
    <x v="0"/>
    <x v="0"/>
    <x v="1"/>
    <x v="1"/>
    <x v="13"/>
    <x v="0"/>
    <x v="3"/>
    <x v="2"/>
    <x v="3"/>
    <x v="1"/>
    <x v="3"/>
    <x v="3"/>
    <x v="1"/>
    <x v="7"/>
    <x v="0"/>
    <x v="1"/>
    <x v="1"/>
    <x v="0"/>
    <x v="0"/>
    <x v="0"/>
  </r>
  <r>
    <x v="822"/>
    <x v="1"/>
    <x v="1"/>
    <x v="1"/>
    <x v="1"/>
    <x v="13"/>
    <x v="0"/>
    <x v="2"/>
    <x v="2"/>
    <x v="4"/>
    <x v="1"/>
    <x v="3"/>
    <x v="3"/>
    <x v="1"/>
    <x v="7"/>
    <x v="0"/>
    <x v="1"/>
    <x v="0"/>
    <x v="0"/>
    <x v="0"/>
    <x v="0"/>
  </r>
  <r>
    <x v="823"/>
    <x v="0"/>
    <x v="0"/>
    <x v="0"/>
    <x v="0"/>
    <x v="13"/>
    <x v="0"/>
    <x v="2"/>
    <x v="2"/>
    <x v="4"/>
    <x v="1"/>
    <x v="4"/>
    <x v="0"/>
    <x v="1"/>
    <x v="16"/>
    <x v="0"/>
    <x v="1"/>
    <x v="1"/>
    <x v="0"/>
    <x v="0"/>
    <x v="0"/>
  </r>
  <r>
    <x v="824"/>
    <x v="0"/>
    <x v="0"/>
    <x v="1"/>
    <x v="1"/>
    <x v="13"/>
    <x v="0"/>
    <x v="2"/>
    <x v="2"/>
    <x v="4"/>
    <x v="1"/>
    <x v="4"/>
    <x v="4"/>
    <x v="1"/>
    <x v="16"/>
    <x v="0"/>
    <x v="1"/>
    <x v="0"/>
    <x v="0"/>
    <x v="0"/>
    <x v="0"/>
  </r>
  <r>
    <x v="825"/>
    <x v="1"/>
    <x v="1"/>
    <x v="1"/>
    <x v="1"/>
    <x v="13"/>
    <x v="0"/>
    <x v="2"/>
    <x v="2"/>
    <x v="4"/>
    <x v="0"/>
    <x v="4"/>
    <x v="0"/>
    <x v="1"/>
    <x v="16"/>
    <x v="0"/>
    <x v="1"/>
    <x v="1"/>
    <x v="0"/>
    <x v="0"/>
    <x v="0"/>
  </r>
  <r>
    <x v="826"/>
    <x v="0"/>
    <x v="0"/>
    <x v="0"/>
    <x v="0"/>
    <x v="13"/>
    <x v="0"/>
    <x v="2"/>
    <x v="3"/>
    <x v="3"/>
    <x v="1"/>
    <x v="4"/>
    <x v="0"/>
    <x v="1"/>
    <x v="31"/>
    <x v="0"/>
    <x v="1"/>
    <x v="0"/>
    <x v="0"/>
    <x v="0"/>
    <x v="0"/>
  </r>
  <r>
    <x v="827"/>
    <x v="0"/>
    <x v="0"/>
    <x v="0"/>
    <x v="0"/>
    <x v="13"/>
    <x v="0"/>
    <x v="5"/>
    <x v="2"/>
    <x v="3"/>
    <x v="1"/>
    <x v="3"/>
    <x v="0"/>
    <x v="2"/>
    <x v="31"/>
    <x v="0"/>
    <x v="1"/>
    <x v="0"/>
    <x v="0"/>
    <x v="0"/>
    <x v="0"/>
  </r>
  <r>
    <x v="828"/>
    <x v="0"/>
    <x v="0"/>
    <x v="0"/>
    <x v="0"/>
    <x v="13"/>
    <x v="0"/>
    <x v="5"/>
    <x v="2"/>
    <x v="3"/>
    <x v="0"/>
    <x v="3"/>
    <x v="3"/>
    <x v="2"/>
    <x v="17"/>
    <x v="0"/>
    <x v="1"/>
    <x v="0"/>
    <x v="0"/>
    <x v="0"/>
    <x v="0"/>
  </r>
  <r>
    <x v="829"/>
    <x v="0"/>
    <x v="0"/>
    <x v="1"/>
    <x v="1"/>
    <x v="13"/>
    <x v="0"/>
    <x v="5"/>
    <x v="2"/>
    <x v="3"/>
    <x v="1"/>
    <x v="3"/>
    <x v="0"/>
    <x v="2"/>
    <x v="17"/>
    <x v="0"/>
    <x v="1"/>
    <x v="0"/>
    <x v="0"/>
    <x v="0"/>
    <x v="0"/>
  </r>
  <r>
    <x v="830"/>
    <x v="0"/>
    <x v="0"/>
    <x v="1"/>
    <x v="1"/>
    <x v="13"/>
    <x v="0"/>
    <x v="5"/>
    <x v="2"/>
    <x v="3"/>
    <x v="1"/>
    <x v="3"/>
    <x v="0"/>
    <x v="2"/>
    <x v="17"/>
    <x v="0"/>
    <x v="1"/>
    <x v="0"/>
    <x v="0"/>
    <x v="0"/>
    <x v="0"/>
  </r>
  <r>
    <x v="831"/>
    <x v="0"/>
    <x v="0"/>
    <x v="0"/>
    <x v="0"/>
    <x v="13"/>
    <x v="0"/>
    <x v="5"/>
    <x v="0"/>
    <x v="4"/>
    <x v="0"/>
    <x v="3"/>
    <x v="3"/>
    <x v="2"/>
    <x v="1"/>
    <x v="0"/>
    <x v="1"/>
    <x v="0"/>
    <x v="0"/>
    <x v="0"/>
    <x v="0"/>
  </r>
  <r>
    <x v="832"/>
    <x v="1"/>
    <x v="1"/>
    <x v="0"/>
    <x v="0"/>
    <x v="13"/>
    <x v="0"/>
    <x v="5"/>
    <x v="2"/>
    <x v="3"/>
    <x v="1"/>
    <x v="3"/>
    <x v="0"/>
    <x v="2"/>
    <x v="1"/>
    <x v="0"/>
    <x v="1"/>
    <x v="1"/>
    <x v="0"/>
    <x v="0"/>
    <x v="0"/>
  </r>
  <r>
    <x v="833"/>
    <x v="1"/>
    <x v="1"/>
    <x v="0"/>
    <x v="0"/>
    <x v="13"/>
    <x v="0"/>
    <x v="5"/>
    <x v="2"/>
    <x v="3"/>
    <x v="1"/>
    <x v="3"/>
    <x v="0"/>
    <x v="2"/>
    <x v="1"/>
    <x v="0"/>
    <x v="1"/>
    <x v="1"/>
    <x v="0"/>
    <x v="0"/>
    <x v="0"/>
  </r>
  <r>
    <x v="834"/>
    <x v="0"/>
    <x v="0"/>
    <x v="1"/>
    <x v="1"/>
    <x v="13"/>
    <x v="0"/>
    <x v="5"/>
    <x v="2"/>
    <x v="3"/>
    <x v="1"/>
    <x v="3"/>
    <x v="0"/>
    <x v="2"/>
    <x v="1"/>
    <x v="0"/>
    <x v="1"/>
    <x v="1"/>
    <x v="0"/>
    <x v="0"/>
    <x v="0"/>
  </r>
  <r>
    <x v="835"/>
    <x v="0"/>
    <x v="0"/>
    <x v="0"/>
    <x v="0"/>
    <x v="13"/>
    <x v="0"/>
    <x v="5"/>
    <x v="2"/>
    <x v="3"/>
    <x v="0"/>
    <x v="3"/>
    <x v="3"/>
    <x v="2"/>
    <x v="28"/>
    <x v="0"/>
    <x v="1"/>
    <x v="0"/>
    <x v="0"/>
    <x v="0"/>
    <x v="0"/>
  </r>
  <r>
    <x v="836"/>
    <x v="0"/>
    <x v="0"/>
    <x v="1"/>
    <x v="1"/>
    <x v="13"/>
    <x v="0"/>
    <x v="5"/>
    <x v="0"/>
    <x v="4"/>
    <x v="0"/>
    <x v="3"/>
    <x v="0"/>
    <x v="2"/>
    <x v="28"/>
    <x v="0"/>
    <x v="1"/>
    <x v="1"/>
    <x v="0"/>
    <x v="0"/>
    <x v="0"/>
  </r>
  <r>
    <x v="837"/>
    <x v="1"/>
    <x v="1"/>
    <x v="1"/>
    <x v="1"/>
    <x v="13"/>
    <x v="0"/>
    <x v="5"/>
    <x v="0"/>
    <x v="4"/>
    <x v="0"/>
    <x v="3"/>
    <x v="3"/>
    <x v="2"/>
    <x v="19"/>
    <x v="0"/>
    <x v="1"/>
    <x v="0"/>
    <x v="0"/>
    <x v="0"/>
    <x v="0"/>
  </r>
  <r>
    <x v="838"/>
    <x v="1"/>
    <x v="1"/>
    <x v="0"/>
    <x v="0"/>
    <x v="13"/>
    <x v="0"/>
    <x v="3"/>
    <x v="0"/>
    <x v="4"/>
    <x v="0"/>
    <x v="3"/>
    <x v="0"/>
    <x v="2"/>
    <x v="41"/>
    <x v="0"/>
    <x v="1"/>
    <x v="0"/>
    <x v="0"/>
    <x v="0"/>
    <x v="0"/>
  </r>
  <r>
    <x v="839"/>
    <x v="1"/>
    <x v="1"/>
    <x v="0"/>
    <x v="0"/>
    <x v="13"/>
    <x v="0"/>
    <x v="3"/>
    <x v="0"/>
    <x v="4"/>
    <x v="0"/>
    <x v="3"/>
    <x v="0"/>
    <x v="2"/>
    <x v="41"/>
    <x v="0"/>
    <x v="1"/>
    <x v="0"/>
    <x v="0"/>
    <x v="0"/>
    <x v="0"/>
  </r>
  <r>
    <x v="840"/>
    <x v="1"/>
    <x v="1"/>
    <x v="1"/>
    <x v="1"/>
    <x v="13"/>
    <x v="0"/>
    <x v="1"/>
    <x v="4"/>
    <x v="3"/>
    <x v="1"/>
    <x v="0"/>
    <x v="2"/>
    <x v="1"/>
    <x v="41"/>
    <x v="0"/>
    <x v="1"/>
    <x v="0"/>
    <x v="0"/>
    <x v="0"/>
    <x v="0"/>
  </r>
  <r>
    <x v="841"/>
    <x v="1"/>
    <x v="1"/>
    <x v="1"/>
    <x v="1"/>
    <x v="13"/>
    <x v="0"/>
    <x v="2"/>
    <x v="3"/>
    <x v="4"/>
    <x v="1"/>
    <x v="1"/>
    <x v="1"/>
    <x v="0"/>
    <x v="29"/>
    <x v="0"/>
    <x v="1"/>
    <x v="0"/>
    <x v="0"/>
    <x v="0"/>
    <x v="0"/>
  </r>
  <r>
    <x v="842"/>
    <x v="1"/>
    <x v="1"/>
    <x v="1"/>
    <x v="1"/>
    <x v="13"/>
    <x v="0"/>
    <x v="2"/>
    <x v="3"/>
    <x v="4"/>
    <x v="1"/>
    <x v="1"/>
    <x v="1"/>
    <x v="0"/>
    <x v="37"/>
    <x v="0"/>
    <x v="1"/>
    <x v="1"/>
    <x v="0"/>
    <x v="0"/>
    <x v="0"/>
  </r>
  <r>
    <x v="843"/>
    <x v="0"/>
    <x v="0"/>
    <x v="0"/>
    <x v="0"/>
    <x v="13"/>
    <x v="0"/>
    <x v="2"/>
    <x v="3"/>
    <x v="4"/>
    <x v="1"/>
    <x v="1"/>
    <x v="1"/>
    <x v="0"/>
    <x v="30"/>
    <x v="0"/>
    <x v="1"/>
    <x v="1"/>
    <x v="0"/>
    <x v="0"/>
    <x v="0"/>
  </r>
  <r>
    <x v="844"/>
    <x v="0"/>
    <x v="0"/>
    <x v="0"/>
    <x v="0"/>
    <x v="13"/>
    <x v="0"/>
    <x v="2"/>
    <x v="3"/>
    <x v="4"/>
    <x v="1"/>
    <x v="1"/>
    <x v="1"/>
    <x v="0"/>
    <x v="33"/>
    <x v="0"/>
    <x v="1"/>
    <x v="1"/>
    <x v="0"/>
    <x v="0"/>
    <x v="0"/>
  </r>
  <r>
    <x v="845"/>
    <x v="0"/>
    <x v="0"/>
    <x v="1"/>
    <x v="1"/>
    <x v="13"/>
    <x v="0"/>
    <x v="2"/>
    <x v="3"/>
    <x v="4"/>
    <x v="1"/>
    <x v="1"/>
    <x v="1"/>
    <x v="0"/>
    <x v="33"/>
    <x v="0"/>
    <x v="1"/>
    <x v="0"/>
    <x v="0"/>
    <x v="0"/>
    <x v="0"/>
  </r>
  <r>
    <x v="846"/>
    <x v="0"/>
    <x v="0"/>
    <x v="0"/>
    <x v="0"/>
    <x v="13"/>
    <x v="0"/>
    <x v="3"/>
    <x v="0"/>
    <x v="4"/>
    <x v="0"/>
    <x v="3"/>
    <x v="1"/>
    <x v="2"/>
    <x v="21"/>
    <x v="0"/>
    <x v="1"/>
    <x v="1"/>
    <x v="0"/>
    <x v="0"/>
    <x v="0"/>
  </r>
  <r>
    <x v="847"/>
    <x v="1"/>
    <x v="1"/>
    <x v="0"/>
    <x v="0"/>
    <x v="13"/>
    <x v="0"/>
    <x v="3"/>
    <x v="0"/>
    <x v="4"/>
    <x v="0"/>
    <x v="3"/>
    <x v="0"/>
    <x v="2"/>
    <x v="21"/>
    <x v="0"/>
    <x v="1"/>
    <x v="1"/>
    <x v="0"/>
    <x v="0"/>
    <x v="0"/>
  </r>
  <r>
    <x v="848"/>
    <x v="1"/>
    <x v="1"/>
    <x v="0"/>
    <x v="0"/>
    <x v="13"/>
    <x v="0"/>
    <x v="3"/>
    <x v="0"/>
    <x v="4"/>
    <x v="0"/>
    <x v="3"/>
    <x v="0"/>
    <x v="2"/>
    <x v="21"/>
    <x v="0"/>
    <x v="1"/>
    <x v="1"/>
    <x v="0"/>
    <x v="0"/>
    <x v="0"/>
  </r>
  <r>
    <x v="849"/>
    <x v="1"/>
    <x v="1"/>
    <x v="1"/>
    <x v="1"/>
    <x v="13"/>
    <x v="0"/>
    <x v="3"/>
    <x v="0"/>
    <x v="4"/>
    <x v="1"/>
    <x v="3"/>
    <x v="0"/>
    <x v="2"/>
    <x v="42"/>
    <x v="0"/>
    <x v="1"/>
    <x v="1"/>
    <x v="0"/>
    <x v="0"/>
    <x v="0"/>
  </r>
  <r>
    <x v="850"/>
    <x v="0"/>
    <x v="0"/>
    <x v="0"/>
    <x v="0"/>
    <x v="13"/>
    <x v="0"/>
    <x v="3"/>
    <x v="0"/>
    <x v="4"/>
    <x v="0"/>
    <x v="3"/>
    <x v="0"/>
    <x v="2"/>
    <x v="22"/>
    <x v="0"/>
    <x v="1"/>
    <x v="1"/>
    <x v="0"/>
    <x v="0"/>
    <x v="0"/>
  </r>
  <r>
    <x v="851"/>
    <x v="0"/>
    <x v="0"/>
    <x v="0"/>
    <x v="0"/>
    <x v="13"/>
    <x v="0"/>
    <x v="3"/>
    <x v="0"/>
    <x v="4"/>
    <x v="0"/>
    <x v="3"/>
    <x v="1"/>
    <x v="2"/>
    <x v="22"/>
    <x v="0"/>
    <x v="1"/>
    <x v="1"/>
    <x v="0"/>
    <x v="0"/>
    <x v="0"/>
  </r>
  <r>
    <x v="852"/>
    <x v="0"/>
    <x v="0"/>
    <x v="0"/>
    <x v="0"/>
    <x v="13"/>
    <x v="0"/>
    <x v="3"/>
    <x v="0"/>
    <x v="4"/>
    <x v="1"/>
    <x v="3"/>
    <x v="0"/>
    <x v="2"/>
    <x v="22"/>
    <x v="0"/>
    <x v="1"/>
    <x v="1"/>
    <x v="0"/>
    <x v="0"/>
    <x v="0"/>
  </r>
  <r>
    <x v="853"/>
    <x v="1"/>
    <x v="1"/>
    <x v="0"/>
    <x v="0"/>
    <x v="14"/>
    <x v="0"/>
    <x v="4"/>
    <x v="4"/>
    <x v="2"/>
    <x v="0"/>
    <x v="3"/>
    <x v="1"/>
    <x v="0"/>
    <x v="48"/>
    <x v="0"/>
    <x v="2"/>
    <x v="1"/>
    <x v="0"/>
    <x v="0"/>
    <x v="0"/>
  </r>
  <r>
    <x v="854"/>
    <x v="1"/>
    <x v="1"/>
    <x v="1"/>
    <x v="1"/>
    <x v="14"/>
    <x v="0"/>
    <x v="4"/>
    <x v="3"/>
    <x v="4"/>
    <x v="1"/>
    <x v="1"/>
    <x v="1"/>
    <x v="2"/>
    <x v="48"/>
    <x v="0"/>
    <x v="2"/>
    <x v="0"/>
    <x v="0"/>
    <x v="0"/>
    <x v="0"/>
  </r>
  <r>
    <x v="855"/>
    <x v="0"/>
    <x v="0"/>
    <x v="0"/>
    <x v="0"/>
    <x v="14"/>
    <x v="0"/>
    <x v="4"/>
    <x v="3"/>
    <x v="4"/>
    <x v="0"/>
    <x v="1"/>
    <x v="1"/>
    <x v="2"/>
    <x v="49"/>
    <x v="0"/>
    <x v="2"/>
    <x v="0"/>
    <x v="0"/>
    <x v="0"/>
    <x v="0"/>
  </r>
  <r>
    <x v="856"/>
    <x v="1"/>
    <x v="1"/>
    <x v="0"/>
    <x v="0"/>
    <x v="14"/>
    <x v="0"/>
    <x v="4"/>
    <x v="4"/>
    <x v="2"/>
    <x v="0"/>
    <x v="3"/>
    <x v="3"/>
    <x v="0"/>
    <x v="49"/>
    <x v="0"/>
    <x v="2"/>
    <x v="1"/>
    <x v="0"/>
    <x v="0"/>
    <x v="0"/>
  </r>
  <r>
    <x v="857"/>
    <x v="1"/>
    <x v="1"/>
    <x v="0"/>
    <x v="0"/>
    <x v="14"/>
    <x v="0"/>
    <x v="4"/>
    <x v="4"/>
    <x v="2"/>
    <x v="1"/>
    <x v="3"/>
    <x v="3"/>
    <x v="0"/>
    <x v="49"/>
    <x v="0"/>
    <x v="2"/>
    <x v="0"/>
    <x v="0"/>
    <x v="0"/>
    <x v="0"/>
  </r>
  <r>
    <x v="858"/>
    <x v="0"/>
    <x v="0"/>
    <x v="1"/>
    <x v="1"/>
    <x v="14"/>
    <x v="0"/>
    <x v="4"/>
    <x v="3"/>
    <x v="4"/>
    <x v="1"/>
    <x v="1"/>
    <x v="1"/>
    <x v="2"/>
    <x v="49"/>
    <x v="0"/>
    <x v="2"/>
    <x v="0"/>
    <x v="0"/>
    <x v="0"/>
    <x v="0"/>
  </r>
  <r>
    <x v="859"/>
    <x v="1"/>
    <x v="1"/>
    <x v="0"/>
    <x v="0"/>
    <x v="14"/>
    <x v="0"/>
    <x v="1"/>
    <x v="2"/>
    <x v="2"/>
    <x v="1"/>
    <x v="3"/>
    <x v="1"/>
    <x v="0"/>
    <x v="45"/>
    <x v="0"/>
    <x v="2"/>
    <x v="1"/>
    <x v="0"/>
    <x v="0"/>
    <x v="0"/>
  </r>
  <r>
    <x v="860"/>
    <x v="0"/>
    <x v="0"/>
    <x v="1"/>
    <x v="1"/>
    <x v="14"/>
    <x v="0"/>
    <x v="4"/>
    <x v="3"/>
    <x v="4"/>
    <x v="1"/>
    <x v="1"/>
    <x v="1"/>
    <x v="2"/>
    <x v="45"/>
    <x v="0"/>
    <x v="2"/>
    <x v="0"/>
    <x v="0"/>
    <x v="0"/>
    <x v="0"/>
  </r>
  <r>
    <x v="861"/>
    <x v="1"/>
    <x v="1"/>
    <x v="0"/>
    <x v="0"/>
    <x v="14"/>
    <x v="0"/>
    <x v="4"/>
    <x v="2"/>
    <x v="2"/>
    <x v="0"/>
    <x v="4"/>
    <x v="3"/>
    <x v="0"/>
    <x v="50"/>
    <x v="0"/>
    <x v="2"/>
    <x v="1"/>
    <x v="0"/>
    <x v="0"/>
    <x v="0"/>
  </r>
  <r>
    <x v="862"/>
    <x v="1"/>
    <x v="1"/>
    <x v="1"/>
    <x v="1"/>
    <x v="14"/>
    <x v="0"/>
    <x v="4"/>
    <x v="2"/>
    <x v="2"/>
    <x v="0"/>
    <x v="4"/>
    <x v="4"/>
    <x v="0"/>
    <x v="50"/>
    <x v="0"/>
    <x v="2"/>
    <x v="1"/>
    <x v="0"/>
    <x v="0"/>
    <x v="0"/>
  </r>
  <r>
    <x v="863"/>
    <x v="1"/>
    <x v="1"/>
    <x v="1"/>
    <x v="1"/>
    <x v="14"/>
    <x v="0"/>
    <x v="4"/>
    <x v="0"/>
    <x v="2"/>
    <x v="0"/>
    <x v="1"/>
    <x v="1"/>
    <x v="2"/>
    <x v="50"/>
    <x v="0"/>
    <x v="2"/>
    <x v="0"/>
    <x v="0"/>
    <x v="0"/>
    <x v="0"/>
  </r>
  <r>
    <x v="864"/>
    <x v="1"/>
    <x v="1"/>
    <x v="1"/>
    <x v="1"/>
    <x v="14"/>
    <x v="0"/>
    <x v="4"/>
    <x v="0"/>
    <x v="2"/>
    <x v="1"/>
    <x v="1"/>
    <x v="1"/>
    <x v="2"/>
    <x v="50"/>
    <x v="0"/>
    <x v="2"/>
    <x v="0"/>
    <x v="0"/>
    <x v="0"/>
    <x v="0"/>
  </r>
  <r>
    <x v="865"/>
    <x v="1"/>
    <x v="1"/>
    <x v="0"/>
    <x v="0"/>
    <x v="14"/>
    <x v="0"/>
    <x v="4"/>
    <x v="0"/>
    <x v="2"/>
    <x v="1"/>
    <x v="1"/>
    <x v="1"/>
    <x v="2"/>
    <x v="38"/>
    <x v="0"/>
    <x v="2"/>
    <x v="0"/>
    <x v="0"/>
    <x v="0"/>
    <x v="0"/>
  </r>
  <r>
    <x v="866"/>
    <x v="1"/>
    <x v="1"/>
    <x v="0"/>
    <x v="0"/>
    <x v="14"/>
    <x v="0"/>
    <x v="4"/>
    <x v="2"/>
    <x v="2"/>
    <x v="0"/>
    <x v="4"/>
    <x v="4"/>
    <x v="0"/>
    <x v="38"/>
    <x v="0"/>
    <x v="2"/>
    <x v="1"/>
    <x v="0"/>
    <x v="0"/>
    <x v="0"/>
  </r>
  <r>
    <x v="867"/>
    <x v="1"/>
    <x v="1"/>
    <x v="1"/>
    <x v="1"/>
    <x v="14"/>
    <x v="0"/>
    <x v="4"/>
    <x v="2"/>
    <x v="2"/>
    <x v="0"/>
    <x v="4"/>
    <x v="4"/>
    <x v="0"/>
    <x v="38"/>
    <x v="0"/>
    <x v="2"/>
    <x v="1"/>
    <x v="0"/>
    <x v="0"/>
    <x v="0"/>
  </r>
  <r>
    <x v="868"/>
    <x v="1"/>
    <x v="1"/>
    <x v="0"/>
    <x v="0"/>
    <x v="14"/>
    <x v="0"/>
    <x v="4"/>
    <x v="2"/>
    <x v="2"/>
    <x v="0"/>
    <x v="4"/>
    <x v="4"/>
    <x v="0"/>
    <x v="39"/>
    <x v="0"/>
    <x v="0"/>
    <x v="1"/>
    <x v="0"/>
    <x v="0"/>
    <x v="0"/>
  </r>
  <r>
    <x v="869"/>
    <x v="1"/>
    <x v="1"/>
    <x v="1"/>
    <x v="1"/>
    <x v="14"/>
    <x v="0"/>
    <x v="4"/>
    <x v="2"/>
    <x v="2"/>
    <x v="0"/>
    <x v="4"/>
    <x v="4"/>
    <x v="0"/>
    <x v="39"/>
    <x v="0"/>
    <x v="0"/>
    <x v="1"/>
    <x v="0"/>
    <x v="0"/>
    <x v="0"/>
  </r>
  <r>
    <x v="870"/>
    <x v="1"/>
    <x v="1"/>
    <x v="0"/>
    <x v="0"/>
    <x v="14"/>
    <x v="0"/>
    <x v="4"/>
    <x v="2"/>
    <x v="2"/>
    <x v="0"/>
    <x v="4"/>
    <x v="0"/>
    <x v="0"/>
    <x v="8"/>
    <x v="0"/>
    <x v="0"/>
    <x v="1"/>
    <x v="0"/>
    <x v="0"/>
    <x v="0"/>
  </r>
  <r>
    <x v="871"/>
    <x v="1"/>
    <x v="1"/>
    <x v="1"/>
    <x v="1"/>
    <x v="14"/>
    <x v="0"/>
    <x v="4"/>
    <x v="4"/>
    <x v="2"/>
    <x v="1"/>
    <x v="3"/>
    <x v="3"/>
    <x v="0"/>
    <x v="8"/>
    <x v="0"/>
    <x v="0"/>
    <x v="0"/>
    <x v="0"/>
    <x v="0"/>
    <x v="0"/>
  </r>
  <r>
    <x v="872"/>
    <x v="1"/>
    <x v="1"/>
    <x v="0"/>
    <x v="0"/>
    <x v="14"/>
    <x v="0"/>
    <x v="4"/>
    <x v="4"/>
    <x v="2"/>
    <x v="0"/>
    <x v="3"/>
    <x v="1"/>
    <x v="0"/>
    <x v="23"/>
    <x v="0"/>
    <x v="0"/>
    <x v="0"/>
    <x v="0"/>
    <x v="0"/>
    <x v="0"/>
  </r>
  <r>
    <x v="873"/>
    <x v="1"/>
    <x v="1"/>
    <x v="0"/>
    <x v="0"/>
    <x v="14"/>
    <x v="0"/>
    <x v="4"/>
    <x v="4"/>
    <x v="2"/>
    <x v="0"/>
    <x v="3"/>
    <x v="3"/>
    <x v="0"/>
    <x v="23"/>
    <x v="0"/>
    <x v="0"/>
    <x v="1"/>
    <x v="0"/>
    <x v="0"/>
    <x v="0"/>
  </r>
  <r>
    <x v="874"/>
    <x v="0"/>
    <x v="0"/>
    <x v="1"/>
    <x v="1"/>
    <x v="14"/>
    <x v="0"/>
    <x v="4"/>
    <x v="4"/>
    <x v="2"/>
    <x v="1"/>
    <x v="3"/>
    <x v="1"/>
    <x v="0"/>
    <x v="23"/>
    <x v="0"/>
    <x v="0"/>
    <x v="1"/>
    <x v="0"/>
    <x v="0"/>
    <x v="0"/>
  </r>
  <r>
    <x v="875"/>
    <x v="1"/>
    <x v="1"/>
    <x v="0"/>
    <x v="0"/>
    <x v="14"/>
    <x v="0"/>
    <x v="4"/>
    <x v="4"/>
    <x v="2"/>
    <x v="0"/>
    <x v="3"/>
    <x v="3"/>
    <x v="0"/>
    <x v="24"/>
    <x v="0"/>
    <x v="0"/>
    <x v="0"/>
    <x v="0"/>
    <x v="0"/>
    <x v="0"/>
  </r>
  <r>
    <x v="876"/>
    <x v="1"/>
    <x v="1"/>
    <x v="1"/>
    <x v="1"/>
    <x v="14"/>
    <x v="0"/>
    <x v="4"/>
    <x v="4"/>
    <x v="2"/>
    <x v="0"/>
    <x v="3"/>
    <x v="1"/>
    <x v="0"/>
    <x v="24"/>
    <x v="0"/>
    <x v="0"/>
    <x v="1"/>
    <x v="0"/>
    <x v="0"/>
    <x v="0"/>
  </r>
  <r>
    <x v="877"/>
    <x v="1"/>
    <x v="1"/>
    <x v="0"/>
    <x v="0"/>
    <x v="14"/>
    <x v="0"/>
    <x v="4"/>
    <x v="4"/>
    <x v="2"/>
    <x v="0"/>
    <x v="3"/>
    <x v="3"/>
    <x v="0"/>
    <x v="32"/>
    <x v="0"/>
    <x v="0"/>
    <x v="0"/>
    <x v="0"/>
    <x v="0"/>
    <x v="0"/>
  </r>
  <r>
    <x v="878"/>
    <x v="0"/>
    <x v="0"/>
    <x v="1"/>
    <x v="1"/>
    <x v="14"/>
    <x v="0"/>
    <x v="2"/>
    <x v="0"/>
    <x v="2"/>
    <x v="1"/>
    <x v="1"/>
    <x v="3"/>
    <x v="0"/>
    <x v="32"/>
    <x v="0"/>
    <x v="0"/>
    <x v="1"/>
    <x v="0"/>
    <x v="0"/>
    <x v="0"/>
  </r>
  <r>
    <x v="879"/>
    <x v="1"/>
    <x v="1"/>
    <x v="0"/>
    <x v="0"/>
    <x v="14"/>
    <x v="0"/>
    <x v="4"/>
    <x v="0"/>
    <x v="2"/>
    <x v="0"/>
    <x v="4"/>
    <x v="4"/>
    <x v="0"/>
    <x v="9"/>
    <x v="0"/>
    <x v="0"/>
    <x v="0"/>
    <x v="0"/>
    <x v="0"/>
    <x v="0"/>
  </r>
  <r>
    <x v="880"/>
    <x v="1"/>
    <x v="1"/>
    <x v="1"/>
    <x v="1"/>
    <x v="14"/>
    <x v="0"/>
    <x v="4"/>
    <x v="0"/>
    <x v="2"/>
    <x v="0"/>
    <x v="4"/>
    <x v="4"/>
    <x v="0"/>
    <x v="9"/>
    <x v="0"/>
    <x v="0"/>
    <x v="0"/>
    <x v="0"/>
    <x v="0"/>
    <x v="0"/>
  </r>
  <r>
    <x v="881"/>
    <x v="1"/>
    <x v="1"/>
    <x v="1"/>
    <x v="1"/>
    <x v="14"/>
    <x v="0"/>
    <x v="2"/>
    <x v="0"/>
    <x v="2"/>
    <x v="0"/>
    <x v="1"/>
    <x v="1"/>
    <x v="0"/>
    <x v="5"/>
    <x v="0"/>
    <x v="0"/>
    <x v="1"/>
    <x v="0"/>
    <x v="0"/>
    <x v="0"/>
  </r>
  <r>
    <x v="882"/>
    <x v="0"/>
    <x v="0"/>
    <x v="0"/>
    <x v="0"/>
    <x v="14"/>
    <x v="0"/>
    <x v="3"/>
    <x v="2"/>
    <x v="2"/>
    <x v="1"/>
    <x v="1"/>
    <x v="1"/>
    <x v="0"/>
    <x v="11"/>
    <x v="0"/>
    <x v="0"/>
    <x v="0"/>
    <x v="0"/>
    <x v="0"/>
    <x v="0"/>
  </r>
  <r>
    <x v="883"/>
    <x v="1"/>
    <x v="1"/>
    <x v="0"/>
    <x v="0"/>
    <x v="14"/>
    <x v="0"/>
    <x v="4"/>
    <x v="2"/>
    <x v="2"/>
    <x v="1"/>
    <x v="1"/>
    <x v="1"/>
    <x v="0"/>
    <x v="11"/>
    <x v="0"/>
    <x v="0"/>
    <x v="0"/>
    <x v="0"/>
    <x v="0"/>
    <x v="0"/>
  </r>
  <r>
    <x v="884"/>
    <x v="0"/>
    <x v="0"/>
    <x v="1"/>
    <x v="1"/>
    <x v="14"/>
    <x v="0"/>
    <x v="2"/>
    <x v="2"/>
    <x v="2"/>
    <x v="0"/>
    <x v="4"/>
    <x v="3"/>
    <x v="0"/>
    <x v="11"/>
    <x v="0"/>
    <x v="0"/>
    <x v="0"/>
    <x v="0"/>
    <x v="0"/>
    <x v="0"/>
  </r>
  <r>
    <x v="885"/>
    <x v="1"/>
    <x v="1"/>
    <x v="1"/>
    <x v="1"/>
    <x v="14"/>
    <x v="0"/>
    <x v="3"/>
    <x v="2"/>
    <x v="2"/>
    <x v="1"/>
    <x v="4"/>
    <x v="1"/>
    <x v="0"/>
    <x v="11"/>
    <x v="0"/>
    <x v="0"/>
    <x v="1"/>
    <x v="0"/>
    <x v="0"/>
    <x v="0"/>
  </r>
  <r>
    <x v="886"/>
    <x v="0"/>
    <x v="0"/>
    <x v="0"/>
    <x v="0"/>
    <x v="14"/>
    <x v="0"/>
    <x v="5"/>
    <x v="2"/>
    <x v="2"/>
    <x v="1"/>
    <x v="1"/>
    <x v="1"/>
    <x v="0"/>
    <x v="12"/>
    <x v="0"/>
    <x v="0"/>
    <x v="0"/>
    <x v="0"/>
    <x v="0"/>
    <x v="0"/>
  </r>
  <r>
    <x v="887"/>
    <x v="1"/>
    <x v="1"/>
    <x v="0"/>
    <x v="0"/>
    <x v="14"/>
    <x v="0"/>
    <x v="5"/>
    <x v="2"/>
    <x v="2"/>
    <x v="1"/>
    <x v="4"/>
    <x v="1"/>
    <x v="0"/>
    <x v="13"/>
    <x v="0"/>
    <x v="0"/>
    <x v="0"/>
    <x v="0"/>
    <x v="0"/>
    <x v="0"/>
  </r>
  <r>
    <x v="888"/>
    <x v="0"/>
    <x v="0"/>
    <x v="1"/>
    <x v="1"/>
    <x v="14"/>
    <x v="0"/>
    <x v="3"/>
    <x v="2"/>
    <x v="2"/>
    <x v="1"/>
    <x v="3"/>
    <x v="1"/>
    <x v="0"/>
    <x v="13"/>
    <x v="0"/>
    <x v="0"/>
    <x v="1"/>
    <x v="0"/>
    <x v="0"/>
    <x v="0"/>
  </r>
  <r>
    <x v="889"/>
    <x v="1"/>
    <x v="1"/>
    <x v="1"/>
    <x v="1"/>
    <x v="14"/>
    <x v="0"/>
    <x v="3"/>
    <x v="2"/>
    <x v="2"/>
    <x v="1"/>
    <x v="3"/>
    <x v="1"/>
    <x v="0"/>
    <x v="13"/>
    <x v="0"/>
    <x v="0"/>
    <x v="1"/>
    <x v="0"/>
    <x v="0"/>
    <x v="0"/>
  </r>
  <r>
    <x v="890"/>
    <x v="0"/>
    <x v="0"/>
    <x v="0"/>
    <x v="0"/>
    <x v="14"/>
    <x v="0"/>
    <x v="5"/>
    <x v="2"/>
    <x v="2"/>
    <x v="1"/>
    <x v="3"/>
    <x v="1"/>
    <x v="0"/>
    <x v="26"/>
    <x v="0"/>
    <x v="0"/>
    <x v="1"/>
    <x v="0"/>
    <x v="0"/>
    <x v="0"/>
  </r>
  <r>
    <x v="891"/>
    <x v="1"/>
    <x v="1"/>
    <x v="0"/>
    <x v="0"/>
    <x v="14"/>
    <x v="0"/>
    <x v="0"/>
    <x v="2"/>
    <x v="2"/>
    <x v="1"/>
    <x v="4"/>
    <x v="1"/>
    <x v="0"/>
    <x v="26"/>
    <x v="0"/>
    <x v="0"/>
    <x v="0"/>
    <x v="0"/>
    <x v="0"/>
    <x v="0"/>
  </r>
  <r>
    <x v="892"/>
    <x v="0"/>
    <x v="0"/>
    <x v="1"/>
    <x v="1"/>
    <x v="14"/>
    <x v="0"/>
    <x v="2"/>
    <x v="1"/>
    <x v="4"/>
    <x v="1"/>
    <x v="1"/>
    <x v="1"/>
    <x v="0"/>
    <x v="26"/>
    <x v="0"/>
    <x v="0"/>
    <x v="1"/>
    <x v="0"/>
    <x v="0"/>
    <x v="0"/>
  </r>
  <r>
    <x v="893"/>
    <x v="0"/>
    <x v="0"/>
    <x v="1"/>
    <x v="1"/>
    <x v="14"/>
    <x v="0"/>
    <x v="2"/>
    <x v="1"/>
    <x v="4"/>
    <x v="1"/>
    <x v="1"/>
    <x v="1"/>
    <x v="0"/>
    <x v="6"/>
    <x v="0"/>
    <x v="0"/>
    <x v="1"/>
    <x v="0"/>
    <x v="0"/>
    <x v="0"/>
  </r>
  <r>
    <x v="894"/>
    <x v="0"/>
    <x v="0"/>
    <x v="0"/>
    <x v="0"/>
    <x v="14"/>
    <x v="0"/>
    <x v="2"/>
    <x v="1"/>
    <x v="4"/>
    <x v="1"/>
    <x v="1"/>
    <x v="1"/>
    <x v="0"/>
    <x v="14"/>
    <x v="0"/>
    <x v="0"/>
    <x v="1"/>
    <x v="0"/>
    <x v="0"/>
    <x v="0"/>
  </r>
  <r>
    <x v="895"/>
    <x v="0"/>
    <x v="0"/>
    <x v="0"/>
    <x v="0"/>
    <x v="14"/>
    <x v="0"/>
    <x v="3"/>
    <x v="0"/>
    <x v="2"/>
    <x v="1"/>
    <x v="4"/>
    <x v="1"/>
    <x v="0"/>
    <x v="27"/>
    <x v="0"/>
    <x v="0"/>
    <x v="0"/>
    <x v="0"/>
    <x v="0"/>
    <x v="0"/>
  </r>
  <r>
    <x v="896"/>
    <x v="0"/>
    <x v="0"/>
    <x v="0"/>
    <x v="0"/>
    <x v="14"/>
    <x v="0"/>
    <x v="3"/>
    <x v="0"/>
    <x v="2"/>
    <x v="1"/>
    <x v="4"/>
    <x v="4"/>
    <x v="0"/>
    <x v="4"/>
    <x v="0"/>
    <x v="0"/>
    <x v="0"/>
    <x v="0"/>
    <x v="0"/>
    <x v="0"/>
  </r>
  <r>
    <x v="897"/>
    <x v="0"/>
    <x v="0"/>
    <x v="0"/>
    <x v="0"/>
    <x v="14"/>
    <x v="0"/>
    <x v="3"/>
    <x v="4"/>
    <x v="4"/>
    <x v="0"/>
    <x v="1"/>
    <x v="1"/>
    <x v="1"/>
    <x v="0"/>
    <x v="0"/>
    <x v="0"/>
    <x v="1"/>
    <x v="0"/>
    <x v="0"/>
    <x v="0"/>
  </r>
  <r>
    <x v="898"/>
    <x v="0"/>
    <x v="0"/>
    <x v="0"/>
    <x v="0"/>
    <x v="14"/>
    <x v="0"/>
    <x v="3"/>
    <x v="4"/>
    <x v="4"/>
    <x v="1"/>
    <x v="3"/>
    <x v="1"/>
    <x v="1"/>
    <x v="36"/>
    <x v="0"/>
    <x v="0"/>
    <x v="1"/>
    <x v="0"/>
    <x v="0"/>
    <x v="0"/>
  </r>
  <r>
    <x v="899"/>
    <x v="1"/>
    <x v="1"/>
    <x v="0"/>
    <x v="0"/>
    <x v="14"/>
    <x v="0"/>
    <x v="5"/>
    <x v="4"/>
    <x v="4"/>
    <x v="0"/>
    <x v="3"/>
    <x v="1"/>
    <x v="1"/>
    <x v="36"/>
    <x v="0"/>
    <x v="0"/>
    <x v="1"/>
    <x v="0"/>
    <x v="0"/>
    <x v="0"/>
  </r>
  <r>
    <x v="900"/>
    <x v="1"/>
    <x v="1"/>
    <x v="0"/>
    <x v="0"/>
    <x v="14"/>
    <x v="0"/>
    <x v="3"/>
    <x v="4"/>
    <x v="4"/>
    <x v="1"/>
    <x v="3"/>
    <x v="3"/>
    <x v="1"/>
    <x v="36"/>
    <x v="0"/>
    <x v="0"/>
    <x v="1"/>
    <x v="0"/>
    <x v="0"/>
    <x v="0"/>
  </r>
  <r>
    <x v="901"/>
    <x v="0"/>
    <x v="0"/>
    <x v="1"/>
    <x v="1"/>
    <x v="14"/>
    <x v="0"/>
    <x v="3"/>
    <x v="4"/>
    <x v="4"/>
    <x v="1"/>
    <x v="3"/>
    <x v="3"/>
    <x v="1"/>
    <x v="36"/>
    <x v="0"/>
    <x v="0"/>
    <x v="1"/>
    <x v="0"/>
    <x v="0"/>
    <x v="0"/>
  </r>
  <r>
    <x v="902"/>
    <x v="0"/>
    <x v="0"/>
    <x v="0"/>
    <x v="0"/>
    <x v="14"/>
    <x v="0"/>
    <x v="2"/>
    <x v="3"/>
    <x v="4"/>
    <x v="1"/>
    <x v="1"/>
    <x v="1"/>
    <x v="0"/>
    <x v="15"/>
    <x v="0"/>
    <x v="0"/>
    <x v="0"/>
    <x v="0"/>
    <x v="0"/>
    <x v="0"/>
  </r>
  <r>
    <x v="903"/>
    <x v="1"/>
    <x v="1"/>
    <x v="0"/>
    <x v="0"/>
    <x v="14"/>
    <x v="0"/>
    <x v="5"/>
    <x v="4"/>
    <x v="4"/>
    <x v="1"/>
    <x v="3"/>
    <x v="3"/>
    <x v="1"/>
    <x v="15"/>
    <x v="0"/>
    <x v="0"/>
    <x v="1"/>
    <x v="0"/>
    <x v="0"/>
    <x v="0"/>
  </r>
  <r>
    <x v="904"/>
    <x v="1"/>
    <x v="1"/>
    <x v="1"/>
    <x v="1"/>
    <x v="14"/>
    <x v="0"/>
    <x v="5"/>
    <x v="4"/>
    <x v="4"/>
    <x v="0"/>
    <x v="3"/>
    <x v="1"/>
    <x v="1"/>
    <x v="15"/>
    <x v="0"/>
    <x v="0"/>
    <x v="1"/>
    <x v="0"/>
    <x v="0"/>
    <x v="0"/>
  </r>
  <r>
    <x v="905"/>
    <x v="1"/>
    <x v="1"/>
    <x v="1"/>
    <x v="1"/>
    <x v="14"/>
    <x v="0"/>
    <x v="2"/>
    <x v="3"/>
    <x v="4"/>
    <x v="0"/>
    <x v="1"/>
    <x v="1"/>
    <x v="0"/>
    <x v="7"/>
    <x v="0"/>
    <x v="1"/>
    <x v="1"/>
    <x v="0"/>
    <x v="0"/>
    <x v="0"/>
  </r>
  <r>
    <x v="906"/>
    <x v="0"/>
    <x v="0"/>
    <x v="1"/>
    <x v="1"/>
    <x v="14"/>
    <x v="0"/>
    <x v="5"/>
    <x v="4"/>
    <x v="4"/>
    <x v="0"/>
    <x v="3"/>
    <x v="1"/>
    <x v="1"/>
    <x v="16"/>
    <x v="0"/>
    <x v="1"/>
    <x v="1"/>
    <x v="0"/>
    <x v="0"/>
    <x v="0"/>
  </r>
  <r>
    <x v="907"/>
    <x v="0"/>
    <x v="0"/>
    <x v="0"/>
    <x v="0"/>
    <x v="14"/>
    <x v="0"/>
    <x v="3"/>
    <x v="2"/>
    <x v="2"/>
    <x v="0"/>
    <x v="3"/>
    <x v="3"/>
    <x v="1"/>
    <x v="31"/>
    <x v="0"/>
    <x v="1"/>
    <x v="0"/>
    <x v="0"/>
    <x v="0"/>
    <x v="0"/>
  </r>
  <r>
    <x v="908"/>
    <x v="1"/>
    <x v="1"/>
    <x v="0"/>
    <x v="0"/>
    <x v="14"/>
    <x v="0"/>
    <x v="3"/>
    <x v="0"/>
    <x v="2"/>
    <x v="0"/>
    <x v="4"/>
    <x v="1"/>
    <x v="0"/>
    <x v="31"/>
    <x v="0"/>
    <x v="1"/>
    <x v="0"/>
    <x v="0"/>
    <x v="0"/>
    <x v="0"/>
  </r>
  <r>
    <x v="909"/>
    <x v="0"/>
    <x v="0"/>
    <x v="1"/>
    <x v="1"/>
    <x v="14"/>
    <x v="0"/>
    <x v="3"/>
    <x v="2"/>
    <x v="2"/>
    <x v="0"/>
    <x v="3"/>
    <x v="1"/>
    <x v="1"/>
    <x v="31"/>
    <x v="0"/>
    <x v="1"/>
    <x v="1"/>
    <x v="0"/>
    <x v="0"/>
    <x v="0"/>
  </r>
  <r>
    <x v="910"/>
    <x v="1"/>
    <x v="1"/>
    <x v="0"/>
    <x v="0"/>
    <x v="14"/>
    <x v="0"/>
    <x v="3"/>
    <x v="0"/>
    <x v="2"/>
    <x v="0"/>
    <x v="4"/>
    <x v="1"/>
    <x v="0"/>
    <x v="17"/>
    <x v="0"/>
    <x v="1"/>
    <x v="0"/>
    <x v="0"/>
    <x v="0"/>
    <x v="0"/>
  </r>
  <r>
    <x v="911"/>
    <x v="0"/>
    <x v="0"/>
    <x v="1"/>
    <x v="1"/>
    <x v="14"/>
    <x v="0"/>
    <x v="3"/>
    <x v="4"/>
    <x v="4"/>
    <x v="1"/>
    <x v="0"/>
    <x v="0"/>
    <x v="2"/>
    <x v="17"/>
    <x v="0"/>
    <x v="1"/>
    <x v="1"/>
    <x v="0"/>
    <x v="0"/>
    <x v="0"/>
  </r>
  <r>
    <x v="912"/>
    <x v="0"/>
    <x v="0"/>
    <x v="0"/>
    <x v="0"/>
    <x v="14"/>
    <x v="0"/>
    <x v="3"/>
    <x v="4"/>
    <x v="4"/>
    <x v="1"/>
    <x v="3"/>
    <x v="0"/>
    <x v="2"/>
    <x v="1"/>
    <x v="0"/>
    <x v="1"/>
    <x v="0"/>
    <x v="0"/>
    <x v="0"/>
    <x v="0"/>
  </r>
  <r>
    <x v="913"/>
    <x v="1"/>
    <x v="1"/>
    <x v="1"/>
    <x v="1"/>
    <x v="14"/>
    <x v="0"/>
    <x v="3"/>
    <x v="4"/>
    <x v="4"/>
    <x v="1"/>
    <x v="3"/>
    <x v="0"/>
    <x v="2"/>
    <x v="1"/>
    <x v="0"/>
    <x v="1"/>
    <x v="0"/>
    <x v="0"/>
    <x v="0"/>
    <x v="0"/>
  </r>
  <r>
    <x v="914"/>
    <x v="1"/>
    <x v="1"/>
    <x v="1"/>
    <x v="1"/>
    <x v="14"/>
    <x v="0"/>
    <x v="3"/>
    <x v="4"/>
    <x v="4"/>
    <x v="1"/>
    <x v="3"/>
    <x v="0"/>
    <x v="2"/>
    <x v="40"/>
    <x v="0"/>
    <x v="1"/>
    <x v="1"/>
    <x v="0"/>
    <x v="0"/>
    <x v="0"/>
  </r>
  <r>
    <x v="915"/>
    <x v="0"/>
    <x v="0"/>
    <x v="1"/>
    <x v="1"/>
    <x v="14"/>
    <x v="0"/>
    <x v="3"/>
    <x v="4"/>
    <x v="4"/>
    <x v="1"/>
    <x v="3"/>
    <x v="0"/>
    <x v="2"/>
    <x v="18"/>
    <x v="0"/>
    <x v="1"/>
    <x v="1"/>
    <x v="0"/>
    <x v="0"/>
    <x v="0"/>
  </r>
  <r>
    <x v="916"/>
    <x v="0"/>
    <x v="0"/>
    <x v="1"/>
    <x v="1"/>
    <x v="14"/>
    <x v="0"/>
    <x v="0"/>
    <x v="2"/>
    <x v="3"/>
    <x v="1"/>
    <x v="3"/>
    <x v="0"/>
    <x v="2"/>
    <x v="18"/>
    <x v="0"/>
    <x v="1"/>
    <x v="0"/>
    <x v="0"/>
    <x v="0"/>
    <x v="0"/>
  </r>
  <r>
    <x v="917"/>
    <x v="0"/>
    <x v="0"/>
    <x v="1"/>
    <x v="1"/>
    <x v="14"/>
    <x v="0"/>
    <x v="0"/>
    <x v="2"/>
    <x v="3"/>
    <x v="1"/>
    <x v="3"/>
    <x v="0"/>
    <x v="2"/>
    <x v="41"/>
    <x v="0"/>
    <x v="1"/>
    <x v="1"/>
    <x v="0"/>
    <x v="0"/>
    <x v="0"/>
  </r>
  <r>
    <x v="918"/>
    <x v="0"/>
    <x v="0"/>
    <x v="1"/>
    <x v="1"/>
    <x v="14"/>
    <x v="0"/>
    <x v="0"/>
    <x v="2"/>
    <x v="3"/>
    <x v="0"/>
    <x v="3"/>
    <x v="3"/>
    <x v="2"/>
    <x v="41"/>
    <x v="0"/>
    <x v="1"/>
    <x v="1"/>
    <x v="0"/>
    <x v="0"/>
    <x v="0"/>
  </r>
  <r>
    <x v="919"/>
    <x v="0"/>
    <x v="0"/>
    <x v="0"/>
    <x v="0"/>
    <x v="14"/>
    <x v="0"/>
    <x v="5"/>
    <x v="2"/>
    <x v="3"/>
    <x v="0"/>
    <x v="3"/>
    <x v="3"/>
    <x v="2"/>
    <x v="29"/>
    <x v="0"/>
    <x v="1"/>
    <x v="1"/>
    <x v="0"/>
    <x v="0"/>
    <x v="0"/>
  </r>
  <r>
    <x v="920"/>
    <x v="0"/>
    <x v="0"/>
    <x v="0"/>
    <x v="0"/>
    <x v="14"/>
    <x v="0"/>
    <x v="3"/>
    <x v="0"/>
    <x v="2"/>
    <x v="1"/>
    <x v="1"/>
    <x v="1"/>
    <x v="0"/>
    <x v="37"/>
    <x v="0"/>
    <x v="1"/>
    <x v="1"/>
    <x v="0"/>
    <x v="0"/>
    <x v="0"/>
  </r>
  <r>
    <x v="921"/>
    <x v="0"/>
    <x v="0"/>
    <x v="1"/>
    <x v="1"/>
    <x v="14"/>
    <x v="0"/>
    <x v="2"/>
    <x v="3"/>
    <x v="4"/>
    <x v="1"/>
    <x v="1"/>
    <x v="1"/>
    <x v="0"/>
    <x v="30"/>
    <x v="0"/>
    <x v="1"/>
    <x v="0"/>
    <x v="0"/>
    <x v="0"/>
    <x v="0"/>
  </r>
  <r>
    <x v="922"/>
    <x v="0"/>
    <x v="0"/>
    <x v="0"/>
    <x v="0"/>
    <x v="14"/>
    <x v="0"/>
    <x v="2"/>
    <x v="0"/>
    <x v="2"/>
    <x v="1"/>
    <x v="1"/>
    <x v="1"/>
    <x v="0"/>
    <x v="33"/>
    <x v="0"/>
    <x v="1"/>
    <x v="1"/>
    <x v="0"/>
    <x v="0"/>
    <x v="0"/>
  </r>
  <r>
    <x v="923"/>
    <x v="0"/>
    <x v="0"/>
    <x v="0"/>
    <x v="0"/>
    <x v="14"/>
    <x v="0"/>
    <x v="2"/>
    <x v="3"/>
    <x v="4"/>
    <x v="1"/>
    <x v="1"/>
    <x v="1"/>
    <x v="0"/>
    <x v="33"/>
    <x v="0"/>
    <x v="1"/>
    <x v="1"/>
    <x v="0"/>
    <x v="0"/>
    <x v="0"/>
  </r>
  <r>
    <x v="924"/>
    <x v="0"/>
    <x v="0"/>
    <x v="0"/>
    <x v="0"/>
    <x v="14"/>
    <x v="0"/>
    <x v="2"/>
    <x v="3"/>
    <x v="4"/>
    <x v="1"/>
    <x v="1"/>
    <x v="1"/>
    <x v="0"/>
    <x v="2"/>
    <x v="0"/>
    <x v="1"/>
    <x v="0"/>
    <x v="0"/>
    <x v="0"/>
    <x v="0"/>
  </r>
  <r>
    <x v="925"/>
    <x v="0"/>
    <x v="0"/>
    <x v="1"/>
    <x v="1"/>
    <x v="14"/>
    <x v="0"/>
    <x v="2"/>
    <x v="3"/>
    <x v="4"/>
    <x v="1"/>
    <x v="1"/>
    <x v="1"/>
    <x v="0"/>
    <x v="2"/>
    <x v="0"/>
    <x v="1"/>
    <x v="1"/>
    <x v="0"/>
    <x v="0"/>
    <x v="0"/>
  </r>
  <r>
    <x v="926"/>
    <x v="1"/>
    <x v="1"/>
    <x v="0"/>
    <x v="0"/>
    <x v="14"/>
    <x v="0"/>
    <x v="5"/>
    <x v="2"/>
    <x v="3"/>
    <x v="1"/>
    <x v="3"/>
    <x v="4"/>
    <x v="1"/>
    <x v="35"/>
    <x v="0"/>
    <x v="1"/>
    <x v="1"/>
    <x v="0"/>
    <x v="0"/>
    <x v="0"/>
  </r>
  <r>
    <x v="927"/>
    <x v="0"/>
    <x v="0"/>
    <x v="0"/>
    <x v="0"/>
    <x v="15"/>
    <x v="0"/>
    <x v="4"/>
    <x v="0"/>
    <x v="2"/>
    <x v="0"/>
    <x v="4"/>
    <x v="1"/>
    <x v="2"/>
    <x v="48"/>
    <x v="0"/>
    <x v="2"/>
    <x v="1"/>
    <x v="0"/>
    <x v="0"/>
    <x v="0"/>
  </r>
  <r>
    <x v="928"/>
    <x v="0"/>
    <x v="0"/>
    <x v="1"/>
    <x v="1"/>
    <x v="15"/>
    <x v="0"/>
    <x v="4"/>
    <x v="0"/>
    <x v="2"/>
    <x v="1"/>
    <x v="4"/>
    <x v="4"/>
    <x v="2"/>
    <x v="48"/>
    <x v="0"/>
    <x v="2"/>
    <x v="0"/>
    <x v="0"/>
    <x v="0"/>
    <x v="0"/>
  </r>
  <r>
    <x v="929"/>
    <x v="0"/>
    <x v="0"/>
    <x v="0"/>
    <x v="0"/>
    <x v="15"/>
    <x v="0"/>
    <x v="4"/>
    <x v="0"/>
    <x v="2"/>
    <x v="0"/>
    <x v="4"/>
    <x v="1"/>
    <x v="2"/>
    <x v="49"/>
    <x v="0"/>
    <x v="2"/>
    <x v="0"/>
    <x v="0"/>
    <x v="0"/>
    <x v="0"/>
  </r>
  <r>
    <x v="930"/>
    <x v="1"/>
    <x v="1"/>
    <x v="0"/>
    <x v="0"/>
    <x v="15"/>
    <x v="0"/>
    <x v="4"/>
    <x v="0"/>
    <x v="2"/>
    <x v="0"/>
    <x v="4"/>
    <x v="1"/>
    <x v="2"/>
    <x v="49"/>
    <x v="0"/>
    <x v="2"/>
    <x v="0"/>
    <x v="0"/>
    <x v="0"/>
    <x v="0"/>
  </r>
  <r>
    <x v="931"/>
    <x v="0"/>
    <x v="0"/>
    <x v="1"/>
    <x v="1"/>
    <x v="15"/>
    <x v="0"/>
    <x v="4"/>
    <x v="0"/>
    <x v="2"/>
    <x v="0"/>
    <x v="4"/>
    <x v="1"/>
    <x v="2"/>
    <x v="49"/>
    <x v="0"/>
    <x v="2"/>
    <x v="0"/>
    <x v="0"/>
    <x v="0"/>
    <x v="0"/>
  </r>
  <r>
    <x v="932"/>
    <x v="1"/>
    <x v="1"/>
    <x v="1"/>
    <x v="1"/>
    <x v="15"/>
    <x v="0"/>
    <x v="4"/>
    <x v="0"/>
    <x v="2"/>
    <x v="1"/>
    <x v="4"/>
    <x v="3"/>
    <x v="2"/>
    <x v="49"/>
    <x v="0"/>
    <x v="2"/>
    <x v="0"/>
    <x v="0"/>
    <x v="0"/>
    <x v="0"/>
  </r>
  <r>
    <x v="933"/>
    <x v="1"/>
    <x v="1"/>
    <x v="1"/>
    <x v="1"/>
    <x v="15"/>
    <x v="0"/>
    <x v="4"/>
    <x v="0"/>
    <x v="2"/>
    <x v="1"/>
    <x v="4"/>
    <x v="3"/>
    <x v="2"/>
    <x v="49"/>
    <x v="0"/>
    <x v="2"/>
    <x v="0"/>
    <x v="0"/>
    <x v="0"/>
    <x v="0"/>
  </r>
  <r>
    <x v="934"/>
    <x v="0"/>
    <x v="0"/>
    <x v="0"/>
    <x v="0"/>
    <x v="15"/>
    <x v="0"/>
    <x v="4"/>
    <x v="0"/>
    <x v="2"/>
    <x v="1"/>
    <x v="4"/>
    <x v="4"/>
    <x v="2"/>
    <x v="45"/>
    <x v="0"/>
    <x v="2"/>
    <x v="1"/>
    <x v="0"/>
    <x v="0"/>
    <x v="0"/>
  </r>
  <r>
    <x v="935"/>
    <x v="0"/>
    <x v="0"/>
    <x v="1"/>
    <x v="1"/>
    <x v="15"/>
    <x v="0"/>
    <x v="2"/>
    <x v="2"/>
    <x v="2"/>
    <x v="1"/>
    <x v="1"/>
    <x v="4"/>
    <x v="2"/>
    <x v="45"/>
    <x v="0"/>
    <x v="2"/>
    <x v="0"/>
    <x v="0"/>
    <x v="0"/>
    <x v="0"/>
  </r>
  <r>
    <x v="936"/>
    <x v="1"/>
    <x v="1"/>
    <x v="0"/>
    <x v="0"/>
    <x v="15"/>
    <x v="0"/>
    <x v="4"/>
    <x v="0"/>
    <x v="2"/>
    <x v="0"/>
    <x v="4"/>
    <x v="1"/>
    <x v="2"/>
    <x v="50"/>
    <x v="0"/>
    <x v="2"/>
    <x v="0"/>
    <x v="0"/>
    <x v="0"/>
    <x v="0"/>
  </r>
  <r>
    <x v="937"/>
    <x v="0"/>
    <x v="0"/>
    <x v="0"/>
    <x v="0"/>
    <x v="15"/>
    <x v="0"/>
    <x v="4"/>
    <x v="4"/>
    <x v="2"/>
    <x v="0"/>
    <x v="3"/>
    <x v="1"/>
    <x v="0"/>
    <x v="39"/>
    <x v="0"/>
    <x v="0"/>
    <x v="1"/>
    <x v="0"/>
    <x v="0"/>
    <x v="0"/>
  </r>
  <r>
    <x v="938"/>
    <x v="0"/>
    <x v="0"/>
    <x v="1"/>
    <x v="1"/>
    <x v="15"/>
    <x v="0"/>
    <x v="4"/>
    <x v="4"/>
    <x v="2"/>
    <x v="0"/>
    <x v="3"/>
    <x v="1"/>
    <x v="0"/>
    <x v="39"/>
    <x v="0"/>
    <x v="0"/>
    <x v="1"/>
    <x v="0"/>
    <x v="0"/>
    <x v="0"/>
  </r>
  <r>
    <x v="939"/>
    <x v="1"/>
    <x v="1"/>
    <x v="1"/>
    <x v="1"/>
    <x v="15"/>
    <x v="0"/>
    <x v="4"/>
    <x v="1"/>
    <x v="2"/>
    <x v="0"/>
    <x v="1"/>
    <x v="1"/>
    <x v="0"/>
    <x v="39"/>
    <x v="0"/>
    <x v="0"/>
    <x v="0"/>
    <x v="0"/>
    <x v="0"/>
    <x v="0"/>
  </r>
  <r>
    <x v="940"/>
    <x v="0"/>
    <x v="0"/>
    <x v="0"/>
    <x v="0"/>
    <x v="15"/>
    <x v="0"/>
    <x v="4"/>
    <x v="4"/>
    <x v="2"/>
    <x v="1"/>
    <x v="3"/>
    <x v="3"/>
    <x v="0"/>
    <x v="23"/>
    <x v="0"/>
    <x v="0"/>
    <x v="1"/>
    <x v="0"/>
    <x v="0"/>
    <x v="0"/>
  </r>
  <r>
    <x v="941"/>
    <x v="1"/>
    <x v="1"/>
    <x v="0"/>
    <x v="0"/>
    <x v="15"/>
    <x v="0"/>
    <x v="4"/>
    <x v="4"/>
    <x v="2"/>
    <x v="0"/>
    <x v="3"/>
    <x v="1"/>
    <x v="0"/>
    <x v="23"/>
    <x v="0"/>
    <x v="0"/>
    <x v="1"/>
    <x v="0"/>
    <x v="0"/>
    <x v="0"/>
  </r>
  <r>
    <x v="942"/>
    <x v="0"/>
    <x v="0"/>
    <x v="1"/>
    <x v="1"/>
    <x v="15"/>
    <x v="0"/>
    <x v="4"/>
    <x v="4"/>
    <x v="2"/>
    <x v="1"/>
    <x v="3"/>
    <x v="1"/>
    <x v="0"/>
    <x v="23"/>
    <x v="0"/>
    <x v="0"/>
    <x v="1"/>
    <x v="0"/>
    <x v="0"/>
    <x v="0"/>
  </r>
  <r>
    <x v="943"/>
    <x v="1"/>
    <x v="1"/>
    <x v="0"/>
    <x v="0"/>
    <x v="15"/>
    <x v="0"/>
    <x v="4"/>
    <x v="4"/>
    <x v="2"/>
    <x v="1"/>
    <x v="3"/>
    <x v="3"/>
    <x v="0"/>
    <x v="3"/>
    <x v="0"/>
    <x v="0"/>
    <x v="1"/>
    <x v="0"/>
    <x v="0"/>
    <x v="0"/>
  </r>
  <r>
    <x v="944"/>
    <x v="0"/>
    <x v="0"/>
    <x v="1"/>
    <x v="1"/>
    <x v="15"/>
    <x v="0"/>
    <x v="4"/>
    <x v="4"/>
    <x v="2"/>
    <x v="0"/>
    <x v="3"/>
    <x v="1"/>
    <x v="0"/>
    <x v="3"/>
    <x v="0"/>
    <x v="0"/>
    <x v="1"/>
    <x v="0"/>
    <x v="0"/>
    <x v="0"/>
  </r>
  <r>
    <x v="945"/>
    <x v="1"/>
    <x v="1"/>
    <x v="0"/>
    <x v="0"/>
    <x v="15"/>
    <x v="0"/>
    <x v="4"/>
    <x v="4"/>
    <x v="2"/>
    <x v="1"/>
    <x v="3"/>
    <x v="3"/>
    <x v="0"/>
    <x v="24"/>
    <x v="0"/>
    <x v="0"/>
    <x v="1"/>
    <x v="0"/>
    <x v="0"/>
    <x v="0"/>
  </r>
  <r>
    <x v="946"/>
    <x v="1"/>
    <x v="1"/>
    <x v="1"/>
    <x v="1"/>
    <x v="15"/>
    <x v="0"/>
    <x v="4"/>
    <x v="4"/>
    <x v="2"/>
    <x v="0"/>
    <x v="3"/>
    <x v="1"/>
    <x v="0"/>
    <x v="24"/>
    <x v="0"/>
    <x v="0"/>
    <x v="1"/>
    <x v="0"/>
    <x v="0"/>
    <x v="0"/>
  </r>
  <r>
    <x v="947"/>
    <x v="1"/>
    <x v="1"/>
    <x v="0"/>
    <x v="0"/>
    <x v="15"/>
    <x v="0"/>
    <x v="4"/>
    <x v="4"/>
    <x v="2"/>
    <x v="0"/>
    <x v="3"/>
    <x v="1"/>
    <x v="0"/>
    <x v="32"/>
    <x v="0"/>
    <x v="0"/>
    <x v="1"/>
    <x v="0"/>
    <x v="0"/>
    <x v="0"/>
  </r>
  <r>
    <x v="948"/>
    <x v="1"/>
    <x v="1"/>
    <x v="0"/>
    <x v="0"/>
    <x v="15"/>
    <x v="0"/>
    <x v="3"/>
    <x v="2"/>
    <x v="2"/>
    <x v="1"/>
    <x v="1"/>
    <x v="1"/>
    <x v="0"/>
    <x v="32"/>
    <x v="0"/>
    <x v="0"/>
    <x v="1"/>
    <x v="0"/>
    <x v="0"/>
    <x v="0"/>
  </r>
  <r>
    <x v="949"/>
    <x v="1"/>
    <x v="1"/>
    <x v="0"/>
    <x v="0"/>
    <x v="15"/>
    <x v="0"/>
    <x v="2"/>
    <x v="2"/>
    <x v="2"/>
    <x v="0"/>
    <x v="4"/>
    <x v="0"/>
    <x v="0"/>
    <x v="32"/>
    <x v="0"/>
    <x v="0"/>
    <x v="0"/>
    <x v="0"/>
    <x v="0"/>
    <x v="0"/>
  </r>
  <r>
    <x v="950"/>
    <x v="1"/>
    <x v="1"/>
    <x v="1"/>
    <x v="1"/>
    <x v="15"/>
    <x v="0"/>
    <x v="3"/>
    <x v="2"/>
    <x v="2"/>
    <x v="1"/>
    <x v="1"/>
    <x v="1"/>
    <x v="0"/>
    <x v="32"/>
    <x v="0"/>
    <x v="0"/>
    <x v="1"/>
    <x v="0"/>
    <x v="0"/>
    <x v="0"/>
  </r>
  <r>
    <x v="951"/>
    <x v="1"/>
    <x v="1"/>
    <x v="1"/>
    <x v="1"/>
    <x v="15"/>
    <x v="0"/>
    <x v="4"/>
    <x v="4"/>
    <x v="2"/>
    <x v="1"/>
    <x v="3"/>
    <x v="3"/>
    <x v="0"/>
    <x v="32"/>
    <x v="0"/>
    <x v="0"/>
    <x v="1"/>
    <x v="0"/>
    <x v="0"/>
    <x v="0"/>
  </r>
  <r>
    <x v="952"/>
    <x v="1"/>
    <x v="1"/>
    <x v="1"/>
    <x v="1"/>
    <x v="15"/>
    <x v="0"/>
    <x v="4"/>
    <x v="4"/>
    <x v="2"/>
    <x v="0"/>
    <x v="3"/>
    <x v="3"/>
    <x v="0"/>
    <x v="32"/>
    <x v="0"/>
    <x v="0"/>
    <x v="1"/>
    <x v="0"/>
    <x v="0"/>
    <x v="0"/>
  </r>
  <r>
    <x v="953"/>
    <x v="1"/>
    <x v="1"/>
    <x v="0"/>
    <x v="0"/>
    <x v="15"/>
    <x v="0"/>
    <x v="3"/>
    <x v="2"/>
    <x v="2"/>
    <x v="1"/>
    <x v="1"/>
    <x v="1"/>
    <x v="0"/>
    <x v="9"/>
    <x v="0"/>
    <x v="0"/>
    <x v="0"/>
    <x v="0"/>
    <x v="0"/>
    <x v="0"/>
  </r>
  <r>
    <x v="954"/>
    <x v="0"/>
    <x v="0"/>
    <x v="0"/>
    <x v="0"/>
    <x v="15"/>
    <x v="0"/>
    <x v="4"/>
    <x v="1"/>
    <x v="2"/>
    <x v="1"/>
    <x v="1"/>
    <x v="1"/>
    <x v="0"/>
    <x v="5"/>
    <x v="0"/>
    <x v="0"/>
    <x v="0"/>
    <x v="0"/>
    <x v="0"/>
    <x v="0"/>
  </r>
  <r>
    <x v="955"/>
    <x v="0"/>
    <x v="0"/>
    <x v="0"/>
    <x v="0"/>
    <x v="15"/>
    <x v="0"/>
    <x v="3"/>
    <x v="2"/>
    <x v="2"/>
    <x v="1"/>
    <x v="1"/>
    <x v="1"/>
    <x v="0"/>
    <x v="5"/>
    <x v="0"/>
    <x v="0"/>
    <x v="0"/>
    <x v="0"/>
    <x v="0"/>
    <x v="0"/>
  </r>
  <r>
    <x v="956"/>
    <x v="0"/>
    <x v="0"/>
    <x v="1"/>
    <x v="1"/>
    <x v="15"/>
    <x v="0"/>
    <x v="2"/>
    <x v="1"/>
    <x v="2"/>
    <x v="1"/>
    <x v="1"/>
    <x v="1"/>
    <x v="0"/>
    <x v="5"/>
    <x v="0"/>
    <x v="0"/>
    <x v="1"/>
    <x v="0"/>
    <x v="0"/>
    <x v="0"/>
  </r>
  <r>
    <x v="957"/>
    <x v="1"/>
    <x v="1"/>
    <x v="1"/>
    <x v="1"/>
    <x v="15"/>
    <x v="0"/>
    <x v="5"/>
    <x v="2"/>
    <x v="2"/>
    <x v="1"/>
    <x v="1"/>
    <x v="1"/>
    <x v="0"/>
    <x v="5"/>
    <x v="0"/>
    <x v="0"/>
    <x v="0"/>
    <x v="0"/>
    <x v="0"/>
    <x v="0"/>
  </r>
  <r>
    <x v="958"/>
    <x v="0"/>
    <x v="0"/>
    <x v="0"/>
    <x v="0"/>
    <x v="15"/>
    <x v="0"/>
    <x v="3"/>
    <x v="2"/>
    <x v="2"/>
    <x v="0"/>
    <x v="4"/>
    <x v="1"/>
    <x v="0"/>
    <x v="10"/>
    <x v="0"/>
    <x v="0"/>
    <x v="1"/>
    <x v="0"/>
    <x v="0"/>
    <x v="0"/>
  </r>
  <r>
    <x v="959"/>
    <x v="1"/>
    <x v="1"/>
    <x v="0"/>
    <x v="0"/>
    <x v="15"/>
    <x v="0"/>
    <x v="3"/>
    <x v="2"/>
    <x v="2"/>
    <x v="1"/>
    <x v="4"/>
    <x v="1"/>
    <x v="0"/>
    <x v="10"/>
    <x v="0"/>
    <x v="0"/>
    <x v="0"/>
    <x v="0"/>
    <x v="0"/>
    <x v="0"/>
  </r>
  <r>
    <x v="960"/>
    <x v="1"/>
    <x v="1"/>
    <x v="0"/>
    <x v="0"/>
    <x v="15"/>
    <x v="0"/>
    <x v="3"/>
    <x v="2"/>
    <x v="2"/>
    <x v="1"/>
    <x v="4"/>
    <x v="1"/>
    <x v="0"/>
    <x v="10"/>
    <x v="0"/>
    <x v="0"/>
    <x v="0"/>
    <x v="0"/>
    <x v="0"/>
    <x v="0"/>
  </r>
  <r>
    <x v="961"/>
    <x v="1"/>
    <x v="1"/>
    <x v="1"/>
    <x v="1"/>
    <x v="15"/>
    <x v="0"/>
    <x v="5"/>
    <x v="2"/>
    <x v="2"/>
    <x v="1"/>
    <x v="4"/>
    <x v="1"/>
    <x v="0"/>
    <x v="25"/>
    <x v="0"/>
    <x v="0"/>
    <x v="0"/>
    <x v="0"/>
    <x v="0"/>
    <x v="0"/>
  </r>
  <r>
    <x v="962"/>
    <x v="0"/>
    <x v="0"/>
    <x v="0"/>
    <x v="0"/>
    <x v="15"/>
    <x v="0"/>
    <x v="2"/>
    <x v="1"/>
    <x v="2"/>
    <x v="1"/>
    <x v="1"/>
    <x v="1"/>
    <x v="0"/>
    <x v="11"/>
    <x v="0"/>
    <x v="0"/>
    <x v="1"/>
    <x v="0"/>
    <x v="0"/>
    <x v="0"/>
  </r>
  <r>
    <x v="963"/>
    <x v="1"/>
    <x v="1"/>
    <x v="0"/>
    <x v="0"/>
    <x v="15"/>
    <x v="0"/>
    <x v="0"/>
    <x v="4"/>
    <x v="2"/>
    <x v="1"/>
    <x v="3"/>
    <x v="1"/>
    <x v="0"/>
    <x v="11"/>
    <x v="0"/>
    <x v="0"/>
    <x v="0"/>
    <x v="0"/>
    <x v="0"/>
    <x v="0"/>
  </r>
  <r>
    <x v="964"/>
    <x v="1"/>
    <x v="1"/>
    <x v="0"/>
    <x v="0"/>
    <x v="15"/>
    <x v="0"/>
    <x v="0"/>
    <x v="4"/>
    <x v="2"/>
    <x v="1"/>
    <x v="3"/>
    <x v="1"/>
    <x v="0"/>
    <x v="11"/>
    <x v="0"/>
    <x v="0"/>
    <x v="1"/>
    <x v="0"/>
    <x v="0"/>
    <x v="0"/>
  </r>
  <r>
    <x v="965"/>
    <x v="0"/>
    <x v="0"/>
    <x v="1"/>
    <x v="1"/>
    <x v="15"/>
    <x v="0"/>
    <x v="0"/>
    <x v="4"/>
    <x v="2"/>
    <x v="1"/>
    <x v="4"/>
    <x v="1"/>
    <x v="0"/>
    <x v="11"/>
    <x v="0"/>
    <x v="0"/>
    <x v="0"/>
    <x v="0"/>
    <x v="0"/>
    <x v="0"/>
  </r>
  <r>
    <x v="966"/>
    <x v="1"/>
    <x v="1"/>
    <x v="0"/>
    <x v="0"/>
    <x v="15"/>
    <x v="0"/>
    <x v="0"/>
    <x v="4"/>
    <x v="2"/>
    <x v="1"/>
    <x v="3"/>
    <x v="1"/>
    <x v="0"/>
    <x v="12"/>
    <x v="0"/>
    <x v="0"/>
    <x v="0"/>
    <x v="0"/>
    <x v="0"/>
    <x v="0"/>
  </r>
  <r>
    <x v="967"/>
    <x v="1"/>
    <x v="1"/>
    <x v="0"/>
    <x v="0"/>
    <x v="15"/>
    <x v="0"/>
    <x v="0"/>
    <x v="4"/>
    <x v="2"/>
    <x v="1"/>
    <x v="3"/>
    <x v="1"/>
    <x v="0"/>
    <x v="12"/>
    <x v="0"/>
    <x v="0"/>
    <x v="0"/>
    <x v="0"/>
    <x v="0"/>
    <x v="0"/>
  </r>
  <r>
    <x v="968"/>
    <x v="1"/>
    <x v="1"/>
    <x v="0"/>
    <x v="0"/>
    <x v="15"/>
    <x v="0"/>
    <x v="1"/>
    <x v="4"/>
    <x v="2"/>
    <x v="0"/>
    <x v="3"/>
    <x v="1"/>
    <x v="0"/>
    <x v="12"/>
    <x v="0"/>
    <x v="0"/>
    <x v="1"/>
    <x v="0"/>
    <x v="0"/>
    <x v="0"/>
  </r>
  <r>
    <x v="969"/>
    <x v="1"/>
    <x v="1"/>
    <x v="0"/>
    <x v="0"/>
    <x v="15"/>
    <x v="0"/>
    <x v="5"/>
    <x v="4"/>
    <x v="2"/>
    <x v="1"/>
    <x v="3"/>
    <x v="1"/>
    <x v="0"/>
    <x v="26"/>
    <x v="0"/>
    <x v="0"/>
    <x v="1"/>
    <x v="0"/>
    <x v="0"/>
    <x v="0"/>
  </r>
  <r>
    <x v="970"/>
    <x v="1"/>
    <x v="1"/>
    <x v="0"/>
    <x v="0"/>
    <x v="15"/>
    <x v="0"/>
    <x v="5"/>
    <x v="4"/>
    <x v="2"/>
    <x v="1"/>
    <x v="3"/>
    <x v="1"/>
    <x v="0"/>
    <x v="26"/>
    <x v="0"/>
    <x v="0"/>
    <x v="1"/>
    <x v="0"/>
    <x v="0"/>
    <x v="0"/>
  </r>
  <r>
    <x v="971"/>
    <x v="0"/>
    <x v="0"/>
    <x v="1"/>
    <x v="1"/>
    <x v="15"/>
    <x v="0"/>
    <x v="5"/>
    <x v="4"/>
    <x v="2"/>
    <x v="1"/>
    <x v="3"/>
    <x v="1"/>
    <x v="0"/>
    <x v="26"/>
    <x v="0"/>
    <x v="0"/>
    <x v="1"/>
    <x v="0"/>
    <x v="0"/>
    <x v="0"/>
  </r>
  <r>
    <x v="972"/>
    <x v="0"/>
    <x v="0"/>
    <x v="1"/>
    <x v="1"/>
    <x v="15"/>
    <x v="0"/>
    <x v="2"/>
    <x v="1"/>
    <x v="2"/>
    <x v="1"/>
    <x v="1"/>
    <x v="1"/>
    <x v="0"/>
    <x v="6"/>
    <x v="0"/>
    <x v="0"/>
    <x v="1"/>
    <x v="0"/>
    <x v="0"/>
    <x v="0"/>
  </r>
  <r>
    <x v="973"/>
    <x v="1"/>
    <x v="1"/>
    <x v="1"/>
    <x v="1"/>
    <x v="15"/>
    <x v="0"/>
    <x v="2"/>
    <x v="1"/>
    <x v="2"/>
    <x v="1"/>
    <x v="1"/>
    <x v="1"/>
    <x v="0"/>
    <x v="6"/>
    <x v="0"/>
    <x v="0"/>
    <x v="1"/>
    <x v="0"/>
    <x v="0"/>
    <x v="0"/>
  </r>
  <r>
    <x v="974"/>
    <x v="1"/>
    <x v="1"/>
    <x v="0"/>
    <x v="0"/>
    <x v="15"/>
    <x v="0"/>
    <x v="2"/>
    <x v="2"/>
    <x v="2"/>
    <x v="0"/>
    <x v="4"/>
    <x v="3"/>
    <x v="0"/>
    <x v="14"/>
    <x v="0"/>
    <x v="0"/>
    <x v="1"/>
    <x v="0"/>
    <x v="0"/>
    <x v="0"/>
  </r>
  <r>
    <x v="975"/>
    <x v="1"/>
    <x v="1"/>
    <x v="0"/>
    <x v="0"/>
    <x v="15"/>
    <x v="0"/>
    <x v="2"/>
    <x v="2"/>
    <x v="2"/>
    <x v="0"/>
    <x v="4"/>
    <x v="4"/>
    <x v="0"/>
    <x v="27"/>
    <x v="0"/>
    <x v="0"/>
    <x v="0"/>
    <x v="0"/>
    <x v="0"/>
    <x v="0"/>
  </r>
  <r>
    <x v="976"/>
    <x v="0"/>
    <x v="0"/>
    <x v="0"/>
    <x v="0"/>
    <x v="15"/>
    <x v="0"/>
    <x v="2"/>
    <x v="3"/>
    <x v="2"/>
    <x v="1"/>
    <x v="1"/>
    <x v="1"/>
    <x v="0"/>
    <x v="0"/>
    <x v="0"/>
    <x v="0"/>
    <x v="1"/>
    <x v="0"/>
    <x v="0"/>
    <x v="0"/>
  </r>
  <r>
    <x v="977"/>
    <x v="1"/>
    <x v="1"/>
    <x v="1"/>
    <x v="1"/>
    <x v="15"/>
    <x v="0"/>
    <x v="2"/>
    <x v="3"/>
    <x v="2"/>
    <x v="1"/>
    <x v="1"/>
    <x v="1"/>
    <x v="0"/>
    <x v="0"/>
    <x v="0"/>
    <x v="0"/>
    <x v="1"/>
    <x v="0"/>
    <x v="0"/>
    <x v="0"/>
  </r>
  <r>
    <x v="978"/>
    <x v="0"/>
    <x v="0"/>
    <x v="0"/>
    <x v="0"/>
    <x v="15"/>
    <x v="0"/>
    <x v="3"/>
    <x v="0"/>
    <x v="2"/>
    <x v="1"/>
    <x v="1"/>
    <x v="3"/>
    <x v="0"/>
    <x v="36"/>
    <x v="0"/>
    <x v="0"/>
    <x v="1"/>
    <x v="0"/>
    <x v="0"/>
    <x v="0"/>
  </r>
  <r>
    <x v="979"/>
    <x v="0"/>
    <x v="0"/>
    <x v="1"/>
    <x v="1"/>
    <x v="15"/>
    <x v="0"/>
    <x v="3"/>
    <x v="0"/>
    <x v="2"/>
    <x v="1"/>
    <x v="1"/>
    <x v="3"/>
    <x v="0"/>
    <x v="36"/>
    <x v="0"/>
    <x v="0"/>
    <x v="1"/>
    <x v="0"/>
    <x v="0"/>
    <x v="0"/>
  </r>
  <r>
    <x v="980"/>
    <x v="1"/>
    <x v="1"/>
    <x v="1"/>
    <x v="1"/>
    <x v="15"/>
    <x v="0"/>
    <x v="2"/>
    <x v="0"/>
    <x v="2"/>
    <x v="1"/>
    <x v="1"/>
    <x v="1"/>
    <x v="0"/>
    <x v="36"/>
    <x v="0"/>
    <x v="0"/>
    <x v="1"/>
    <x v="0"/>
    <x v="0"/>
    <x v="0"/>
  </r>
  <r>
    <x v="981"/>
    <x v="0"/>
    <x v="0"/>
    <x v="0"/>
    <x v="0"/>
    <x v="15"/>
    <x v="0"/>
    <x v="3"/>
    <x v="0"/>
    <x v="2"/>
    <x v="1"/>
    <x v="1"/>
    <x v="3"/>
    <x v="0"/>
    <x v="15"/>
    <x v="0"/>
    <x v="0"/>
    <x v="1"/>
    <x v="0"/>
    <x v="0"/>
    <x v="0"/>
  </r>
  <r>
    <x v="982"/>
    <x v="0"/>
    <x v="0"/>
    <x v="0"/>
    <x v="0"/>
    <x v="15"/>
    <x v="0"/>
    <x v="3"/>
    <x v="0"/>
    <x v="2"/>
    <x v="1"/>
    <x v="4"/>
    <x v="1"/>
    <x v="0"/>
    <x v="15"/>
    <x v="0"/>
    <x v="0"/>
    <x v="0"/>
    <x v="0"/>
    <x v="0"/>
    <x v="0"/>
  </r>
  <r>
    <x v="983"/>
    <x v="1"/>
    <x v="1"/>
    <x v="1"/>
    <x v="1"/>
    <x v="15"/>
    <x v="0"/>
    <x v="3"/>
    <x v="0"/>
    <x v="2"/>
    <x v="0"/>
    <x v="1"/>
    <x v="1"/>
    <x v="0"/>
    <x v="15"/>
    <x v="0"/>
    <x v="0"/>
    <x v="1"/>
    <x v="0"/>
    <x v="0"/>
    <x v="0"/>
  </r>
  <r>
    <x v="984"/>
    <x v="0"/>
    <x v="0"/>
    <x v="0"/>
    <x v="0"/>
    <x v="15"/>
    <x v="0"/>
    <x v="3"/>
    <x v="0"/>
    <x v="2"/>
    <x v="1"/>
    <x v="1"/>
    <x v="3"/>
    <x v="0"/>
    <x v="7"/>
    <x v="0"/>
    <x v="1"/>
    <x v="1"/>
    <x v="0"/>
    <x v="0"/>
    <x v="0"/>
  </r>
  <r>
    <x v="985"/>
    <x v="1"/>
    <x v="1"/>
    <x v="0"/>
    <x v="0"/>
    <x v="15"/>
    <x v="0"/>
    <x v="3"/>
    <x v="0"/>
    <x v="2"/>
    <x v="1"/>
    <x v="1"/>
    <x v="1"/>
    <x v="0"/>
    <x v="7"/>
    <x v="0"/>
    <x v="1"/>
    <x v="0"/>
    <x v="0"/>
    <x v="0"/>
    <x v="0"/>
  </r>
  <r>
    <x v="986"/>
    <x v="0"/>
    <x v="0"/>
    <x v="1"/>
    <x v="1"/>
    <x v="15"/>
    <x v="0"/>
    <x v="3"/>
    <x v="0"/>
    <x v="2"/>
    <x v="1"/>
    <x v="1"/>
    <x v="3"/>
    <x v="0"/>
    <x v="7"/>
    <x v="0"/>
    <x v="1"/>
    <x v="1"/>
    <x v="0"/>
    <x v="0"/>
    <x v="0"/>
  </r>
  <r>
    <x v="987"/>
    <x v="1"/>
    <x v="1"/>
    <x v="1"/>
    <x v="1"/>
    <x v="15"/>
    <x v="0"/>
    <x v="3"/>
    <x v="0"/>
    <x v="2"/>
    <x v="1"/>
    <x v="4"/>
    <x v="1"/>
    <x v="0"/>
    <x v="7"/>
    <x v="0"/>
    <x v="1"/>
    <x v="0"/>
    <x v="0"/>
    <x v="0"/>
    <x v="0"/>
  </r>
  <r>
    <x v="988"/>
    <x v="0"/>
    <x v="0"/>
    <x v="1"/>
    <x v="1"/>
    <x v="15"/>
    <x v="0"/>
    <x v="3"/>
    <x v="0"/>
    <x v="2"/>
    <x v="1"/>
    <x v="4"/>
    <x v="4"/>
    <x v="0"/>
    <x v="16"/>
    <x v="0"/>
    <x v="1"/>
    <x v="1"/>
    <x v="0"/>
    <x v="0"/>
    <x v="0"/>
  </r>
  <r>
    <x v="989"/>
    <x v="1"/>
    <x v="1"/>
    <x v="1"/>
    <x v="1"/>
    <x v="15"/>
    <x v="0"/>
    <x v="3"/>
    <x v="0"/>
    <x v="2"/>
    <x v="1"/>
    <x v="4"/>
    <x v="1"/>
    <x v="0"/>
    <x v="16"/>
    <x v="0"/>
    <x v="1"/>
    <x v="0"/>
    <x v="0"/>
    <x v="0"/>
    <x v="0"/>
  </r>
  <r>
    <x v="990"/>
    <x v="0"/>
    <x v="0"/>
    <x v="0"/>
    <x v="0"/>
    <x v="15"/>
    <x v="0"/>
    <x v="3"/>
    <x v="2"/>
    <x v="2"/>
    <x v="1"/>
    <x v="3"/>
    <x v="3"/>
    <x v="1"/>
    <x v="31"/>
    <x v="0"/>
    <x v="1"/>
    <x v="1"/>
    <x v="0"/>
    <x v="0"/>
    <x v="0"/>
  </r>
  <r>
    <x v="991"/>
    <x v="1"/>
    <x v="1"/>
    <x v="0"/>
    <x v="0"/>
    <x v="15"/>
    <x v="0"/>
    <x v="3"/>
    <x v="2"/>
    <x v="2"/>
    <x v="1"/>
    <x v="3"/>
    <x v="3"/>
    <x v="1"/>
    <x v="31"/>
    <x v="0"/>
    <x v="1"/>
    <x v="0"/>
    <x v="0"/>
    <x v="0"/>
    <x v="0"/>
  </r>
  <r>
    <x v="992"/>
    <x v="0"/>
    <x v="0"/>
    <x v="0"/>
    <x v="0"/>
    <x v="15"/>
    <x v="0"/>
    <x v="3"/>
    <x v="4"/>
    <x v="4"/>
    <x v="1"/>
    <x v="3"/>
    <x v="0"/>
    <x v="2"/>
    <x v="18"/>
    <x v="0"/>
    <x v="1"/>
    <x v="1"/>
    <x v="0"/>
    <x v="0"/>
    <x v="0"/>
  </r>
  <r>
    <x v="993"/>
    <x v="1"/>
    <x v="1"/>
    <x v="1"/>
    <x v="1"/>
    <x v="15"/>
    <x v="0"/>
    <x v="3"/>
    <x v="4"/>
    <x v="4"/>
    <x v="1"/>
    <x v="3"/>
    <x v="0"/>
    <x v="2"/>
    <x v="18"/>
    <x v="0"/>
    <x v="1"/>
    <x v="1"/>
    <x v="0"/>
    <x v="0"/>
    <x v="0"/>
  </r>
  <r>
    <x v="994"/>
    <x v="0"/>
    <x v="0"/>
    <x v="0"/>
    <x v="0"/>
    <x v="15"/>
    <x v="0"/>
    <x v="1"/>
    <x v="2"/>
    <x v="3"/>
    <x v="0"/>
    <x v="0"/>
    <x v="3"/>
    <x v="2"/>
    <x v="29"/>
    <x v="0"/>
    <x v="1"/>
    <x v="1"/>
    <x v="0"/>
    <x v="0"/>
    <x v="0"/>
  </r>
  <r>
    <x v="995"/>
    <x v="1"/>
    <x v="1"/>
    <x v="0"/>
    <x v="0"/>
    <x v="15"/>
    <x v="0"/>
    <x v="1"/>
    <x v="2"/>
    <x v="3"/>
    <x v="0"/>
    <x v="3"/>
    <x v="3"/>
    <x v="2"/>
    <x v="29"/>
    <x v="0"/>
    <x v="1"/>
    <x v="1"/>
    <x v="0"/>
    <x v="0"/>
    <x v="0"/>
  </r>
  <r>
    <x v="996"/>
    <x v="0"/>
    <x v="0"/>
    <x v="1"/>
    <x v="1"/>
    <x v="15"/>
    <x v="0"/>
    <x v="3"/>
    <x v="3"/>
    <x v="4"/>
    <x v="1"/>
    <x v="4"/>
    <x v="1"/>
    <x v="0"/>
    <x v="2"/>
    <x v="0"/>
    <x v="1"/>
    <x v="1"/>
    <x v="0"/>
    <x v="0"/>
    <x v="0"/>
  </r>
  <r>
    <x v="997"/>
    <x v="1"/>
    <x v="1"/>
    <x v="0"/>
    <x v="0"/>
    <x v="15"/>
    <x v="0"/>
    <x v="3"/>
    <x v="3"/>
    <x v="4"/>
    <x v="0"/>
    <x v="4"/>
    <x v="4"/>
    <x v="0"/>
    <x v="42"/>
    <x v="0"/>
    <x v="1"/>
    <x v="1"/>
    <x v="0"/>
    <x v="0"/>
    <x v="0"/>
  </r>
  <r>
    <x v="998"/>
    <x v="0"/>
    <x v="0"/>
    <x v="0"/>
    <x v="0"/>
    <x v="15"/>
    <x v="0"/>
    <x v="2"/>
    <x v="1"/>
    <x v="4"/>
    <x v="1"/>
    <x v="1"/>
    <x v="1"/>
    <x v="0"/>
    <x v="43"/>
    <x v="0"/>
    <x v="1"/>
    <x v="0"/>
    <x v="0"/>
    <x v="0"/>
    <x v="0"/>
  </r>
  <r>
    <x v="999"/>
    <x v="0"/>
    <x v="0"/>
    <x v="1"/>
    <x v="1"/>
    <x v="15"/>
    <x v="0"/>
    <x v="2"/>
    <x v="1"/>
    <x v="4"/>
    <x v="1"/>
    <x v="1"/>
    <x v="1"/>
    <x v="0"/>
    <x v="43"/>
    <x v="0"/>
    <x v="1"/>
    <x v="1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</Relationships>
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</Relationships>

</file>

<file path=xl/pivotTables/pivotTable1.xml><?xml version="1.0" encoding="utf-8"?>
<pivotTableDefinition xmlns="http://schemas.openxmlformats.org/spreadsheetml/2006/main" name="Bike Purchases by Age Group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Col="1" showEmptyRow="1" compact="0" compactData="0" multipleFieldFilters="0">
  <location ref="A2:D7" firstHeaderRow="1" firstDataRow="2" firstDataCol="1"/>
  <pivotFields count="21">
    <pivotField name="ID" axis="axisValues" dataField="1" compact="0" outline="0" showAll="0"/>
    <pivotField name="Marital Status" compact="0" outline="0" showAll="0">
      <items count="3">
        <item x="0"/>
        <item x="1"/>
        <item t="default" sd="0"/>
      </items>
    </pivotField>
    <pivotField name="Marital Status Full" compact="0" outline="0" showAll="0">
      <items count="3">
        <item x="0"/>
        <item x="1"/>
        <item t="default" sd="0"/>
      </items>
    </pivotField>
    <pivotField name="Gender" compact="0" outline="0" showAll="0">
      <items count="3">
        <item x="0"/>
        <item x="1"/>
        <item t="default" sd="0"/>
      </items>
    </pivotField>
    <pivotField name="Gender Full" compact="0" outline="0" showAll="0">
      <items count="3">
        <item x="0"/>
        <item x="1"/>
        <item t="default" sd="0"/>
      </items>
    </pivotField>
    <pivotField name="Income" compact="0" outline="0" showAll="0">
      <items count="17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 sd="0"/>
      </items>
    </pivotField>
    <pivotField name="Income Check" compact="0" outline="0" showAll="0">
      <items count="2">
        <item sd="0" x="0"/>
        <item t="default" sd="0"/>
      </items>
    </pivotField>
    <pivotField name="Children" compact="0" outline="0" showAll="0">
      <items count="7">
        <item x="4"/>
        <item x="2"/>
        <item x="3"/>
        <item x="5"/>
        <item x="0"/>
        <item x="1"/>
        <item t="default" sd="0"/>
      </items>
    </pivotField>
    <pivotField name="Education" compact="0" outline="0" showAll="0">
      <items count="6">
        <item x="3"/>
        <item x="1"/>
        <item x="2"/>
        <item x="0"/>
        <item x="4"/>
        <item t="default" sd="0"/>
      </items>
    </pivotField>
    <pivotField name="Occupation" compact="0" outline="0" showAll="0">
      <items count="6">
        <item x="4"/>
        <item x="1"/>
        <item x="2"/>
        <item x="0"/>
        <item x="3"/>
        <item t="default" sd="0"/>
      </items>
    </pivotField>
    <pivotField name="Home Owner" compact="0" outline="0" showAll="0">
      <items count="3">
        <item x="0"/>
        <item x="1"/>
        <item t="default" sd="0"/>
      </items>
    </pivotField>
    <pivotField name="Cars" compact="0" outline="0" showAll="0">
      <items count="6">
        <item x="1"/>
        <item x="4"/>
        <item x="3"/>
        <item x="0"/>
        <item x="2"/>
        <item t="default" sd="0"/>
      </items>
    </pivotField>
    <pivotField name="Commute Distance" compact="0" outline="0" showAll="0">
      <items count="6">
        <item x="1"/>
        <item x="3"/>
        <item x="2"/>
        <item x="4"/>
        <item x="0"/>
        <item t="default" sd="0"/>
      </items>
    </pivotField>
    <pivotField name="Region" compact="0" outline="0" showAll="0">
      <items count="4">
        <item x="0"/>
        <item x="1"/>
        <item x="2"/>
        <item t="default" sd="0"/>
      </items>
    </pivotField>
    <pivotField name="Age" compact="0" outline="0" showAll="0">
      <items count="54">
        <item x="48"/>
        <item x="49"/>
        <item x="45"/>
        <item x="50"/>
        <item x="38"/>
        <item x="39"/>
        <item x="8"/>
        <item x="23"/>
        <item x="3"/>
        <item x="24"/>
        <item x="32"/>
        <item x="9"/>
        <item x="5"/>
        <item x="10"/>
        <item x="25"/>
        <item x="11"/>
        <item x="12"/>
        <item x="13"/>
        <item x="26"/>
        <item x="6"/>
        <item x="14"/>
        <item x="27"/>
        <item x="4"/>
        <item x="0"/>
        <item x="36"/>
        <item x="15"/>
        <item x="7"/>
        <item x="16"/>
        <item x="31"/>
        <item x="17"/>
        <item x="1"/>
        <item x="28"/>
        <item x="40"/>
        <item x="18"/>
        <item x="19"/>
        <item x="41"/>
        <item x="20"/>
        <item x="29"/>
        <item x="37"/>
        <item x="30"/>
        <item x="33"/>
        <item x="2"/>
        <item x="21"/>
        <item x="42"/>
        <item x="22"/>
        <item x="43"/>
        <item x="47"/>
        <item x="44"/>
        <item x="34"/>
        <item x="46"/>
        <item x="35"/>
        <item x="51"/>
        <item x="52"/>
        <item t="default" sd="0"/>
      </items>
    </pivotField>
    <pivotField name="Age Check" compact="0" outline="0" showAll="0">
      <items count="2">
        <item sd="0" x="0"/>
        <item t="default" sd="0"/>
      </items>
    </pivotField>
    <pivotField name="Age Group" axis="axisRow" compact="0" numFmtId="49" outline="0" showAll="0" sortType="ascending">
      <items count="4">
        <item x="0"/>
        <item x="1"/>
        <item x="2"/>
        <item t="default" sd="0"/>
      </items>
    </pivotField>
    <pivotField name="Purchased Bike" axis="axisCol" compact="0" numFmtId="49" outline="0" showAll="0" sortType="ascending">
      <items count="3">
        <item x="1"/>
        <item x="0"/>
        <item t="default" sd="0"/>
      </items>
    </pivotField>
    <pivotField name="ID Count" compact="0" outline="0" showAll="0">
      <items count="2">
        <item sd="0" x="0"/>
        <item t="default" sd="0"/>
      </items>
    </pivotField>
    <pivotField name="Income Number or text? " compact="0" outline="0" showAll="0">
      <items count="2">
        <item sd="0" x="0"/>
        <item t="default" sd="0"/>
      </items>
    </pivotField>
    <pivotField name="Age number or text?" compact="0" outline="0" showAll="0">
      <items count="2">
        <item sd="0" x="0"/>
        <item t="default" sd="0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ID" fld="0" subtotal="countNums"/>
  </dataFields>
  <pivotTableStyleInfo name="PivotStyleCustom01" showRowHeaders="1" showColHeaders="1" showRowStripes="1" showColStripes="0" showLastColumn="1"/>
</pivotTableDefinition>
</file>

<file path=xl/pivotTables/pivotTable2.xml><?xml version="1.0" encoding="utf-8"?>
<pivotTableDefinition xmlns="http://schemas.openxmlformats.org/spreadsheetml/2006/main" name="Bike Purchases by Commute Distance" cacheId="1" dataPosition="0" autoFormatId="0" applyNumberFormats="0" applyBorderFormats="0" applyFontFormats="0" applyPatternFormats="0" applyAlignmentFormats="0" applyWidthHeightFormats="1" dataCaption="" missingCaption="" pivotTableStyle="PivotStyleCustom02" updatedVersion="7" useAutoFormatting="1" createdVersion="7" indent="0" showEmptyCol="1" showEmptyRow="1" compact="0" compactData="0" multipleFieldFilters="0">
  <location ref="A2:D9" firstHeaderRow="1" firstDataRow="2" firstDataCol="1"/>
  <pivotFields count="21">
    <pivotField name="ID" axis="axisValues" dataField="1" compact="0" outline="0" showAll="0"/>
    <pivotField name="Marital Status" compact="0" outline="0" showAll="0">
      <items count="3">
        <item x="0"/>
        <item x="1"/>
        <item t="default" sd="0"/>
      </items>
    </pivotField>
    <pivotField name="Marital Status Full" compact="0" outline="0" showAll="0">
      <items count="3">
        <item x="0"/>
        <item x="1"/>
        <item t="default" sd="0"/>
      </items>
    </pivotField>
    <pivotField name="Gender" compact="0" outline="0" showAll="0">
      <items count="3">
        <item x="0"/>
        <item x="1"/>
        <item t="default" sd="0"/>
      </items>
    </pivotField>
    <pivotField name="Gender Full" compact="0" outline="0" showAll="0">
      <items count="3">
        <item x="0"/>
        <item x="1"/>
        <item t="default" sd="0"/>
      </items>
    </pivotField>
    <pivotField name="Income" compact="0" outline="0" showAll="0">
      <items count="17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 sd="0"/>
      </items>
    </pivotField>
    <pivotField name="Income Check" compact="0" outline="0" showAll="0">
      <items count="2">
        <item sd="0" x="0"/>
        <item t="default" sd="0"/>
      </items>
    </pivotField>
    <pivotField name="Children" compact="0" outline="0" showAll="0">
      <items count="7">
        <item x="4"/>
        <item x="2"/>
        <item x="3"/>
        <item x="5"/>
        <item x="0"/>
        <item x="1"/>
        <item t="default" sd="0"/>
      </items>
    </pivotField>
    <pivotField name="Education" compact="0" outline="0" showAll="0">
      <items count="6">
        <item x="3"/>
        <item x="1"/>
        <item x="2"/>
        <item x="0"/>
        <item x="4"/>
        <item t="default" sd="0"/>
      </items>
    </pivotField>
    <pivotField name="Occupation" compact="0" outline="0" showAll="0">
      <items count="6">
        <item x="4"/>
        <item x="1"/>
        <item x="2"/>
        <item x="0"/>
        <item x="3"/>
        <item t="default" sd="0"/>
      </items>
    </pivotField>
    <pivotField name="Home Owner" compact="0" outline="0" showAll="0">
      <items count="3">
        <item x="0"/>
        <item x="1"/>
        <item t="default" sd="0"/>
      </items>
    </pivotField>
    <pivotField name="Cars" compact="0" outline="0" showAll="0">
      <items count="6">
        <item x="1"/>
        <item x="4"/>
        <item x="3"/>
        <item x="0"/>
        <item x="2"/>
        <item t="default" sd="0"/>
      </items>
    </pivotField>
    <pivotField name="Commute Distance" axis="axisRow" compact="0" numFmtId="49" outline="0" showAll="0" sortType="ascending">
      <items count="6">
        <item x="1"/>
        <item x="3"/>
        <item x="2"/>
        <item x="4"/>
        <item x="0"/>
        <item t="default" sd="0"/>
      </items>
    </pivotField>
    <pivotField name="Region" compact="0" outline="0" showAll="0">
      <items count="4">
        <item x="0"/>
        <item x="1"/>
        <item x="2"/>
        <item t="default" sd="0"/>
      </items>
    </pivotField>
    <pivotField name="Age" compact="0" outline="0" showAll="0">
      <items count="54">
        <item x="48"/>
        <item x="49"/>
        <item x="45"/>
        <item x="50"/>
        <item x="38"/>
        <item x="39"/>
        <item x="8"/>
        <item x="23"/>
        <item x="3"/>
        <item x="24"/>
        <item x="32"/>
        <item x="9"/>
        <item x="5"/>
        <item x="10"/>
        <item x="25"/>
        <item x="11"/>
        <item x="12"/>
        <item x="13"/>
        <item x="26"/>
        <item x="6"/>
        <item x="14"/>
        <item x="27"/>
        <item x="4"/>
        <item x="0"/>
        <item x="36"/>
        <item x="15"/>
        <item x="7"/>
        <item x="16"/>
        <item x="31"/>
        <item x="17"/>
        <item x="1"/>
        <item x="28"/>
        <item x="40"/>
        <item x="18"/>
        <item x="19"/>
        <item x="41"/>
        <item x="20"/>
        <item x="29"/>
        <item x="37"/>
        <item x="30"/>
        <item x="33"/>
        <item x="2"/>
        <item x="21"/>
        <item x="42"/>
        <item x="22"/>
        <item x="43"/>
        <item x="47"/>
        <item x="44"/>
        <item x="34"/>
        <item x="46"/>
        <item x="35"/>
        <item x="51"/>
        <item x="52"/>
        <item t="default" sd="0"/>
      </items>
    </pivotField>
    <pivotField name="Age Check" compact="0" outline="0" showAll="0">
      <items count="2">
        <item sd="0" x="0"/>
        <item t="default" sd="0"/>
      </items>
    </pivotField>
    <pivotField name="Age Group" compact="0" outline="0" showAll="0">
      <items count="4">
        <item x="0"/>
        <item x="1"/>
        <item x="2"/>
        <item t="default" sd="0"/>
      </items>
    </pivotField>
    <pivotField name="Purchased Bike" axis="axisCol" compact="0" numFmtId="49" outline="0" showAll="0" sortType="ascending">
      <items count="3">
        <item x="1"/>
        <item x="0"/>
        <item t="default" sd="0"/>
      </items>
    </pivotField>
    <pivotField name="ID Count" compact="0" outline="0" showAll="0">
      <items count="2">
        <item sd="0" x="0"/>
        <item t="default" sd="0"/>
      </items>
    </pivotField>
    <pivotField name="Income Number or text? " compact="0" outline="0" showAll="0">
      <items count="2">
        <item sd="0" x="0"/>
        <item t="default" sd="0"/>
      </items>
    </pivotField>
    <pivotField name="Age number or text?" compact="0" outline="0" showAll="0">
      <items count="2">
        <item sd="0" x="0"/>
        <item t="default" sd="0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ID" fld="0" subtotal="countNums"/>
  </dataFields>
  <pivotTableStyleInfo name="PivotStyleCustom02" showRowHeaders="1" showColHeaders="1" showRowStripes="1" showColStripes="0" showLastColumn="1"/>
</pivotTableDefinition>
</file>

<file path=xl/pivotTables/pivotTable3.xml><?xml version="1.0" encoding="utf-8"?>
<pivotTableDefinition xmlns="http://schemas.openxmlformats.org/spreadsheetml/2006/main" name="Average Income by Bike Purchase Status" cacheId="2" dataPosition="0" autoFormatId="0" applyNumberFormats="0" applyBorderFormats="0" applyFontFormats="0" applyPatternFormats="0" applyAlignmentFormats="0" applyWidthHeightFormats="1" dataCaption="" missingCaption="" pivotTableStyle="PivotStyleCustom03" updatedVersion="7" useAutoFormatting="1" createdVersion="7" indent="0" showEmptyCol="1" showEmptyRow="1" compact="0" compactData="0" multipleFieldFilters="0">
  <location ref="A2:D4" firstHeaderRow="1" firstDataRow="2" firstDataCol="1"/>
  <pivotFields count="21">
    <pivotField name="ID" compact="0" outline="0" showAll="0">
      <items count="1001">
        <item x="117"/>
        <item x="835"/>
        <item x="318"/>
        <item x="128"/>
        <item x="283"/>
        <item x="847"/>
        <item x="584"/>
        <item x="520"/>
        <item x="708"/>
        <item x="379"/>
        <item x="341"/>
        <item x="340"/>
        <item x="490"/>
        <item x="488"/>
        <item x="327"/>
        <item x="28"/>
        <item x="357"/>
        <item x="86"/>
        <item x="182"/>
        <item x="15"/>
        <item x="17"/>
        <item x="234"/>
        <item x="296"/>
        <item x="7"/>
        <item x="121"/>
        <item x="998"/>
        <item x="975"/>
        <item x="896"/>
        <item x="803"/>
        <item x="800"/>
        <item x="139"/>
        <item x="1"/>
        <item x="237"/>
        <item x="151"/>
        <item x="877"/>
        <item x="456"/>
        <item x="463"/>
        <item x="716"/>
        <item x="785"/>
        <item x="653"/>
        <item x="527"/>
        <item x="524"/>
        <item x="541"/>
        <item x="627"/>
        <item x="253"/>
        <item x="262"/>
        <item x="367"/>
        <item x="458"/>
        <item x="452"/>
        <item x="455"/>
        <item x="383"/>
        <item x="241"/>
        <item x="395"/>
        <item x="244"/>
        <item x="403"/>
        <item x="248"/>
        <item x="269"/>
        <item x="466"/>
        <item x="303"/>
        <item x="79"/>
        <item x="400"/>
        <item x="732"/>
        <item x="364"/>
        <item x="736"/>
        <item x="567"/>
        <item x="59"/>
        <item x="502"/>
        <item x="485"/>
        <item x="27"/>
        <item x="307"/>
        <item x="477"/>
        <item x="316"/>
        <item x="40"/>
        <item x="230"/>
        <item x="954"/>
        <item x="985"/>
        <item x="988"/>
        <item x="922"/>
        <item x="865"/>
        <item x="812"/>
        <item x="950"/>
        <item x="772"/>
        <item x="140"/>
        <item x="136"/>
        <item x="146"/>
        <item x="768"/>
        <item x="459"/>
        <item x="779"/>
        <item x="655"/>
        <item x="656"/>
        <item x="725"/>
        <item x="795"/>
        <item x="664"/>
        <item x="923"/>
        <item x="843"/>
        <item x="936"/>
        <item x="935"/>
        <item x="842"/>
        <item x="801"/>
        <item x="808"/>
        <item x="881"/>
        <item x="137"/>
        <item x="37"/>
        <item x="371"/>
        <item x="10"/>
        <item x="108"/>
        <item x="6"/>
        <item x="762"/>
        <item x="753"/>
        <item x="728"/>
        <item x="763"/>
        <item x="612"/>
        <item x="824"/>
        <item x="680"/>
        <item x="643"/>
        <item x="647"/>
        <item x="887"/>
        <item x="740"/>
        <item x="530"/>
        <item x="414"/>
        <item x="288"/>
        <item x="290"/>
        <item x="399"/>
        <item x="756"/>
        <item x="366"/>
        <item x="26"/>
        <item x="51"/>
        <item x="178"/>
        <item x="95"/>
        <item x="850"/>
        <item x="573"/>
        <item x="569"/>
        <item x="12"/>
        <item x="504"/>
        <item x="501"/>
        <item x="202"/>
        <item x="66"/>
        <item x="69"/>
        <item x="50"/>
        <item x="52"/>
        <item x="227"/>
        <item x="141"/>
        <item x="354"/>
        <item x="510"/>
        <item x="337"/>
        <item x="498"/>
        <item x="334"/>
        <item x="103"/>
        <item x="20"/>
        <item x="189"/>
        <item x="981"/>
        <item x="957"/>
        <item x="213"/>
        <item x="215"/>
        <item x="236"/>
        <item x="871"/>
        <item x="853"/>
        <item x="758"/>
        <item x="614"/>
        <item x="875"/>
        <item x="907"/>
        <item x="193"/>
        <item x="197"/>
        <item x="460"/>
        <item x="786"/>
        <item x="733"/>
        <item x="249"/>
        <item x="245"/>
        <item x="179"/>
        <item x="180"/>
        <item x="554"/>
        <item x="671"/>
        <item x="453"/>
        <item x="168"/>
        <item x="994"/>
        <item x="314"/>
        <item x="274"/>
        <item x="278"/>
        <item x="748"/>
        <item x="731"/>
        <item x="737"/>
        <item x="878"/>
        <item x="770"/>
        <item x="539"/>
        <item x="222"/>
        <item x="132"/>
        <item x="5"/>
        <item x="134"/>
        <item x="98"/>
        <item x="78"/>
        <item x="44"/>
        <item x="760"/>
        <item x="24"/>
        <item x="378"/>
        <item x="439"/>
        <item x="719"/>
        <item x="707"/>
        <item x="505"/>
        <item x="487"/>
        <item x="143"/>
        <item x="14"/>
        <item x="90"/>
        <item x="325"/>
        <item x="691"/>
        <item x="102"/>
        <item x="720"/>
        <item x="919"/>
        <item x="980"/>
        <item x="978"/>
        <item x="986"/>
        <item x="925"/>
        <item x="388"/>
        <item x="246"/>
        <item x="411"/>
        <item x="157"/>
        <item x="555"/>
        <item x="438"/>
        <item x="194"/>
        <item x="468"/>
        <item x="158"/>
        <item x="263"/>
        <item x="946"/>
        <item x="677"/>
        <item x="637"/>
        <item x="780"/>
        <item x="646"/>
        <item x="966"/>
        <item x="969"/>
        <item x="970"/>
        <item x="891"/>
        <item x="659"/>
        <item x="628"/>
        <item x="761"/>
        <item x="826"/>
        <item x="823"/>
        <item x="678"/>
        <item x="675"/>
        <item x="679"/>
        <item x="777"/>
        <item x="774"/>
        <item x="648"/>
        <item x="832"/>
        <item x="858"/>
        <item x="46"/>
        <item x="81"/>
        <item x="578"/>
        <item x="712"/>
        <item x="594"/>
        <item x="585"/>
        <item x="528"/>
        <item x="387"/>
        <item x="242"/>
        <item x="506"/>
        <item x="342"/>
        <item x="205"/>
        <item x="68"/>
        <item x="41"/>
        <item x="999"/>
        <item x="927"/>
        <item x="536"/>
        <item x="254"/>
        <item x="430"/>
        <item x="434"/>
        <item x="440"/>
        <item x="461"/>
        <item x="404"/>
        <item x="765"/>
        <item x="738"/>
        <item x="717"/>
        <item x="945"/>
        <item x="807"/>
        <item x="809"/>
        <item x="224"/>
        <item x="228"/>
        <item x="352"/>
        <item x="206"/>
        <item x="25"/>
        <item x="124"/>
        <item x="586"/>
        <item x="713"/>
        <item x="764"/>
        <item x="529"/>
        <item x="353"/>
        <item x="503"/>
        <item x="8"/>
        <item x="54"/>
        <item x="84"/>
        <item x="71"/>
        <item x="142"/>
        <item x="2"/>
        <item x="579"/>
        <item x="977"/>
        <item x="285"/>
        <item x="667"/>
        <item x="301"/>
        <item x="300"/>
        <item x="467"/>
        <item x="304"/>
        <item x="405"/>
        <item x="164"/>
        <item x="420"/>
        <item x="856"/>
        <item x="947"/>
        <item x="540"/>
        <item x="407"/>
        <item x="190"/>
        <item x="457"/>
        <item x="963"/>
        <item x="363"/>
        <item x="191"/>
        <item x="778"/>
        <item x="644"/>
        <item x="967"/>
        <item x="937"/>
        <item x="872"/>
        <item x="749"/>
        <item x="833"/>
        <item x="834"/>
        <item x="932"/>
        <item x="810"/>
        <item x="953"/>
        <item x="147"/>
        <item x="58"/>
        <item x="4"/>
        <item x="683"/>
        <item x="722"/>
        <item x="375"/>
        <item x="243"/>
        <item x="381"/>
        <item x="507"/>
        <item x="343"/>
        <item x="491"/>
        <item x="22"/>
        <item x="130"/>
        <item x="481"/>
        <item x="689"/>
        <item x="45"/>
        <item x="282"/>
        <item x="421"/>
        <item x="547"/>
        <item x="109"/>
        <item x="0"/>
        <item x="31"/>
        <item x="138"/>
        <item x="38"/>
        <item x="145"/>
        <item x="149"/>
        <item x="118"/>
        <item x="464"/>
        <item x="444"/>
        <item x="279"/>
        <item x="92"/>
        <item x="602"/>
        <item x="559"/>
        <item x="729"/>
        <item x="478"/>
        <item x="188"/>
        <item x="322"/>
        <item x="328"/>
        <item x="231"/>
        <item x="583"/>
        <item x="211"/>
        <item x="373"/>
        <item x="53"/>
        <item x="475"/>
        <item x="715"/>
        <item x="661"/>
        <item x="287"/>
        <item x="620"/>
        <item x="587"/>
        <item x="590"/>
        <item x="820"/>
        <item x="492"/>
        <item x="956"/>
        <item x="962"/>
        <item x="804"/>
        <item x="638"/>
        <item x="743"/>
        <item x="941"/>
        <item x="873"/>
        <item x="757"/>
        <item x="668"/>
        <item x="448"/>
        <item x="893"/>
        <item x="982"/>
        <item x="902"/>
        <item x="934"/>
        <item x="576"/>
        <item x="619"/>
        <item x="634"/>
        <item x="635"/>
        <item x="889"/>
        <item x="654"/>
        <item x="797"/>
        <item x="441"/>
        <item x="442"/>
        <item x="926"/>
        <item x="350"/>
        <item x="349"/>
        <item x="489"/>
        <item x="29"/>
        <item x="223"/>
        <item x="225"/>
        <item x="221"/>
        <item x="100"/>
        <item x="30"/>
        <item x="35"/>
        <item x="169"/>
        <item x="431"/>
        <item x="83"/>
        <item x="123"/>
        <item x="289"/>
        <item x="723"/>
        <item x="730"/>
        <item x="754"/>
        <item x="580"/>
        <item x="187"/>
        <item x="186"/>
        <item x="479"/>
        <item x="212"/>
        <item x="356"/>
        <item x="207"/>
        <item x="308"/>
        <item x="73"/>
        <item x="310"/>
        <item x="87"/>
        <item x="703"/>
        <item x="239"/>
        <item x="406"/>
        <item x="412"/>
        <item x="413"/>
        <item x="171"/>
        <item x="423"/>
        <item x="259"/>
        <item x="615"/>
        <item x="822"/>
        <item x="198"/>
        <item x="270"/>
        <item x="195"/>
        <item x="597"/>
        <item x="166"/>
        <item x="523"/>
        <item x="482"/>
        <item x="575"/>
        <item x="750"/>
        <item x="13"/>
        <item x="358"/>
        <item x="82"/>
        <item x="704"/>
        <item x="499"/>
        <item x="219"/>
        <item x="56"/>
        <item x="34"/>
        <item x="392"/>
        <item x="545"/>
        <item x="181"/>
        <item x="660"/>
        <item x="281"/>
        <item x="264"/>
        <item x="759"/>
        <item x="951"/>
        <item x="623"/>
        <item x="816"/>
        <item x="814"/>
        <item x="676"/>
        <item x="531"/>
        <item x="987"/>
        <item x="920"/>
        <item x="47"/>
        <item x="948"/>
        <item x="538"/>
        <item x="960"/>
        <item x="885"/>
        <item x="665"/>
        <item x="739"/>
        <item x="670"/>
        <item x="465"/>
        <item x="564"/>
        <item x="543"/>
        <item x="958"/>
        <item x="964"/>
        <item x="650"/>
        <item x="651"/>
        <item x="799"/>
        <item x="791"/>
        <item x="792"/>
        <item x="938"/>
        <item x="305"/>
        <item x="398"/>
        <item x="174"/>
        <item x="291"/>
        <item x="297"/>
        <item x="601"/>
        <item x="846"/>
        <item x="184"/>
        <item x="114"/>
        <item x="80"/>
        <item x="917"/>
        <item x="232"/>
        <item x="229"/>
        <item x="557"/>
        <item x="918"/>
        <item x="365"/>
        <item x="203"/>
        <item x="309"/>
        <item x="508"/>
        <item x="493"/>
        <item x="331"/>
        <item x="226"/>
        <item x="389"/>
        <item x="618"/>
        <item x="767"/>
        <item x="991"/>
        <item x="909"/>
        <item x="844"/>
        <item x="895"/>
        <item x="445"/>
        <item x="85"/>
        <item x="435"/>
        <item x="851"/>
        <item x="380"/>
        <item x="361"/>
        <item x="18"/>
        <item x="120"/>
        <item x="561"/>
        <item x="319"/>
        <item x="317"/>
        <item x="522"/>
        <item x="558"/>
        <item x="362"/>
        <item x="836"/>
        <item x="565"/>
        <item x="320"/>
        <item x="697"/>
        <item x="701"/>
        <item x="344"/>
        <item x="338"/>
        <item x="692"/>
        <item x="335"/>
        <item x="39"/>
        <item x="101"/>
        <item x="238"/>
        <item x="156"/>
        <item x="77"/>
        <item x="544"/>
        <item x="250"/>
        <item x="415"/>
        <item x="426"/>
        <item x="606"/>
        <item x="616"/>
        <item x="821"/>
        <item x="819"/>
        <item x="976"/>
        <item x="802"/>
        <item x="811"/>
        <item x="880"/>
        <item x="959"/>
        <item x="776"/>
        <item x="783"/>
        <item x="788"/>
        <item x="657"/>
        <item x="859"/>
        <item x="870"/>
        <item x="745"/>
        <item x="894"/>
        <item x="989"/>
        <item x="996"/>
        <item x="921"/>
        <item x="855"/>
        <item x="805"/>
        <item x="542"/>
        <item x="789"/>
        <item x="662"/>
        <item x="268"/>
        <item x="454"/>
        <item x="275"/>
        <item x="588"/>
        <item x="154"/>
        <item x="480"/>
        <item x="992"/>
        <item x="914"/>
        <item x="374"/>
        <item x="560"/>
        <item x="702"/>
        <item x="347"/>
        <item x="150"/>
        <item x="60"/>
        <item x="42"/>
        <item x="105"/>
        <item x="155"/>
        <item x="76"/>
        <item x="532"/>
        <item x="384"/>
        <item x="391"/>
        <item x="548"/>
        <item x="428"/>
        <item x="416"/>
        <item x="409"/>
        <item x="196"/>
        <item x="192"/>
        <item x="673"/>
        <item x="892"/>
        <item x="312"/>
        <item x="512"/>
        <item x="513"/>
        <item x="509"/>
        <item x="333"/>
        <item x="62"/>
        <item x="125"/>
        <item x="280"/>
        <item x="436"/>
        <item x="298"/>
        <item x="302"/>
        <item x="603"/>
        <item x="724"/>
        <item x="240"/>
        <item x="165"/>
        <item x="115"/>
        <item x="21"/>
        <item x="326"/>
        <item x="521"/>
        <item x="915"/>
        <item x="831"/>
        <item x="828"/>
        <item x="829"/>
        <item x="827"/>
        <item x="74"/>
        <item x="376"/>
        <item x="472"/>
        <item x="473"/>
        <item x="469"/>
        <item x="474"/>
        <item x="393"/>
        <item x="257"/>
        <item x="266"/>
        <item x="525"/>
        <item x="972"/>
        <item x="933"/>
        <item x="931"/>
        <item x="928"/>
        <item x="775"/>
        <item x="636"/>
        <item x="787"/>
        <item x="652"/>
        <item x="726"/>
        <item x="866"/>
        <item x="943"/>
        <item x="771"/>
        <item x="632"/>
        <item x="640"/>
        <item x="641"/>
        <item x="793"/>
        <item x="746"/>
        <item x="64"/>
        <item x="355"/>
        <item x="698"/>
        <item x="32"/>
        <item x="57"/>
        <item x="129"/>
        <item x="208"/>
        <item x="113"/>
        <item x="104"/>
        <item x="443"/>
        <item x="718"/>
        <item x="852"/>
        <item x="582"/>
        <item x="727"/>
        <item x="710"/>
        <item x="152"/>
        <item x="19"/>
        <item x="313"/>
        <item x="581"/>
        <item x="684"/>
        <item x="534"/>
        <item x="386"/>
        <item x="553"/>
        <item x="550"/>
        <item x="551"/>
        <item x="429"/>
        <item x="990"/>
        <item x="825"/>
        <item x="817"/>
        <item x="837"/>
        <item x="591"/>
        <item x="377"/>
        <item x="417"/>
        <item x="292"/>
        <item x="293"/>
        <item x="271"/>
        <item x="176"/>
        <item x="260"/>
        <item x="470"/>
        <item x="209"/>
        <item x="476"/>
        <item x="116"/>
        <item x="119"/>
        <item x="91"/>
        <item x="690"/>
        <item x="446"/>
        <item x="751"/>
        <item x="711"/>
        <item x="153"/>
        <item x="9"/>
        <item x="99"/>
        <item x="695"/>
        <item x="519"/>
        <item x="700"/>
        <item x="351"/>
        <item x="345"/>
        <item x="486"/>
        <item x="629"/>
        <item x="904"/>
        <item x="898"/>
        <item x="526"/>
        <item x="162"/>
        <item x="552"/>
        <item x="781"/>
        <item x="888"/>
        <item x="669"/>
        <item x="940"/>
        <item x="944"/>
        <item x="983"/>
        <item x="924"/>
        <item x="930"/>
        <item x="965"/>
        <item x="883"/>
        <item x="172"/>
        <item x="796"/>
        <item x="744"/>
        <item x="741"/>
        <item x="939"/>
        <item x="979"/>
        <item x="905"/>
        <item x="860"/>
        <item x="974"/>
        <item x="806"/>
        <item x="955"/>
        <item x="912"/>
        <item x="685"/>
        <item x="93"/>
        <item x="422"/>
        <item x="418"/>
        <item x="199"/>
        <item x="167"/>
        <item x="276"/>
        <item x="48"/>
        <item x="16"/>
        <item x="122"/>
        <item x="321"/>
        <item x="449"/>
        <item x="686"/>
        <item x="577"/>
        <item x="592"/>
        <item x="372"/>
        <item x="106"/>
        <item x="706"/>
        <item x="511"/>
        <item x="595"/>
        <item x="681"/>
        <item x="815"/>
        <item x="390"/>
        <item x="131"/>
        <item x="33"/>
        <item x="133"/>
        <item x="148"/>
        <item x="61"/>
        <item x="516"/>
        <item x="517"/>
        <item x="840"/>
        <item x="699"/>
        <item x="500"/>
        <item x="497"/>
        <item x="734"/>
        <item x="911"/>
        <item x="604"/>
        <item x="94"/>
        <item x="306"/>
        <item x="277"/>
        <item x="462"/>
        <item x="471"/>
        <item x="70"/>
        <item x="126"/>
        <item x="570"/>
        <item x="848"/>
        <item x="183"/>
        <item x="766"/>
        <item x="607"/>
        <item x="952"/>
        <item x="621"/>
        <item x="609"/>
        <item x="903"/>
        <item x="899"/>
        <item x="535"/>
        <item x="385"/>
        <item x="267"/>
        <item x="546"/>
        <item x="884"/>
        <item x="882"/>
        <item x="663"/>
        <item x="869"/>
        <item x="973"/>
        <item x="845"/>
        <item x="929"/>
        <item x="854"/>
        <item x="773"/>
        <item x="625"/>
        <item x="910"/>
        <item x="790"/>
        <item x="666"/>
        <item x="861"/>
        <item x="755"/>
        <item x="798"/>
        <item x="908"/>
        <item x="75"/>
        <item x="339"/>
        <item x="495"/>
        <item x="323"/>
        <item x="324"/>
        <item x="995"/>
        <item x="359"/>
        <item x="360"/>
        <item x="838"/>
        <item x="993"/>
        <item x="913"/>
        <item x="235"/>
        <item x="370"/>
        <item x="419"/>
        <item x="284"/>
        <item x="200"/>
        <item x="272"/>
        <item x="65"/>
        <item x="447"/>
        <item x="273"/>
        <item x="432"/>
        <item x="687"/>
        <item x="611"/>
        <item x="596"/>
        <item x="598"/>
        <item x="906"/>
        <item x="900"/>
        <item x="533"/>
        <item x="394"/>
        <item x="255"/>
        <item x="256"/>
        <item x="645"/>
        <item x="55"/>
        <item x="218"/>
        <item x="135"/>
        <item x="562"/>
        <item x="348"/>
        <item x="693"/>
        <item x="839"/>
        <item x="599"/>
        <item x="369"/>
        <item x="382"/>
        <item x="424"/>
        <item x="401"/>
        <item x="161"/>
        <item x="112"/>
        <item x="408"/>
        <item x="201"/>
        <item x="311"/>
        <item x="330"/>
        <item x="127"/>
        <item x="295"/>
        <item x="600"/>
        <item x="709"/>
        <item x="961"/>
        <item x="639"/>
        <item x="971"/>
        <item x="890"/>
        <item x="862"/>
        <item x="868"/>
        <item x="742"/>
        <item x="841"/>
        <item x="813"/>
        <item x="111"/>
        <item x="879"/>
        <item x="610"/>
        <item x="901"/>
        <item x="247"/>
        <item x="397"/>
        <item x="876"/>
        <item x="769"/>
        <item x="624"/>
        <item x="617"/>
        <item x="608"/>
        <item x="173"/>
        <item x="897"/>
        <item x="626"/>
        <item x="251"/>
        <item x="265"/>
        <item x="72"/>
        <item x="518"/>
        <item x="556"/>
        <item x="336"/>
        <item x="484"/>
        <item x="688"/>
        <item x="589"/>
        <item x="258"/>
        <item x="110"/>
        <item x="107"/>
        <item x="88"/>
        <item x="89"/>
        <item x="294"/>
        <item x="315"/>
        <item x="233"/>
        <item x="483"/>
        <item x="433"/>
        <item x="571"/>
        <item x="566"/>
        <item x="705"/>
        <item x="593"/>
        <item x="549"/>
        <item x="633"/>
        <item x="782"/>
        <item x="642"/>
        <item x="794"/>
        <item x="721"/>
        <item x="735"/>
        <item x="747"/>
        <item x="874"/>
        <item x="863"/>
        <item x="214"/>
        <item x="217"/>
        <item x="144"/>
        <item x="3"/>
        <item x="714"/>
        <item x="514"/>
        <item x="696"/>
        <item x="346"/>
        <item x="496"/>
        <item x="494"/>
        <item x="329"/>
        <item x="163"/>
        <item x="159"/>
        <item x="568"/>
        <item x="572"/>
        <item x="916"/>
        <item x="299"/>
        <item x="160"/>
        <item x="204"/>
        <item x="23"/>
        <item x="563"/>
        <item x="450"/>
        <item x="286"/>
        <item x="784"/>
        <item x="968"/>
        <item x="649"/>
        <item x="867"/>
        <item x="752"/>
        <item x="984"/>
        <item x="864"/>
        <item x="630"/>
        <item x="613"/>
        <item x="170"/>
        <item x="818"/>
        <item x="674"/>
        <item x="396"/>
        <item x="261"/>
        <item x="252"/>
        <item x="949"/>
        <item x="857"/>
        <item x="622"/>
        <item x="672"/>
        <item x="537"/>
        <item x="177"/>
        <item x="216"/>
        <item x="220"/>
        <item x="36"/>
        <item x="43"/>
        <item x="515"/>
        <item x="694"/>
        <item x="332"/>
        <item x="410"/>
        <item x="63"/>
        <item x="574"/>
        <item x="830"/>
        <item x="682"/>
        <item x="605"/>
        <item x="368"/>
        <item x="97"/>
        <item x="96"/>
        <item x="658"/>
        <item x="425"/>
        <item x="427"/>
        <item x="437"/>
        <item x="402"/>
        <item x="11"/>
        <item x="185"/>
        <item x="49"/>
        <item x="67"/>
        <item x="210"/>
        <item x="451"/>
        <item x="175"/>
        <item x="849"/>
        <item x="631"/>
        <item x="886"/>
        <item x="942"/>
        <item x="997"/>
        <item t="default" sd="0"/>
      </items>
    </pivotField>
    <pivotField name="Marital Status" compact="0" outline="0" showAll="0">
      <items count="3">
        <item x="0"/>
        <item x="1"/>
        <item t="default" sd="0"/>
      </items>
    </pivotField>
    <pivotField name="Marital Status Full" compact="0" outline="0" showAll="0">
      <items count="3">
        <item x="0"/>
        <item x="1"/>
        <item t="default" sd="0"/>
      </items>
    </pivotField>
    <pivotField name="Gender" compact="0" outline="0" showAll="0">
      <items count="3">
        <item x="0"/>
        <item x="1"/>
        <item t="default" sd="0"/>
      </items>
    </pivotField>
    <pivotField name="Gender Full" compact="0" outline="0" showAll="0">
      <items count="3">
        <item x="0"/>
        <item x="1"/>
        <item t="default" sd="0"/>
      </items>
    </pivotField>
    <pivotField name="Income" axis="axisValues" dataField="1" compact="0" outline="0" showAll="0"/>
    <pivotField name="Income Check" compact="0" outline="0" showAll="0">
      <items count="2">
        <item sd="0" x="0"/>
        <item t="default" sd="0"/>
      </items>
    </pivotField>
    <pivotField name="Children" compact="0" outline="0" showAll="0">
      <items count="7">
        <item x="4"/>
        <item x="2"/>
        <item x="3"/>
        <item x="5"/>
        <item x="0"/>
        <item x="1"/>
        <item t="default" sd="0"/>
      </items>
    </pivotField>
    <pivotField name="Education" compact="0" outline="0" showAll="0">
      <items count="6">
        <item x="3"/>
        <item x="1"/>
        <item x="2"/>
        <item x="0"/>
        <item x="4"/>
        <item t="default" sd="0"/>
      </items>
    </pivotField>
    <pivotField name="Occupation" compact="0" outline="0" showAll="0">
      <items count="6">
        <item x="4"/>
        <item x="1"/>
        <item x="2"/>
        <item x="0"/>
        <item x="3"/>
        <item t="default" sd="0"/>
      </items>
    </pivotField>
    <pivotField name="Home Owner" compact="0" outline="0" showAll="0">
      <items count="3">
        <item x="0"/>
        <item x="1"/>
        <item t="default" sd="0"/>
      </items>
    </pivotField>
    <pivotField name="Cars" compact="0" outline="0" showAll="0">
      <items count="6">
        <item x="1"/>
        <item x="4"/>
        <item x="3"/>
        <item x="0"/>
        <item x="2"/>
        <item t="default" sd="0"/>
      </items>
    </pivotField>
    <pivotField name="Commute Distance" compact="0" outline="0" showAll="0">
      <items count="6">
        <item x="1"/>
        <item x="3"/>
        <item x="2"/>
        <item x="4"/>
        <item x="0"/>
        <item t="default" sd="0"/>
      </items>
    </pivotField>
    <pivotField name="Region" compact="0" outline="0" showAll="0">
      <items count="4">
        <item x="0"/>
        <item x="1"/>
        <item x="2"/>
        <item t="default" sd="0"/>
      </items>
    </pivotField>
    <pivotField name="Age" compact="0" outline="0" showAll="0">
      <items count="54">
        <item x="48"/>
        <item x="49"/>
        <item x="45"/>
        <item x="50"/>
        <item x="38"/>
        <item x="39"/>
        <item x="8"/>
        <item x="23"/>
        <item x="3"/>
        <item x="24"/>
        <item x="32"/>
        <item x="9"/>
        <item x="5"/>
        <item x="10"/>
        <item x="25"/>
        <item x="11"/>
        <item x="12"/>
        <item x="13"/>
        <item x="26"/>
        <item x="6"/>
        <item x="14"/>
        <item x="27"/>
        <item x="4"/>
        <item x="0"/>
        <item x="36"/>
        <item x="15"/>
        <item x="7"/>
        <item x="16"/>
        <item x="31"/>
        <item x="17"/>
        <item x="1"/>
        <item x="28"/>
        <item x="40"/>
        <item x="18"/>
        <item x="19"/>
        <item x="41"/>
        <item x="20"/>
        <item x="29"/>
        <item x="37"/>
        <item x="30"/>
        <item x="33"/>
        <item x="2"/>
        <item x="21"/>
        <item x="42"/>
        <item x="22"/>
        <item x="43"/>
        <item x="47"/>
        <item x="44"/>
        <item x="34"/>
        <item x="46"/>
        <item x="35"/>
        <item x="51"/>
        <item x="52"/>
        <item t="default" sd="0"/>
      </items>
    </pivotField>
    <pivotField name="Age Check" compact="0" outline="0" showAll="0">
      <items count="2">
        <item sd="0" x="0"/>
        <item t="default" sd="0"/>
      </items>
    </pivotField>
    <pivotField name="Age Group" compact="0" outline="0" showAll="0">
      <items count="4">
        <item x="0"/>
        <item x="1"/>
        <item x="2"/>
        <item t="default" sd="0"/>
      </items>
    </pivotField>
    <pivotField name="Purchased Bike" axis="axisCol" compact="0" numFmtId="49" outline="0" showAll="0" sortType="ascending">
      <items count="3">
        <item x="1"/>
        <item x="0"/>
        <item t="default" sd="0"/>
      </items>
    </pivotField>
    <pivotField name="ID Count" compact="0" outline="0" showAll="0">
      <items count="2">
        <item sd="0" x="0"/>
        <item t="default" sd="0"/>
      </items>
    </pivotField>
    <pivotField name="Income Number or text? " compact="0" outline="0" showAll="0">
      <items count="2">
        <item sd="0" x="0"/>
        <item t="default" sd="0"/>
      </items>
    </pivotField>
    <pivotField name="Age number or text?" compact="0" outline="0" showAll="0">
      <items count="2">
        <item sd="0" x="0"/>
        <item t="default" sd="0"/>
      </items>
    </pivotField>
  </pivotFields>
  <rowItems count="1">
    <i/>
  </rowItems>
  <colFields count="1">
    <field x="17"/>
  </colFields>
  <colItems count="3">
    <i>
      <x/>
    </i>
    <i>
      <x v="1"/>
    </i>
    <i t="grand">
      <x/>
    </i>
  </colItems>
  <dataFields count="1">
    <dataField name="Average of Income" fld="5" subtotal="average" numFmtId="59"/>
  </dataFields>
  <pivotTableStyleInfo name="PivotStyleCustom03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2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3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M1027"/>
  <sheetViews>
    <sheetView workbookViewId="0" showGridLines="0" defaultGridColor="1"/>
  </sheetViews>
  <sheetFormatPr defaultColWidth="11.8333" defaultRowHeight="14.4" customHeight="1" outlineLevelRow="0" outlineLevelCol="0"/>
  <cols>
    <col min="1" max="12" width="11.8516" style="1" customWidth="1"/>
    <col min="13" max="13" width="15.5" style="1" customWidth="1"/>
    <col min="14" max="16384" width="11.851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3.55" customHeight="1">
      <c r="A2" s="3">
        <v>12496</v>
      </c>
      <c r="B2" t="s" s="2">
        <v>13</v>
      </c>
      <c r="C2" t="s" s="2">
        <v>14</v>
      </c>
      <c r="D2" s="4">
        <v>40000</v>
      </c>
      <c r="E2" s="3">
        <v>1</v>
      </c>
      <c r="F2" t="s" s="2">
        <v>15</v>
      </c>
      <c r="G2" t="s" s="2">
        <v>16</v>
      </c>
      <c r="H2" t="s" s="2">
        <v>17</v>
      </c>
      <c r="I2" s="3">
        <v>0</v>
      </c>
      <c r="J2" t="s" s="2">
        <v>18</v>
      </c>
      <c r="K2" t="s" s="2">
        <v>19</v>
      </c>
      <c r="L2" s="3">
        <v>42</v>
      </c>
      <c r="M2" t="s" s="2">
        <v>20</v>
      </c>
    </row>
    <row r="3" ht="13.55" customHeight="1">
      <c r="A3" s="3">
        <v>24107</v>
      </c>
      <c r="B3" t="s" s="2">
        <v>13</v>
      </c>
      <c r="C3" t="s" s="2">
        <v>13</v>
      </c>
      <c r="D3" s="4">
        <v>30000</v>
      </c>
      <c r="E3" s="3">
        <v>3</v>
      </c>
      <c r="F3" t="s" s="2">
        <v>21</v>
      </c>
      <c r="G3" t="s" s="2">
        <v>22</v>
      </c>
      <c r="H3" t="s" s="2">
        <v>17</v>
      </c>
      <c r="I3" s="3">
        <v>1</v>
      </c>
      <c r="J3" t="s" s="2">
        <v>18</v>
      </c>
      <c r="K3" t="s" s="2">
        <v>19</v>
      </c>
      <c r="L3" s="3">
        <v>43</v>
      </c>
      <c r="M3" t="s" s="2">
        <v>20</v>
      </c>
    </row>
    <row r="4" ht="13.55" customHeight="1">
      <c r="A4" s="3">
        <v>14177</v>
      </c>
      <c r="B4" t="s" s="2">
        <v>13</v>
      </c>
      <c r="C4" t="s" s="2">
        <v>13</v>
      </c>
      <c r="D4" s="4">
        <v>80000</v>
      </c>
      <c r="E4" s="3">
        <v>5</v>
      </c>
      <c r="F4" t="s" s="2">
        <v>21</v>
      </c>
      <c r="G4" t="s" s="2">
        <v>23</v>
      </c>
      <c r="H4" t="s" s="2">
        <v>20</v>
      </c>
      <c r="I4" s="3">
        <v>2</v>
      </c>
      <c r="J4" t="s" s="2">
        <v>24</v>
      </c>
      <c r="K4" t="s" s="2">
        <v>19</v>
      </c>
      <c r="L4" s="3">
        <v>60</v>
      </c>
      <c r="M4" t="s" s="2">
        <v>20</v>
      </c>
    </row>
    <row r="5" ht="13.55" customHeight="1">
      <c r="A5" s="3">
        <v>24381</v>
      </c>
      <c r="B5" t="s" s="2">
        <v>25</v>
      </c>
      <c r="C5" t="s" s="2">
        <v>13</v>
      </c>
      <c r="D5" s="4">
        <v>70000</v>
      </c>
      <c r="E5" s="3">
        <v>0</v>
      </c>
      <c r="F5" t="s" s="2">
        <v>15</v>
      </c>
      <c r="G5" t="s" s="2">
        <v>23</v>
      </c>
      <c r="H5" t="s" s="2">
        <v>17</v>
      </c>
      <c r="I5" s="3">
        <v>1</v>
      </c>
      <c r="J5" t="s" s="2">
        <v>26</v>
      </c>
      <c r="K5" t="s" s="2">
        <v>27</v>
      </c>
      <c r="L5" s="3">
        <v>41</v>
      </c>
      <c r="M5" t="s" s="2">
        <v>17</v>
      </c>
    </row>
    <row r="6" ht="13.55" customHeight="1">
      <c r="A6" s="3">
        <v>25597</v>
      </c>
      <c r="B6" t="s" s="2">
        <v>25</v>
      </c>
      <c r="C6" t="s" s="2">
        <v>13</v>
      </c>
      <c r="D6" s="4">
        <v>30000</v>
      </c>
      <c r="E6" s="3">
        <v>0</v>
      </c>
      <c r="F6" t="s" s="2">
        <v>15</v>
      </c>
      <c r="G6" t="s" s="2">
        <v>22</v>
      </c>
      <c r="H6" t="s" s="2">
        <v>20</v>
      </c>
      <c r="I6" s="3">
        <v>0</v>
      </c>
      <c r="J6" t="s" s="2">
        <v>18</v>
      </c>
      <c r="K6" t="s" s="2">
        <v>19</v>
      </c>
      <c r="L6" s="3">
        <v>36</v>
      </c>
      <c r="M6" t="s" s="2">
        <v>17</v>
      </c>
    </row>
    <row r="7" ht="13.55" customHeight="1">
      <c r="A7" s="3">
        <v>13507</v>
      </c>
      <c r="B7" t="s" s="2">
        <v>13</v>
      </c>
      <c r="C7" t="s" s="2">
        <v>14</v>
      </c>
      <c r="D7" s="4">
        <v>10000</v>
      </c>
      <c r="E7" s="3">
        <v>2</v>
      </c>
      <c r="F7" t="s" s="2">
        <v>21</v>
      </c>
      <c r="G7" t="s" s="2">
        <v>28</v>
      </c>
      <c r="H7" t="s" s="2">
        <v>17</v>
      </c>
      <c r="I7" s="3">
        <v>0</v>
      </c>
      <c r="J7" t="s" s="2">
        <v>29</v>
      </c>
      <c r="K7" t="s" s="2">
        <v>19</v>
      </c>
      <c r="L7" s="3">
        <v>50</v>
      </c>
      <c r="M7" t="s" s="2">
        <v>20</v>
      </c>
    </row>
    <row r="8" ht="13.55" customHeight="1">
      <c r="A8" s="3">
        <v>27974</v>
      </c>
      <c r="B8" t="s" s="2">
        <v>25</v>
      </c>
      <c r="C8" t="s" s="2">
        <v>13</v>
      </c>
      <c r="D8" s="4">
        <v>160000</v>
      </c>
      <c r="E8" s="3">
        <v>2</v>
      </c>
      <c r="F8" t="s" s="2">
        <v>30</v>
      </c>
      <c r="G8" t="s" s="2">
        <v>31</v>
      </c>
      <c r="H8" t="s" s="2">
        <v>17</v>
      </c>
      <c r="I8" s="3">
        <v>4</v>
      </c>
      <c r="J8" t="s" s="2">
        <v>18</v>
      </c>
      <c r="K8" t="s" s="2">
        <v>27</v>
      </c>
      <c r="L8" s="3">
        <v>33</v>
      </c>
      <c r="M8" t="s" s="2">
        <v>17</v>
      </c>
    </row>
    <row r="9" ht="13.55" customHeight="1">
      <c r="A9" s="3">
        <v>19364</v>
      </c>
      <c r="B9" t="s" s="2">
        <v>13</v>
      </c>
      <c r="C9" t="s" s="2">
        <v>13</v>
      </c>
      <c r="D9" s="4">
        <v>40000</v>
      </c>
      <c r="E9" s="3">
        <v>1</v>
      </c>
      <c r="F9" t="s" s="2">
        <v>15</v>
      </c>
      <c r="G9" t="s" s="2">
        <v>16</v>
      </c>
      <c r="H9" t="s" s="2">
        <v>17</v>
      </c>
      <c r="I9" s="3">
        <v>0</v>
      </c>
      <c r="J9" t="s" s="2">
        <v>18</v>
      </c>
      <c r="K9" t="s" s="2">
        <v>19</v>
      </c>
      <c r="L9" s="3">
        <v>43</v>
      </c>
      <c r="M9" t="s" s="2">
        <v>17</v>
      </c>
    </row>
    <row r="10" ht="13.55" customHeight="1">
      <c r="A10" s="3">
        <v>22155</v>
      </c>
      <c r="B10" t="s" s="2">
        <v>13</v>
      </c>
      <c r="C10" t="s" s="2">
        <v>13</v>
      </c>
      <c r="D10" s="4">
        <v>20000</v>
      </c>
      <c r="E10" s="3">
        <v>2</v>
      </c>
      <c r="F10" t="s" s="2">
        <v>32</v>
      </c>
      <c r="G10" t="s" s="2">
        <v>22</v>
      </c>
      <c r="H10" t="s" s="2">
        <v>17</v>
      </c>
      <c r="I10" s="3">
        <v>2</v>
      </c>
      <c r="J10" t="s" s="2">
        <v>26</v>
      </c>
      <c r="K10" t="s" s="2">
        <v>27</v>
      </c>
      <c r="L10" s="3">
        <v>58</v>
      </c>
      <c r="M10" t="s" s="2">
        <v>20</v>
      </c>
    </row>
    <row r="11" ht="13.55" customHeight="1">
      <c r="A11" s="3">
        <v>19280</v>
      </c>
      <c r="B11" t="s" s="2">
        <v>13</v>
      </c>
      <c r="C11" t="s" s="2">
        <v>13</v>
      </c>
      <c r="D11" s="4">
        <v>120000</v>
      </c>
      <c r="E11" s="3">
        <v>2</v>
      </c>
      <c r="F11" t="s" s="2">
        <v>21</v>
      </c>
      <c r="G11" t="s" s="2">
        <v>28</v>
      </c>
      <c r="H11" t="s" s="2">
        <v>17</v>
      </c>
      <c r="I11" s="3">
        <v>1</v>
      </c>
      <c r="J11" t="s" s="2">
        <v>18</v>
      </c>
      <c r="K11" t="s" s="2">
        <v>19</v>
      </c>
      <c r="L11" s="3">
        <v>40</v>
      </c>
      <c r="M11" t="s" s="2">
        <v>17</v>
      </c>
    </row>
    <row r="12" ht="13.55" customHeight="1">
      <c r="A12" s="3">
        <v>22173</v>
      </c>
      <c r="B12" t="s" s="2">
        <v>13</v>
      </c>
      <c r="C12" t="s" s="2">
        <v>14</v>
      </c>
      <c r="D12" s="4">
        <v>30000</v>
      </c>
      <c r="E12" s="3">
        <v>3</v>
      </c>
      <c r="F12" t="s" s="2">
        <v>30</v>
      </c>
      <c r="G12" t="s" s="2">
        <v>16</v>
      </c>
      <c r="H12" t="s" s="2">
        <v>20</v>
      </c>
      <c r="I12" s="3">
        <v>2</v>
      </c>
      <c r="J12" t="s" s="2">
        <v>29</v>
      </c>
      <c r="K12" t="s" s="2">
        <v>27</v>
      </c>
      <c r="L12" s="3">
        <v>54</v>
      </c>
      <c r="M12" t="s" s="2">
        <v>17</v>
      </c>
    </row>
    <row r="13" ht="13.55" customHeight="1">
      <c r="A13" s="3">
        <v>12697</v>
      </c>
      <c r="B13" t="s" s="2">
        <v>25</v>
      </c>
      <c r="C13" t="s" s="2">
        <v>14</v>
      </c>
      <c r="D13" s="4">
        <v>90000</v>
      </c>
      <c r="E13" s="3">
        <v>0</v>
      </c>
      <c r="F13" t="s" s="2">
        <v>15</v>
      </c>
      <c r="G13" t="s" s="2">
        <v>23</v>
      </c>
      <c r="H13" t="s" s="2">
        <v>20</v>
      </c>
      <c r="I13" s="3">
        <v>4</v>
      </c>
      <c r="J13" t="s" s="2">
        <v>33</v>
      </c>
      <c r="K13" t="s" s="2">
        <v>27</v>
      </c>
      <c r="L13" s="3">
        <v>36</v>
      </c>
      <c r="M13" t="s" s="2">
        <v>20</v>
      </c>
    </row>
    <row r="14" ht="13.55" customHeight="1">
      <c r="A14" s="3">
        <v>11434</v>
      </c>
      <c r="B14" t="s" s="2">
        <v>13</v>
      </c>
      <c r="C14" t="s" s="2">
        <v>13</v>
      </c>
      <c r="D14" s="4">
        <v>170000</v>
      </c>
      <c r="E14" s="3">
        <v>5</v>
      </c>
      <c r="F14" t="s" s="2">
        <v>21</v>
      </c>
      <c r="G14" t="s" s="2">
        <v>23</v>
      </c>
      <c r="H14" t="s" s="2">
        <v>17</v>
      </c>
      <c r="I14" s="3">
        <v>0</v>
      </c>
      <c r="J14" t="s" s="2">
        <v>18</v>
      </c>
      <c r="K14" t="s" s="2">
        <v>19</v>
      </c>
      <c r="L14" s="3">
        <v>55</v>
      </c>
      <c r="M14" t="s" s="2">
        <v>20</v>
      </c>
    </row>
    <row r="15" ht="13.55" customHeight="1">
      <c r="A15" s="3">
        <v>25323</v>
      </c>
      <c r="B15" t="s" s="2">
        <v>13</v>
      </c>
      <c r="C15" t="s" s="2">
        <v>13</v>
      </c>
      <c r="D15" s="4">
        <v>40000</v>
      </c>
      <c r="E15" s="3">
        <v>2</v>
      </c>
      <c r="F15" t="s" s="2">
        <v>21</v>
      </c>
      <c r="G15" t="s" s="2">
        <v>22</v>
      </c>
      <c r="H15" t="s" s="2">
        <v>17</v>
      </c>
      <c r="I15" s="3">
        <v>1</v>
      </c>
      <c r="J15" t="s" s="2">
        <v>29</v>
      </c>
      <c r="K15" t="s" s="2">
        <v>19</v>
      </c>
      <c r="L15" s="3">
        <v>35</v>
      </c>
      <c r="M15" t="s" s="2">
        <v>17</v>
      </c>
    </row>
    <row r="16" ht="13.55" customHeight="1">
      <c r="A16" s="3">
        <v>23542</v>
      </c>
      <c r="B16" t="s" s="2">
        <v>25</v>
      </c>
      <c r="C16" t="s" s="2">
        <v>13</v>
      </c>
      <c r="D16" s="4">
        <v>60000</v>
      </c>
      <c r="E16" s="3">
        <v>1</v>
      </c>
      <c r="F16" t="s" s="2">
        <v>21</v>
      </c>
      <c r="G16" t="s" s="2">
        <v>16</v>
      </c>
      <c r="H16" t="s" s="2">
        <v>20</v>
      </c>
      <c r="I16" s="3">
        <v>1</v>
      </c>
      <c r="J16" t="s" s="2">
        <v>18</v>
      </c>
      <c r="K16" t="s" s="2">
        <v>27</v>
      </c>
      <c r="L16" s="3">
        <v>45</v>
      </c>
      <c r="M16" t="s" s="2">
        <v>17</v>
      </c>
    </row>
    <row r="17" ht="13.55" customHeight="1">
      <c r="A17" s="3">
        <v>20870</v>
      </c>
      <c r="B17" t="s" s="2">
        <v>25</v>
      </c>
      <c r="C17" t="s" s="2">
        <v>14</v>
      </c>
      <c r="D17" s="4">
        <v>10000</v>
      </c>
      <c r="E17" s="3">
        <v>2</v>
      </c>
      <c r="F17" t="s" s="2">
        <v>30</v>
      </c>
      <c r="G17" t="s" s="2">
        <v>28</v>
      </c>
      <c r="H17" t="s" s="2">
        <v>17</v>
      </c>
      <c r="I17" s="3">
        <v>1</v>
      </c>
      <c r="J17" t="s" s="2">
        <v>18</v>
      </c>
      <c r="K17" t="s" s="2">
        <v>19</v>
      </c>
      <c r="L17" s="3">
        <v>38</v>
      </c>
      <c r="M17" t="s" s="2">
        <v>17</v>
      </c>
    </row>
    <row r="18" ht="13.55" customHeight="1">
      <c r="A18" s="3">
        <v>23316</v>
      </c>
      <c r="B18" t="s" s="2">
        <v>25</v>
      </c>
      <c r="C18" t="s" s="2">
        <v>13</v>
      </c>
      <c r="D18" s="4">
        <v>30000</v>
      </c>
      <c r="E18" s="3">
        <v>3</v>
      </c>
      <c r="F18" t="s" s="2">
        <v>21</v>
      </c>
      <c r="G18" t="s" s="2">
        <v>22</v>
      </c>
      <c r="H18" t="s" s="2">
        <v>20</v>
      </c>
      <c r="I18" s="3">
        <v>2</v>
      </c>
      <c r="J18" t="s" s="2">
        <v>29</v>
      </c>
      <c r="K18" t="s" s="2">
        <v>27</v>
      </c>
      <c r="L18" s="3">
        <v>59</v>
      </c>
      <c r="M18" t="s" s="2">
        <v>17</v>
      </c>
    </row>
    <row r="19" ht="13.55" customHeight="1">
      <c r="A19" s="3">
        <v>12610</v>
      </c>
      <c r="B19" t="s" s="2">
        <v>13</v>
      </c>
      <c r="C19" t="s" s="2">
        <v>14</v>
      </c>
      <c r="D19" s="4">
        <v>30000</v>
      </c>
      <c r="E19" s="3">
        <v>1</v>
      </c>
      <c r="F19" t="s" s="2">
        <v>15</v>
      </c>
      <c r="G19" t="s" s="2">
        <v>22</v>
      </c>
      <c r="H19" t="s" s="2">
        <v>17</v>
      </c>
      <c r="I19" s="3">
        <v>0</v>
      </c>
      <c r="J19" t="s" s="2">
        <v>18</v>
      </c>
      <c r="K19" t="s" s="2">
        <v>19</v>
      </c>
      <c r="L19" s="3">
        <v>47</v>
      </c>
      <c r="M19" t="s" s="2">
        <v>20</v>
      </c>
    </row>
    <row r="20" ht="13.55" customHeight="1">
      <c r="A20" s="3">
        <v>27183</v>
      </c>
      <c r="B20" t="s" s="2">
        <v>25</v>
      </c>
      <c r="C20" t="s" s="2">
        <v>13</v>
      </c>
      <c r="D20" s="4">
        <v>40000</v>
      </c>
      <c r="E20" s="3">
        <v>2</v>
      </c>
      <c r="F20" t="s" s="2">
        <v>21</v>
      </c>
      <c r="G20" t="s" s="2">
        <v>22</v>
      </c>
      <c r="H20" t="s" s="2">
        <v>17</v>
      </c>
      <c r="I20" s="3">
        <v>1</v>
      </c>
      <c r="J20" t="s" s="2">
        <v>29</v>
      </c>
      <c r="K20" t="s" s="2">
        <v>19</v>
      </c>
      <c r="L20" s="3">
        <v>35</v>
      </c>
      <c r="M20" t="s" s="2">
        <v>17</v>
      </c>
    </row>
    <row r="21" ht="13.55" customHeight="1">
      <c r="A21" s="3">
        <v>25940</v>
      </c>
      <c r="B21" t="s" s="2">
        <v>25</v>
      </c>
      <c r="C21" t="s" s="2">
        <v>13</v>
      </c>
      <c r="D21" s="4">
        <v>20000</v>
      </c>
      <c r="E21" s="3">
        <v>2</v>
      </c>
      <c r="F21" t="s" s="2">
        <v>32</v>
      </c>
      <c r="G21" t="s" s="2">
        <v>22</v>
      </c>
      <c r="H21" t="s" s="2">
        <v>17</v>
      </c>
      <c r="I21" s="3">
        <v>2</v>
      </c>
      <c r="J21" t="s" s="2">
        <v>26</v>
      </c>
      <c r="K21" t="s" s="2">
        <v>27</v>
      </c>
      <c r="L21" s="3">
        <v>55</v>
      </c>
      <c r="M21" t="s" s="2">
        <v>17</v>
      </c>
    </row>
    <row r="22" ht="13.55" customHeight="1">
      <c r="A22" s="3">
        <v>25598</v>
      </c>
      <c r="B22" t="s" s="2">
        <v>13</v>
      </c>
      <c r="C22" t="s" s="2">
        <v>14</v>
      </c>
      <c r="D22" s="4">
        <v>40000</v>
      </c>
      <c r="E22" s="3">
        <v>0</v>
      </c>
      <c r="F22" t="s" s="2">
        <v>34</v>
      </c>
      <c r="G22" t="s" s="2">
        <v>22</v>
      </c>
      <c r="H22" t="s" s="2">
        <v>17</v>
      </c>
      <c r="I22" s="3">
        <v>0</v>
      </c>
      <c r="J22" t="s" s="2">
        <v>18</v>
      </c>
      <c r="K22" t="s" s="2">
        <v>19</v>
      </c>
      <c r="L22" s="3">
        <v>36</v>
      </c>
      <c r="M22" t="s" s="2">
        <v>17</v>
      </c>
    </row>
    <row r="23" ht="13.55" customHeight="1">
      <c r="A23" s="3">
        <v>21564</v>
      </c>
      <c r="B23" t="s" s="2">
        <v>25</v>
      </c>
      <c r="C23" t="s" s="2">
        <v>14</v>
      </c>
      <c r="D23" s="4">
        <v>80000</v>
      </c>
      <c r="E23" s="3">
        <v>0</v>
      </c>
      <c r="F23" t="s" s="2">
        <v>15</v>
      </c>
      <c r="G23" t="s" s="2">
        <v>23</v>
      </c>
      <c r="H23" t="s" s="2">
        <v>17</v>
      </c>
      <c r="I23" s="3">
        <v>4</v>
      </c>
      <c r="J23" t="s" s="2">
        <v>33</v>
      </c>
      <c r="K23" t="s" s="2">
        <v>27</v>
      </c>
      <c r="L23" s="3">
        <v>35</v>
      </c>
      <c r="M23" t="s" s="2">
        <v>20</v>
      </c>
    </row>
    <row r="24" ht="13.55" customHeight="1">
      <c r="A24" s="3">
        <v>19193</v>
      </c>
      <c r="B24" t="s" s="2">
        <v>25</v>
      </c>
      <c r="C24" t="s" s="2">
        <v>13</v>
      </c>
      <c r="D24" s="4">
        <v>40000</v>
      </c>
      <c r="E24" s="3">
        <v>2</v>
      </c>
      <c r="F24" t="s" s="2">
        <v>21</v>
      </c>
      <c r="G24" t="s" s="2">
        <v>22</v>
      </c>
      <c r="H24" t="s" s="2">
        <v>17</v>
      </c>
      <c r="I24" s="3">
        <v>0</v>
      </c>
      <c r="J24" t="s" s="2">
        <v>29</v>
      </c>
      <c r="K24" t="s" s="2">
        <v>19</v>
      </c>
      <c r="L24" s="3">
        <v>35</v>
      </c>
      <c r="M24" t="s" s="2">
        <v>17</v>
      </c>
    </row>
    <row r="25" ht="13.55" customHeight="1">
      <c r="A25" s="3">
        <v>26412</v>
      </c>
      <c r="B25" t="s" s="2">
        <v>13</v>
      </c>
      <c r="C25" t="s" s="2">
        <v>14</v>
      </c>
      <c r="D25" s="4">
        <v>80000</v>
      </c>
      <c r="E25" s="3">
        <v>5</v>
      </c>
      <c r="F25" t="s" s="2">
        <v>30</v>
      </c>
      <c r="G25" t="s" s="2">
        <v>31</v>
      </c>
      <c r="H25" t="s" s="2">
        <v>20</v>
      </c>
      <c r="I25" s="3">
        <v>3</v>
      </c>
      <c r="J25" t="s" s="2">
        <v>26</v>
      </c>
      <c r="K25" t="s" s="2">
        <v>19</v>
      </c>
      <c r="L25" s="3">
        <v>56</v>
      </c>
      <c r="M25" t="s" s="2">
        <v>20</v>
      </c>
    </row>
    <row r="26" ht="13.55" customHeight="1">
      <c r="A26" s="3">
        <v>27184</v>
      </c>
      <c r="B26" t="s" s="2">
        <v>25</v>
      </c>
      <c r="C26" t="s" s="2">
        <v>13</v>
      </c>
      <c r="D26" s="4">
        <v>40000</v>
      </c>
      <c r="E26" s="3">
        <v>2</v>
      </c>
      <c r="F26" t="s" s="2">
        <v>21</v>
      </c>
      <c r="G26" t="s" s="2">
        <v>22</v>
      </c>
      <c r="H26" t="s" s="2">
        <v>20</v>
      </c>
      <c r="I26" s="3">
        <v>1</v>
      </c>
      <c r="J26" t="s" s="2">
        <v>18</v>
      </c>
      <c r="K26" t="s" s="2">
        <v>19</v>
      </c>
      <c r="L26" s="3">
        <v>34</v>
      </c>
      <c r="M26" t="s" s="2">
        <v>20</v>
      </c>
    </row>
    <row r="27" ht="13.55" customHeight="1">
      <c r="A27" s="3">
        <v>12590</v>
      </c>
      <c r="B27" t="s" s="2">
        <v>25</v>
      </c>
      <c r="C27" t="s" s="2">
        <v>13</v>
      </c>
      <c r="D27" s="4">
        <v>30000</v>
      </c>
      <c r="E27" s="3">
        <v>1</v>
      </c>
      <c r="F27" t="s" s="2">
        <v>15</v>
      </c>
      <c r="G27" t="s" s="2">
        <v>22</v>
      </c>
      <c r="H27" t="s" s="2">
        <v>17</v>
      </c>
      <c r="I27" s="3">
        <v>0</v>
      </c>
      <c r="J27" t="s" s="2">
        <v>18</v>
      </c>
      <c r="K27" t="s" s="2">
        <v>19</v>
      </c>
      <c r="L27" s="3">
        <v>63</v>
      </c>
      <c r="M27" t="s" s="2">
        <v>20</v>
      </c>
    </row>
    <row r="28" ht="13.55" customHeight="1">
      <c r="A28" s="3">
        <v>17841</v>
      </c>
      <c r="B28" t="s" s="2">
        <v>25</v>
      </c>
      <c r="C28" t="s" s="2">
        <v>13</v>
      </c>
      <c r="D28" s="4">
        <v>30000</v>
      </c>
      <c r="E28" s="3">
        <v>0</v>
      </c>
      <c r="F28" t="s" s="2">
        <v>21</v>
      </c>
      <c r="G28" t="s" s="2">
        <v>22</v>
      </c>
      <c r="H28" t="s" s="2">
        <v>20</v>
      </c>
      <c r="I28" s="3">
        <v>1</v>
      </c>
      <c r="J28" t="s" s="2">
        <v>18</v>
      </c>
      <c r="K28" t="s" s="2">
        <v>19</v>
      </c>
      <c r="L28" s="3">
        <v>29</v>
      </c>
      <c r="M28" t="s" s="2">
        <v>17</v>
      </c>
    </row>
    <row r="29" ht="13.55" customHeight="1">
      <c r="A29" s="3">
        <v>18283</v>
      </c>
      <c r="B29" t="s" s="2">
        <v>25</v>
      </c>
      <c r="C29" t="s" s="2">
        <v>14</v>
      </c>
      <c r="D29" s="4">
        <v>100000</v>
      </c>
      <c r="E29" s="3">
        <v>0</v>
      </c>
      <c r="F29" t="s" s="2">
        <v>15</v>
      </c>
      <c r="G29" t="s" s="2">
        <v>23</v>
      </c>
      <c r="H29" t="s" s="2">
        <v>20</v>
      </c>
      <c r="I29" s="3">
        <v>1</v>
      </c>
      <c r="J29" t="s" s="2">
        <v>26</v>
      </c>
      <c r="K29" t="s" s="2">
        <v>27</v>
      </c>
      <c r="L29" s="3">
        <v>40</v>
      </c>
      <c r="M29" t="s" s="2">
        <v>20</v>
      </c>
    </row>
    <row r="30" ht="13.55" customHeight="1">
      <c r="A30" s="3">
        <v>18299</v>
      </c>
      <c r="B30" t="s" s="2">
        <v>13</v>
      </c>
      <c r="C30" t="s" s="2">
        <v>13</v>
      </c>
      <c r="D30" s="4">
        <v>70000</v>
      </c>
      <c r="E30" s="3">
        <v>5</v>
      </c>
      <c r="F30" t="s" s="2">
        <v>21</v>
      </c>
      <c r="G30" t="s" s="2">
        <v>16</v>
      </c>
      <c r="H30" t="s" s="2">
        <v>17</v>
      </c>
      <c r="I30" s="3">
        <v>2</v>
      </c>
      <c r="J30" t="s" s="2">
        <v>26</v>
      </c>
      <c r="K30" t="s" s="2">
        <v>27</v>
      </c>
      <c r="L30" s="3">
        <v>44</v>
      </c>
      <c r="M30" t="s" s="2">
        <v>20</v>
      </c>
    </row>
    <row r="31" ht="13.55" customHeight="1">
      <c r="A31" s="3">
        <v>16466</v>
      </c>
      <c r="B31" t="s" s="2">
        <v>25</v>
      </c>
      <c r="C31" t="s" s="2">
        <v>14</v>
      </c>
      <c r="D31" s="4">
        <v>20000</v>
      </c>
      <c r="E31" s="3">
        <v>0</v>
      </c>
      <c r="F31" t="s" s="2">
        <v>32</v>
      </c>
      <c r="G31" t="s" s="2">
        <v>28</v>
      </c>
      <c r="H31" t="s" s="2">
        <v>20</v>
      </c>
      <c r="I31" s="3">
        <v>2</v>
      </c>
      <c r="J31" t="s" s="2">
        <v>18</v>
      </c>
      <c r="K31" t="s" s="2">
        <v>19</v>
      </c>
      <c r="L31" s="3">
        <v>32</v>
      </c>
      <c r="M31" t="s" s="2">
        <v>17</v>
      </c>
    </row>
    <row r="32" ht="13.55" customHeight="1">
      <c r="A32" s="3">
        <v>19273</v>
      </c>
      <c r="B32" t="s" s="2">
        <v>13</v>
      </c>
      <c r="C32" t="s" s="2">
        <v>14</v>
      </c>
      <c r="D32" s="4">
        <v>20000</v>
      </c>
      <c r="E32" s="3">
        <v>2</v>
      </c>
      <c r="F32" t="s" s="2">
        <v>21</v>
      </c>
      <c r="G32" t="s" s="2">
        <v>28</v>
      </c>
      <c r="H32" t="s" s="2">
        <v>17</v>
      </c>
      <c r="I32" s="3">
        <v>0</v>
      </c>
      <c r="J32" t="s" s="2">
        <v>18</v>
      </c>
      <c r="K32" t="s" s="2">
        <v>19</v>
      </c>
      <c r="L32" s="3">
        <v>63</v>
      </c>
      <c r="M32" t="s" s="2">
        <v>20</v>
      </c>
    </row>
    <row r="33" ht="13.55" customHeight="1">
      <c r="A33" s="3">
        <v>22400</v>
      </c>
      <c r="B33" t="s" s="2">
        <v>13</v>
      </c>
      <c r="C33" t="s" s="2">
        <v>13</v>
      </c>
      <c r="D33" s="4">
        <v>10000</v>
      </c>
      <c r="E33" s="3">
        <v>0</v>
      </c>
      <c r="F33" t="s" s="2">
        <v>21</v>
      </c>
      <c r="G33" t="s" s="2">
        <v>28</v>
      </c>
      <c r="H33" t="s" s="2">
        <v>20</v>
      </c>
      <c r="I33" s="3">
        <v>1</v>
      </c>
      <c r="J33" t="s" s="2">
        <v>18</v>
      </c>
      <c r="K33" t="s" s="2">
        <v>27</v>
      </c>
      <c r="L33" s="3">
        <v>26</v>
      </c>
      <c r="M33" t="s" s="2">
        <v>17</v>
      </c>
    </row>
    <row r="34" ht="13.55" customHeight="1">
      <c r="A34" s="3">
        <v>20942</v>
      </c>
      <c r="B34" t="s" s="2">
        <v>25</v>
      </c>
      <c r="C34" t="s" s="2">
        <v>14</v>
      </c>
      <c r="D34" s="4">
        <v>20000</v>
      </c>
      <c r="E34" s="3">
        <v>0</v>
      </c>
      <c r="F34" t="s" s="2">
        <v>30</v>
      </c>
      <c r="G34" t="s" s="2">
        <v>28</v>
      </c>
      <c r="H34" t="s" s="2">
        <v>20</v>
      </c>
      <c r="I34" s="3">
        <v>1</v>
      </c>
      <c r="J34" t="s" s="2">
        <v>26</v>
      </c>
      <c r="K34" t="s" s="2">
        <v>19</v>
      </c>
      <c r="L34" s="3">
        <v>31</v>
      </c>
      <c r="M34" t="s" s="2">
        <v>20</v>
      </c>
    </row>
    <row r="35" ht="13.55" customHeight="1">
      <c r="A35" s="3">
        <v>18484</v>
      </c>
      <c r="B35" t="s" s="2">
        <v>25</v>
      </c>
      <c r="C35" t="s" s="2">
        <v>13</v>
      </c>
      <c r="D35" s="4">
        <v>80000</v>
      </c>
      <c r="E35" s="3">
        <v>2</v>
      </c>
      <c r="F35" t="s" s="2">
        <v>30</v>
      </c>
      <c r="G35" t="s" s="2">
        <v>16</v>
      </c>
      <c r="H35" t="s" s="2">
        <v>20</v>
      </c>
      <c r="I35" s="3">
        <v>2</v>
      </c>
      <c r="J35" t="s" s="2">
        <v>29</v>
      </c>
      <c r="K35" t="s" s="2">
        <v>27</v>
      </c>
      <c r="L35" s="3">
        <v>50</v>
      </c>
      <c r="M35" t="s" s="2">
        <v>17</v>
      </c>
    </row>
    <row r="36" ht="13.55" customHeight="1">
      <c r="A36" s="3">
        <v>12291</v>
      </c>
      <c r="B36" t="s" s="2">
        <v>25</v>
      </c>
      <c r="C36" t="s" s="2">
        <v>13</v>
      </c>
      <c r="D36" s="4">
        <v>90000</v>
      </c>
      <c r="E36" s="3">
        <v>5</v>
      </c>
      <c r="F36" t="s" s="2">
        <v>21</v>
      </c>
      <c r="G36" t="s" s="2">
        <v>23</v>
      </c>
      <c r="H36" t="s" s="2">
        <v>20</v>
      </c>
      <c r="I36" s="3">
        <v>2</v>
      </c>
      <c r="J36" t="s" s="2">
        <v>24</v>
      </c>
      <c r="K36" t="s" s="2">
        <v>19</v>
      </c>
      <c r="L36" s="3">
        <v>62</v>
      </c>
      <c r="M36" t="s" s="2">
        <v>17</v>
      </c>
    </row>
    <row r="37" ht="13.55" customHeight="1">
      <c r="A37" s="3">
        <v>28380</v>
      </c>
      <c r="B37" t="s" s="2">
        <v>25</v>
      </c>
      <c r="C37" t="s" s="2">
        <v>14</v>
      </c>
      <c r="D37" s="4">
        <v>10000</v>
      </c>
      <c r="E37" s="3">
        <v>5</v>
      </c>
      <c r="F37" t="s" s="2">
        <v>32</v>
      </c>
      <c r="G37" t="s" s="2">
        <v>28</v>
      </c>
      <c r="H37" t="s" s="2">
        <v>20</v>
      </c>
      <c r="I37" s="3">
        <v>2</v>
      </c>
      <c r="J37" t="s" s="2">
        <v>18</v>
      </c>
      <c r="K37" t="s" s="2">
        <v>19</v>
      </c>
      <c r="L37" s="3">
        <v>41</v>
      </c>
      <c r="M37" t="s" s="2">
        <v>20</v>
      </c>
    </row>
    <row r="38" ht="13.55" customHeight="1">
      <c r="A38" s="3">
        <v>17891</v>
      </c>
      <c r="B38" t="s" s="2">
        <v>13</v>
      </c>
      <c r="C38" t="s" s="2">
        <v>14</v>
      </c>
      <c r="D38" s="4">
        <v>10000</v>
      </c>
      <c r="E38" s="3">
        <v>2</v>
      </c>
      <c r="F38" t="s" s="2">
        <v>21</v>
      </c>
      <c r="G38" t="s" s="2">
        <v>28</v>
      </c>
      <c r="H38" t="s" s="2">
        <v>17</v>
      </c>
      <c r="I38" s="3">
        <v>1</v>
      </c>
      <c r="J38" t="s" s="2">
        <v>18</v>
      </c>
      <c r="K38" t="s" s="2">
        <v>19</v>
      </c>
      <c r="L38" s="3">
        <v>50</v>
      </c>
      <c r="M38" t="s" s="2">
        <v>17</v>
      </c>
    </row>
    <row r="39" ht="13.55" customHeight="1">
      <c r="A39" s="3">
        <v>27832</v>
      </c>
      <c r="B39" t="s" s="2">
        <v>25</v>
      </c>
      <c r="C39" t="s" s="2">
        <v>14</v>
      </c>
      <c r="D39" s="4">
        <v>30000</v>
      </c>
      <c r="E39" s="3">
        <v>0</v>
      </c>
      <c r="F39" t="s" s="2">
        <v>21</v>
      </c>
      <c r="G39" t="s" s="2">
        <v>22</v>
      </c>
      <c r="H39" t="s" s="2">
        <v>20</v>
      </c>
      <c r="I39" s="3">
        <v>1</v>
      </c>
      <c r="J39" t="s" s="2">
        <v>24</v>
      </c>
      <c r="K39" t="s" s="2">
        <v>19</v>
      </c>
      <c r="L39" s="3">
        <v>30</v>
      </c>
      <c r="M39" t="s" s="2">
        <v>20</v>
      </c>
    </row>
    <row r="40" ht="13.55" customHeight="1">
      <c r="A40" s="3">
        <v>26863</v>
      </c>
      <c r="B40" t="s" s="2">
        <v>25</v>
      </c>
      <c r="C40" t="s" s="2">
        <v>13</v>
      </c>
      <c r="D40" s="4">
        <v>20000</v>
      </c>
      <c r="E40" s="3">
        <v>0</v>
      </c>
      <c r="F40" t="s" s="2">
        <v>30</v>
      </c>
      <c r="G40" t="s" s="2">
        <v>28</v>
      </c>
      <c r="H40" t="s" s="2">
        <v>20</v>
      </c>
      <c r="I40" s="3">
        <v>1</v>
      </c>
      <c r="J40" t="s" s="2">
        <v>24</v>
      </c>
      <c r="K40" t="s" s="2">
        <v>19</v>
      </c>
      <c r="L40" s="3">
        <v>28</v>
      </c>
      <c r="M40" t="s" s="2">
        <v>20</v>
      </c>
    </row>
    <row r="41" ht="13.55" customHeight="1">
      <c r="A41" s="3">
        <v>16259</v>
      </c>
      <c r="B41" t="s" s="2">
        <v>25</v>
      </c>
      <c r="C41" t="s" s="2">
        <v>14</v>
      </c>
      <c r="D41" s="4">
        <v>10000</v>
      </c>
      <c r="E41" s="3">
        <v>4</v>
      </c>
      <c r="F41" t="s" s="2">
        <v>32</v>
      </c>
      <c r="G41" t="s" s="2">
        <v>28</v>
      </c>
      <c r="H41" t="s" s="2">
        <v>17</v>
      </c>
      <c r="I41" s="3">
        <v>2</v>
      </c>
      <c r="J41" t="s" s="2">
        <v>18</v>
      </c>
      <c r="K41" t="s" s="2">
        <v>19</v>
      </c>
      <c r="L41" s="3">
        <v>40</v>
      </c>
      <c r="M41" t="s" s="2">
        <v>17</v>
      </c>
    </row>
    <row r="42" ht="13.55" customHeight="1">
      <c r="A42" s="3">
        <v>27803</v>
      </c>
      <c r="B42" t="s" s="2">
        <v>25</v>
      </c>
      <c r="C42" t="s" s="2">
        <v>14</v>
      </c>
      <c r="D42" s="4">
        <v>30000</v>
      </c>
      <c r="E42" s="3">
        <v>2</v>
      </c>
      <c r="F42" t="s" s="2">
        <v>21</v>
      </c>
      <c r="G42" t="s" s="2">
        <v>22</v>
      </c>
      <c r="H42" t="s" s="2">
        <v>20</v>
      </c>
      <c r="I42" s="3">
        <v>0</v>
      </c>
      <c r="J42" t="s" s="2">
        <v>18</v>
      </c>
      <c r="K42" t="s" s="2">
        <v>19</v>
      </c>
      <c r="L42" s="3">
        <v>43</v>
      </c>
      <c r="M42" t="s" s="2">
        <v>20</v>
      </c>
    </row>
    <row r="43" ht="13.55" customHeight="1">
      <c r="A43" s="3">
        <v>14347</v>
      </c>
      <c r="B43" t="s" s="2">
        <v>25</v>
      </c>
      <c r="C43" t="s" s="2">
        <v>14</v>
      </c>
      <c r="D43" s="4">
        <v>40000</v>
      </c>
      <c r="E43" s="3">
        <v>2</v>
      </c>
      <c r="F43" t="s" s="2">
        <v>15</v>
      </c>
      <c r="G43" t="s" s="2">
        <v>31</v>
      </c>
      <c r="H43" t="s" s="2">
        <v>17</v>
      </c>
      <c r="I43" s="3">
        <v>2</v>
      </c>
      <c r="J43" t="s" s="2">
        <v>26</v>
      </c>
      <c r="K43" t="s" s="2">
        <v>27</v>
      </c>
      <c r="L43" s="3">
        <v>65</v>
      </c>
      <c r="M43" t="s" s="2">
        <v>17</v>
      </c>
    </row>
    <row r="44" ht="13.55" customHeight="1">
      <c r="A44" s="3">
        <v>17703</v>
      </c>
      <c r="B44" t="s" s="2">
        <v>13</v>
      </c>
      <c r="C44" t="s" s="2">
        <v>14</v>
      </c>
      <c r="D44" s="4">
        <v>10000</v>
      </c>
      <c r="E44" s="3">
        <v>1</v>
      </c>
      <c r="F44" t="s" s="2">
        <v>34</v>
      </c>
      <c r="G44" t="s" s="2">
        <v>28</v>
      </c>
      <c r="H44" t="s" s="2">
        <v>17</v>
      </c>
      <c r="I44" s="3">
        <v>0</v>
      </c>
      <c r="J44" t="s" s="2">
        <v>18</v>
      </c>
      <c r="K44" t="s" s="2">
        <v>19</v>
      </c>
      <c r="L44" s="3">
        <v>40</v>
      </c>
      <c r="M44" t="s" s="2">
        <v>20</v>
      </c>
    </row>
    <row r="45" ht="13.55" customHeight="1">
      <c r="A45" s="3">
        <v>17185</v>
      </c>
      <c r="B45" t="s" s="2">
        <v>13</v>
      </c>
      <c r="C45" t="s" s="2">
        <v>14</v>
      </c>
      <c r="D45" s="4">
        <v>170000</v>
      </c>
      <c r="E45" s="3">
        <v>4</v>
      </c>
      <c r="F45" t="s" s="2">
        <v>21</v>
      </c>
      <c r="G45" t="s" s="2">
        <v>23</v>
      </c>
      <c r="H45" t="s" s="2">
        <v>20</v>
      </c>
      <c r="I45" s="3">
        <v>3</v>
      </c>
      <c r="J45" t="s" s="2">
        <v>26</v>
      </c>
      <c r="K45" t="s" s="2">
        <v>19</v>
      </c>
      <c r="L45" s="3">
        <v>48</v>
      </c>
      <c r="M45" t="s" s="2">
        <v>17</v>
      </c>
    </row>
    <row r="46" ht="13.55" customHeight="1">
      <c r="A46" s="3">
        <v>29380</v>
      </c>
      <c r="B46" t="s" s="2">
        <v>13</v>
      </c>
      <c r="C46" t="s" s="2">
        <v>14</v>
      </c>
      <c r="D46" s="4">
        <v>20000</v>
      </c>
      <c r="E46" s="3">
        <v>3</v>
      </c>
      <c r="F46" t="s" s="2">
        <v>30</v>
      </c>
      <c r="G46" t="s" s="2">
        <v>28</v>
      </c>
      <c r="H46" t="s" s="2">
        <v>17</v>
      </c>
      <c r="I46" s="3">
        <v>0</v>
      </c>
      <c r="J46" t="s" s="2">
        <v>18</v>
      </c>
      <c r="K46" t="s" s="2">
        <v>19</v>
      </c>
      <c r="L46" s="3">
        <v>41</v>
      </c>
      <c r="M46" t="s" s="2">
        <v>17</v>
      </c>
    </row>
    <row r="47" ht="13.55" customHeight="1">
      <c r="A47" s="3">
        <v>23986</v>
      </c>
      <c r="B47" t="s" s="2">
        <v>13</v>
      </c>
      <c r="C47" t="s" s="2">
        <v>14</v>
      </c>
      <c r="D47" s="4">
        <v>20000</v>
      </c>
      <c r="E47" s="3">
        <v>1</v>
      </c>
      <c r="F47" t="s" s="2">
        <v>15</v>
      </c>
      <c r="G47" t="s" s="2">
        <v>22</v>
      </c>
      <c r="H47" t="s" s="2">
        <v>17</v>
      </c>
      <c r="I47" s="3">
        <v>0</v>
      </c>
      <c r="J47" t="s" s="2">
        <v>18</v>
      </c>
      <c r="K47" t="s" s="2">
        <v>19</v>
      </c>
      <c r="L47" s="3">
        <v>66</v>
      </c>
      <c r="M47" t="s" s="2">
        <v>17</v>
      </c>
    </row>
    <row r="48" ht="13.55" customHeight="1">
      <c r="A48" s="3">
        <v>24466</v>
      </c>
      <c r="B48" t="s" s="2">
        <v>13</v>
      </c>
      <c r="C48" t="s" s="2">
        <v>14</v>
      </c>
      <c r="D48" s="4">
        <v>60000</v>
      </c>
      <c r="E48" s="3">
        <v>1</v>
      </c>
      <c r="F48" t="s" s="2">
        <v>21</v>
      </c>
      <c r="G48" t="s" s="2">
        <v>16</v>
      </c>
      <c r="H48" t="s" s="2">
        <v>17</v>
      </c>
      <c r="I48" s="3">
        <v>1</v>
      </c>
      <c r="J48" t="s" s="2">
        <v>26</v>
      </c>
      <c r="K48" t="s" s="2">
        <v>27</v>
      </c>
      <c r="L48" s="3">
        <v>46</v>
      </c>
      <c r="M48" t="s" s="2">
        <v>17</v>
      </c>
    </row>
    <row r="49" ht="13.55" customHeight="1">
      <c r="A49" s="3">
        <v>29097</v>
      </c>
      <c r="B49" t="s" s="2">
        <v>25</v>
      </c>
      <c r="C49" t="s" s="2">
        <v>14</v>
      </c>
      <c r="D49" s="4">
        <v>40000</v>
      </c>
      <c r="E49" s="3">
        <v>2</v>
      </c>
      <c r="F49" t="s" s="2">
        <v>21</v>
      </c>
      <c r="G49" t="s" s="2">
        <v>16</v>
      </c>
      <c r="H49" t="s" s="2">
        <v>17</v>
      </c>
      <c r="I49" s="3">
        <v>2</v>
      </c>
      <c r="J49" t="s" s="2">
        <v>26</v>
      </c>
      <c r="K49" t="s" s="2">
        <v>27</v>
      </c>
      <c r="L49" s="3">
        <v>52</v>
      </c>
      <c r="M49" t="s" s="2">
        <v>17</v>
      </c>
    </row>
    <row r="50" ht="13.55" customHeight="1">
      <c r="A50" s="3">
        <v>19487</v>
      </c>
      <c r="B50" t="s" s="2">
        <v>13</v>
      </c>
      <c r="C50" t="s" s="2">
        <v>13</v>
      </c>
      <c r="D50" s="4">
        <v>30000</v>
      </c>
      <c r="E50" s="3">
        <v>2</v>
      </c>
      <c r="F50" t="s" s="2">
        <v>21</v>
      </c>
      <c r="G50" t="s" s="2">
        <v>22</v>
      </c>
      <c r="H50" t="s" s="2">
        <v>20</v>
      </c>
      <c r="I50" s="3">
        <v>2</v>
      </c>
      <c r="J50" t="s" s="2">
        <v>18</v>
      </c>
      <c r="K50" t="s" s="2">
        <v>19</v>
      </c>
      <c r="L50" s="3">
        <v>42</v>
      </c>
      <c r="M50" t="s" s="2">
        <v>20</v>
      </c>
    </row>
    <row r="51" ht="13.55" customHeight="1">
      <c r="A51" s="3">
        <v>14939</v>
      </c>
      <c r="B51" t="s" s="2">
        <v>25</v>
      </c>
      <c r="C51" t="s" s="2">
        <v>13</v>
      </c>
      <c r="D51" s="4">
        <v>40000</v>
      </c>
      <c r="E51" s="3">
        <v>0</v>
      </c>
      <c r="F51" t="s" s="2">
        <v>15</v>
      </c>
      <c r="G51" t="s" s="2">
        <v>22</v>
      </c>
      <c r="H51" t="s" s="2">
        <v>17</v>
      </c>
      <c r="I51" s="3">
        <v>0</v>
      </c>
      <c r="J51" t="s" s="2">
        <v>18</v>
      </c>
      <c r="K51" t="s" s="2">
        <v>19</v>
      </c>
      <c r="L51" s="3">
        <v>39</v>
      </c>
      <c r="M51" t="s" s="2">
        <v>17</v>
      </c>
    </row>
    <row r="52" ht="13.55" customHeight="1">
      <c r="A52" s="3">
        <v>13826</v>
      </c>
      <c r="B52" t="s" s="2">
        <v>25</v>
      </c>
      <c r="C52" t="s" s="2">
        <v>14</v>
      </c>
      <c r="D52" s="4">
        <v>30000</v>
      </c>
      <c r="E52" s="3">
        <v>0</v>
      </c>
      <c r="F52" t="s" s="2">
        <v>21</v>
      </c>
      <c r="G52" t="s" s="2">
        <v>22</v>
      </c>
      <c r="H52" t="s" s="2">
        <v>20</v>
      </c>
      <c r="I52" s="3">
        <v>1</v>
      </c>
      <c r="J52" t="s" s="2">
        <v>18</v>
      </c>
      <c r="K52" t="s" s="2">
        <v>19</v>
      </c>
      <c r="L52" s="3">
        <v>28</v>
      </c>
      <c r="M52" t="s" s="2">
        <v>20</v>
      </c>
    </row>
    <row r="53" ht="13.55" customHeight="1">
      <c r="A53" s="3">
        <v>20619</v>
      </c>
      <c r="B53" t="s" s="2">
        <v>25</v>
      </c>
      <c r="C53" t="s" s="2">
        <v>13</v>
      </c>
      <c r="D53" s="4">
        <v>80000</v>
      </c>
      <c r="E53" s="3">
        <v>0</v>
      </c>
      <c r="F53" t="s" s="2">
        <v>15</v>
      </c>
      <c r="G53" t="s" s="2">
        <v>23</v>
      </c>
      <c r="H53" t="s" s="2">
        <v>20</v>
      </c>
      <c r="I53" s="3">
        <v>4</v>
      </c>
      <c r="J53" t="s" s="2">
        <v>33</v>
      </c>
      <c r="K53" t="s" s="2">
        <v>27</v>
      </c>
      <c r="L53" s="3">
        <v>35</v>
      </c>
      <c r="M53" t="s" s="2">
        <v>20</v>
      </c>
    </row>
    <row r="54" ht="13.55" customHeight="1">
      <c r="A54" s="3">
        <v>12558</v>
      </c>
      <c r="B54" t="s" s="2">
        <v>13</v>
      </c>
      <c r="C54" t="s" s="2">
        <v>14</v>
      </c>
      <c r="D54" s="4">
        <v>20000</v>
      </c>
      <c r="E54" s="3">
        <v>1</v>
      </c>
      <c r="F54" t="s" s="2">
        <v>15</v>
      </c>
      <c r="G54" t="s" s="2">
        <v>22</v>
      </c>
      <c r="H54" t="s" s="2">
        <v>17</v>
      </c>
      <c r="I54" s="3">
        <v>0</v>
      </c>
      <c r="J54" t="s" s="2">
        <v>18</v>
      </c>
      <c r="K54" t="s" s="2">
        <v>19</v>
      </c>
      <c r="L54" s="3">
        <v>65</v>
      </c>
      <c r="M54" t="s" s="2">
        <v>20</v>
      </c>
    </row>
    <row r="55" ht="13.55" customHeight="1">
      <c r="A55" s="3">
        <v>24871</v>
      </c>
      <c r="B55" t="s" s="2">
        <v>25</v>
      </c>
      <c r="C55" t="s" s="2">
        <v>14</v>
      </c>
      <c r="D55" s="4">
        <v>90000</v>
      </c>
      <c r="E55" s="3">
        <v>4</v>
      </c>
      <c r="F55" t="s" s="2">
        <v>30</v>
      </c>
      <c r="G55" t="s" s="2">
        <v>31</v>
      </c>
      <c r="H55" t="s" s="2">
        <v>20</v>
      </c>
      <c r="I55" s="3">
        <v>3</v>
      </c>
      <c r="J55" t="s" s="2">
        <v>26</v>
      </c>
      <c r="K55" t="s" s="2">
        <v>19</v>
      </c>
      <c r="L55" s="3">
        <v>56</v>
      </c>
      <c r="M55" t="s" s="2">
        <v>20</v>
      </c>
    </row>
    <row r="56" ht="13.55" customHeight="1">
      <c r="A56" s="3">
        <v>17319</v>
      </c>
      <c r="B56" t="s" s="2">
        <v>25</v>
      </c>
      <c r="C56" t="s" s="2">
        <v>14</v>
      </c>
      <c r="D56" s="4">
        <v>70000</v>
      </c>
      <c r="E56" s="3">
        <v>0</v>
      </c>
      <c r="F56" t="s" s="2">
        <v>15</v>
      </c>
      <c r="G56" t="s" s="2">
        <v>23</v>
      </c>
      <c r="H56" t="s" s="2">
        <v>20</v>
      </c>
      <c r="I56" s="3">
        <v>1</v>
      </c>
      <c r="J56" t="s" s="2">
        <v>26</v>
      </c>
      <c r="K56" t="s" s="2">
        <v>27</v>
      </c>
      <c r="L56" s="3">
        <v>42</v>
      </c>
      <c r="M56" t="s" s="2">
        <v>20</v>
      </c>
    </row>
    <row r="57" ht="13.55" customHeight="1">
      <c r="A57" s="3">
        <v>28906</v>
      </c>
      <c r="B57" t="s" s="2">
        <v>13</v>
      </c>
      <c r="C57" t="s" s="2">
        <v>13</v>
      </c>
      <c r="D57" s="4">
        <v>80000</v>
      </c>
      <c r="E57" s="3">
        <v>4</v>
      </c>
      <c r="F57" t="s" s="2">
        <v>30</v>
      </c>
      <c r="G57" t="s" s="2">
        <v>23</v>
      </c>
      <c r="H57" t="s" s="2">
        <v>17</v>
      </c>
      <c r="I57" s="3">
        <v>2</v>
      </c>
      <c r="J57" t="s" s="2">
        <v>33</v>
      </c>
      <c r="K57" t="s" s="2">
        <v>19</v>
      </c>
      <c r="L57" s="3">
        <v>54</v>
      </c>
      <c r="M57" t="s" s="2">
        <v>20</v>
      </c>
    </row>
    <row r="58" ht="13.55" customHeight="1">
      <c r="A58" s="3">
        <v>12808</v>
      </c>
      <c r="B58" t="s" s="2">
        <v>13</v>
      </c>
      <c r="C58" t="s" s="2">
        <v>13</v>
      </c>
      <c r="D58" s="4">
        <v>40000</v>
      </c>
      <c r="E58" s="3">
        <v>0</v>
      </c>
      <c r="F58" t="s" s="2">
        <v>15</v>
      </c>
      <c r="G58" t="s" s="2">
        <v>22</v>
      </c>
      <c r="H58" t="s" s="2">
        <v>17</v>
      </c>
      <c r="I58" s="3">
        <v>0</v>
      </c>
      <c r="J58" t="s" s="2">
        <v>18</v>
      </c>
      <c r="K58" t="s" s="2">
        <v>19</v>
      </c>
      <c r="L58" s="3">
        <v>38</v>
      </c>
      <c r="M58" t="s" s="2">
        <v>17</v>
      </c>
    </row>
    <row r="59" ht="13.55" customHeight="1">
      <c r="A59" s="3">
        <v>20567</v>
      </c>
      <c r="B59" t="s" s="2">
        <v>13</v>
      </c>
      <c r="C59" t="s" s="2">
        <v>13</v>
      </c>
      <c r="D59" s="4">
        <v>130000</v>
      </c>
      <c r="E59" s="3">
        <v>4</v>
      </c>
      <c r="F59" t="s" s="2">
        <v>21</v>
      </c>
      <c r="G59" t="s" s="2">
        <v>23</v>
      </c>
      <c r="H59" t="s" s="2">
        <v>20</v>
      </c>
      <c r="I59" s="3">
        <v>4</v>
      </c>
      <c r="J59" t="s" s="2">
        <v>26</v>
      </c>
      <c r="K59" t="s" s="2">
        <v>19</v>
      </c>
      <c r="L59" s="3">
        <v>61</v>
      </c>
      <c r="M59" t="s" s="2">
        <v>17</v>
      </c>
    </row>
    <row r="60" ht="13.55" customHeight="1">
      <c r="A60" s="3">
        <v>25502</v>
      </c>
      <c r="B60" t="s" s="2">
        <v>13</v>
      </c>
      <c r="C60" t="s" s="2">
        <v>14</v>
      </c>
      <c r="D60" s="4">
        <v>40000</v>
      </c>
      <c r="E60" s="3">
        <v>1</v>
      </c>
      <c r="F60" t="s" s="2">
        <v>15</v>
      </c>
      <c r="G60" t="s" s="2">
        <v>16</v>
      </c>
      <c r="H60" t="s" s="2">
        <v>17</v>
      </c>
      <c r="I60" s="3">
        <v>0</v>
      </c>
      <c r="J60" t="s" s="2">
        <v>18</v>
      </c>
      <c r="K60" t="s" s="2">
        <v>19</v>
      </c>
      <c r="L60" s="3">
        <v>43</v>
      </c>
      <c r="M60" t="s" s="2">
        <v>17</v>
      </c>
    </row>
    <row r="61" ht="13.55" customHeight="1">
      <c r="A61" s="3">
        <v>15580</v>
      </c>
      <c r="B61" t="s" s="2">
        <v>13</v>
      </c>
      <c r="C61" t="s" s="2">
        <v>13</v>
      </c>
      <c r="D61" s="4">
        <v>60000</v>
      </c>
      <c r="E61" s="3">
        <v>2</v>
      </c>
      <c r="F61" t="s" s="2">
        <v>15</v>
      </c>
      <c r="G61" t="s" s="2">
        <v>23</v>
      </c>
      <c r="H61" t="s" s="2">
        <v>17</v>
      </c>
      <c r="I61" s="3">
        <v>1</v>
      </c>
      <c r="J61" t="s" s="2">
        <v>24</v>
      </c>
      <c r="K61" t="s" s="2">
        <v>27</v>
      </c>
      <c r="L61" s="3">
        <v>38</v>
      </c>
      <c r="M61" t="s" s="2">
        <v>17</v>
      </c>
    </row>
    <row r="62" ht="13.55" customHeight="1">
      <c r="A62" s="3">
        <v>24185</v>
      </c>
      <c r="B62" t="s" s="2">
        <v>25</v>
      </c>
      <c r="C62" t="s" s="2">
        <v>14</v>
      </c>
      <c r="D62" s="4">
        <v>10000</v>
      </c>
      <c r="E62" s="3">
        <v>1</v>
      </c>
      <c r="F62" t="s" s="2">
        <v>30</v>
      </c>
      <c r="G62" t="s" s="2">
        <v>28</v>
      </c>
      <c r="H62" t="s" s="2">
        <v>20</v>
      </c>
      <c r="I62" s="3">
        <v>1</v>
      </c>
      <c r="J62" t="s" s="2">
        <v>29</v>
      </c>
      <c r="K62" t="s" s="2">
        <v>19</v>
      </c>
      <c r="L62" s="3">
        <v>45</v>
      </c>
      <c r="M62" t="s" s="2">
        <v>20</v>
      </c>
    </row>
    <row r="63" ht="13.55" customHeight="1">
      <c r="A63" s="3">
        <v>19291</v>
      </c>
      <c r="B63" t="s" s="2">
        <v>25</v>
      </c>
      <c r="C63" t="s" s="2">
        <v>14</v>
      </c>
      <c r="D63" s="4">
        <v>10000</v>
      </c>
      <c r="E63" s="3">
        <v>2</v>
      </c>
      <c r="F63" t="s" s="2">
        <v>30</v>
      </c>
      <c r="G63" t="s" s="2">
        <v>28</v>
      </c>
      <c r="H63" t="s" s="2">
        <v>17</v>
      </c>
      <c r="I63" s="3">
        <v>0</v>
      </c>
      <c r="J63" t="s" s="2">
        <v>18</v>
      </c>
      <c r="K63" t="s" s="2">
        <v>19</v>
      </c>
      <c r="L63" s="3">
        <v>35</v>
      </c>
      <c r="M63" t="s" s="2">
        <v>20</v>
      </c>
    </row>
    <row r="64" ht="13.55" customHeight="1">
      <c r="A64" s="3">
        <v>16713</v>
      </c>
      <c r="B64" t="s" s="2">
        <v>13</v>
      </c>
      <c r="C64" t="s" s="2">
        <v>13</v>
      </c>
      <c r="D64" s="4">
        <v>40000</v>
      </c>
      <c r="E64" s="3">
        <v>2</v>
      </c>
      <c r="F64" t="s" s="2">
        <v>15</v>
      </c>
      <c r="G64" t="s" s="2">
        <v>31</v>
      </c>
      <c r="H64" t="s" s="2">
        <v>17</v>
      </c>
      <c r="I64" s="3">
        <v>1</v>
      </c>
      <c r="J64" t="s" s="2">
        <v>18</v>
      </c>
      <c r="K64" t="s" s="2">
        <v>27</v>
      </c>
      <c r="L64" s="3">
        <v>52</v>
      </c>
      <c r="M64" t="s" s="2">
        <v>17</v>
      </c>
    </row>
    <row r="65" ht="13.55" customHeight="1">
      <c r="A65" s="3">
        <v>16185</v>
      </c>
      <c r="B65" t="s" s="2">
        <v>25</v>
      </c>
      <c r="C65" t="s" s="2">
        <v>13</v>
      </c>
      <c r="D65" s="4">
        <v>60000</v>
      </c>
      <c r="E65" s="3">
        <v>4</v>
      </c>
      <c r="F65" t="s" s="2">
        <v>15</v>
      </c>
      <c r="G65" t="s" s="2">
        <v>23</v>
      </c>
      <c r="H65" t="s" s="2">
        <v>17</v>
      </c>
      <c r="I65" s="3">
        <v>3</v>
      </c>
      <c r="J65" t="s" s="2">
        <v>33</v>
      </c>
      <c r="K65" t="s" s="2">
        <v>27</v>
      </c>
      <c r="L65" s="3">
        <v>41</v>
      </c>
      <c r="M65" t="s" s="2">
        <v>20</v>
      </c>
    </row>
    <row r="66" ht="13.55" customHeight="1">
      <c r="A66" s="3">
        <v>14927</v>
      </c>
      <c r="B66" t="s" s="2">
        <v>13</v>
      </c>
      <c r="C66" t="s" s="2">
        <v>14</v>
      </c>
      <c r="D66" s="4">
        <v>30000</v>
      </c>
      <c r="E66" s="3">
        <v>1</v>
      </c>
      <c r="F66" t="s" s="2">
        <v>15</v>
      </c>
      <c r="G66" t="s" s="2">
        <v>22</v>
      </c>
      <c r="H66" t="s" s="2">
        <v>17</v>
      </c>
      <c r="I66" s="3">
        <v>0</v>
      </c>
      <c r="J66" t="s" s="2">
        <v>18</v>
      </c>
      <c r="K66" t="s" s="2">
        <v>19</v>
      </c>
      <c r="L66" s="3">
        <v>37</v>
      </c>
      <c r="M66" t="s" s="2">
        <v>17</v>
      </c>
    </row>
    <row r="67" ht="13.55" customHeight="1">
      <c r="A67" s="3">
        <v>29337</v>
      </c>
      <c r="B67" t="s" s="2">
        <v>25</v>
      </c>
      <c r="C67" t="s" s="2">
        <v>13</v>
      </c>
      <c r="D67" s="4">
        <v>30000</v>
      </c>
      <c r="E67" s="3">
        <v>2</v>
      </c>
      <c r="F67" t="s" s="2">
        <v>21</v>
      </c>
      <c r="G67" t="s" s="2">
        <v>22</v>
      </c>
      <c r="H67" t="s" s="2">
        <v>17</v>
      </c>
      <c r="I67" s="3">
        <v>2</v>
      </c>
      <c r="J67" t="s" s="2">
        <v>26</v>
      </c>
      <c r="K67" t="s" s="2">
        <v>27</v>
      </c>
      <c r="L67" s="3">
        <v>68</v>
      </c>
      <c r="M67" t="s" s="2">
        <v>20</v>
      </c>
    </row>
    <row r="68" ht="13.55" customHeight="1">
      <c r="A68" s="3">
        <v>29355</v>
      </c>
      <c r="B68" t="s" s="2">
        <v>13</v>
      </c>
      <c r="C68" t="s" s="2">
        <v>14</v>
      </c>
      <c r="D68" s="4">
        <v>40000</v>
      </c>
      <c r="E68" s="3">
        <v>0</v>
      </c>
      <c r="F68" t="s" s="2">
        <v>34</v>
      </c>
      <c r="G68" t="s" s="2">
        <v>22</v>
      </c>
      <c r="H68" t="s" s="2">
        <v>17</v>
      </c>
      <c r="I68" s="3">
        <v>0</v>
      </c>
      <c r="J68" t="s" s="2">
        <v>18</v>
      </c>
      <c r="K68" t="s" s="2">
        <v>19</v>
      </c>
      <c r="L68" s="3">
        <v>37</v>
      </c>
      <c r="M68" t="s" s="2">
        <v>17</v>
      </c>
    </row>
    <row r="69" ht="13.55" customHeight="1">
      <c r="A69" s="3">
        <v>25303</v>
      </c>
      <c r="B69" t="s" s="2">
        <v>25</v>
      </c>
      <c r="C69" t="s" s="2">
        <v>13</v>
      </c>
      <c r="D69" s="4">
        <v>30000</v>
      </c>
      <c r="E69" s="3">
        <v>0</v>
      </c>
      <c r="F69" t="s" s="2">
        <v>30</v>
      </c>
      <c r="G69" t="s" s="2">
        <v>28</v>
      </c>
      <c r="H69" t="s" s="2">
        <v>17</v>
      </c>
      <c r="I69" s="3">
        <v>1</v>
      </c>
      <c r="J69" t="s" s="2">
        <v>24</v>
      </c>
      <c r="K69" t="s" s="2">
        <v>19</v>
      </c>
      <c r="L69" s="3">
        <v>33</v>
      </c>
      <c r="M69" t="s" s="2">
        <v>17</v>
      </c>
    </row>
    <row r="70" ht="13.55" customHeight="1">
      <c r="A70" s="3">
        <v>14813</v>
      </c>
      <c r="B70" t="s" s="2">
        <v>25</v>
      </c>
      <c r="C70" t="s" s="2">
        <v>14</v>
      </c>
      <c r="D70" s="4">
        <v>20000</v>
      </c>
      <c r="E70" s="3">
        <v>4</v>
      </c>
      <c r="F70" t="s" s="2">
        <v>30</v>
      </c>
      <c r="G70" t="s" s="2">
        <v>28</v>
      </c>
      <c r="H70" t="s" s="2">
        <v>17</v>
      </c>
      <c r="I70" s="3">
        <v>1</v>
      </c>
      <c r="J70" t="s" s="2">
        <v>18</v>
      </c>
      <c r="K70" t="s" s="2">
        <v>19</v>
      </c>
      <c r="L70" s="3">
        <v>43</v>
      </c>
      <c r="M70" t="s" s="2">
        <v>17</v>
      </c>
    </row>
    <row r="71" ht="13.55" customHeight="1">
      <c r="A71" s="3">
        <v>16438</v>
      </c>
      <c r="B71" t="s" s="2">
        <v>13</v>
      </c>
      <c r="C71" t="s" s="2">
        <v>14</v>
      </c>
      <c r="D71" s="4">
        <v>10000</v>
      </c>
      <c r="E71" s="3">
        <v>0</v>
      </c>
      <c r="F71" t="s" s="2">
        <v>32</v>
      </c>
      <c r="G71" t="s" s="2">
        <v>28</v>
      </c>
      <c r="H71" t="s" s="2">
        <v>20</v>
      </c>
      <c r="I71" s="3">
        <v>2</v>
      </c>
      <c r="J71" t="s" s="2">
        <v>18</v>
      </c>
      <c r="K71" t="s" s="2">
        <v>19</v>
      </c>
      <c r="L71" s="3">
        <v>30</v>
      </c>
      <c r="M71" t="s" s="2">
        <v>20</v>
      </c>
    </row>
    <row r="72" ht="13.55" customHeight="1">
      <c r="A72" s="3">
        <v>14238</v>
      </c>
      <c r="B72" t="s" s="2">
        <v>13</v>
      </c>
      <c r="C72" t="s" s="2">
        <v>13</v>
      </c>
      <c r="D72" s="4">
        <v>120000</v>
      </c>
      <c r="E72" s="3">
        <v>0</v>
      </c>
      <c r="F72" t="s" s="2">
        <v>32</v>
      </c>
      <c r="G72" t="s" s="2">
        <v>23</v>
      </c>
      <c r="H72" t="s" s="2">
        <v>17</v>
      </c>
      <c r="I72" s="3">
        <v>4</v>
      </c>
      <c r="J72" t="s" s="2">
        <v>33</v>
      </c>
      <c r="K72" t="s" s="2">
        <v>27</v>
      </c>
      <c r="L72" s="3">
        <v>36</v>
      </c>
      <c r="M72" t="s" s="2">
        <v>17</v>
      </c>
    </row>
    <row r="73" ht="13.55" customHeight="1">
      <c r="A73" s="3">
        <v>16200</v>
      </c>
      <c r="B73" t="s" s="2">
        <v>25</v>
      </c>
      <c r="C73" t="s" s="2">
        <v>14</v>
      </c>
      <c r="D73" s="4">
        <v>10000</v>
      </c>
      <c r="E73" s="3">
        <v>0</v>
      </c>
      <c r="F73" t="s" s="2">
        <v>32</v>
      </c>
      <c r="G73" t="s" s="2">
        <v>28</v>
      </c>
      <c r="H73" t="s" s="2">
        <v>20</v>
      </c>
      <c r="I73" s="3">
        <v>2</v>
      </c>
      <c r="J73" t="s" s="2">
        <v>18</v>
      </c>
      <c r="K73" t="s" s="2">
        <v>19</v>
      </c>
      <c r="L73" s="3">
        <v>35</v>
      </c>
      <c r="M73" t="s" s="2">
        <v>20</v>
      </c>
    </row>
    <row r="74" ht="13.55" customHeight="1">
      <c r="A74" s="3">
        <v>24857</v>
      </c>
      <c r="B74" t="s" s="2">
        <v>13</v>
      </c>
      <c r="C74" t="s" s="2">
        <v>14</v>
      </c>
      <c r="D74" s="4">
        <v>130000</v>
      </c>
      <c r="E74" s="3">
        <v>3</v>
      </c>
      <c r="F74" t="s" s="2">
        <v>30</v>
      </c>
      <c r="G74" t="s" s="2">
        <v>23</v>
      </c>
      <c r="H74" t="s" s="2">
        <v>17</v>
      </c>
      <c r="I74" s="3">
        <v>4</v>
      </c>
      <c r="J74" t="s" s="2">
        <v>18</v>
      </c>
      <c r="K74" t="s" s="2">
        <v>19</v>
      </c>
      <c r="L74" s="3">
        <v>52</v>
      </c>
      <c r="M74" t="s" s="2">
        <v>20</v>
      </c>
    </row>
    <row r="75" ht="13.55" customHeight="1">
      <c r="A75" s="3">
        <v>26956</v>
      </c>
      <c r="B75" t="s" s="2">
        <v>25</v>
      </c>
      <c r="C75" t="s" s="2">
        <v>14</v>
      </c>
      <c r="D75" s="4">
        <v>20000</v>
      </c>
      <c r="E75" s="3">
        <v>0</v>
      </c>
      <c r="F75" t="s" s="2">
        <v>21</v>
      </c>
      <c r="G75" t="s" s="2">
        <v>28</v>
      </c>
      <c r="H75" t="s" s="2">
        <v>20</v>
      </c>
      <c r="I75" s="3">
        <v>1</v>
      </c>
      <c r="J75" t="s" s="2">
        <v>24</v>
      </c>
      <c r="K75" t="s" s="2">
        <v>19</v>
      </c>
      <c r="L75" s="3">
        <v>36</v>
      </c>
      <c r="M75" t="s" s="2">
        <v>17</v>
      </c>
    </row>
    <row r="76" ht="13.55" customHeight="1">
      <c r="A76" s="3">
        <v>14517</v>
      </c>
      <c r="B76" t="s" s="2">
        <v>13</v>
      </c>
      <c r="C76" t="s" s="2">
        <v>14</v>
      </c>
      <c r="D76" s="4">
        <v>20000</v>
      </c>
      <c r="E76" s="3">
        <v>3</v>
      </c>
      <c r="F76" t="s" s="2">
        <v>30</v>
      </c>
      <c r="G76" t="s" s="2">
        <v>16</v>
      </c>
      <c r="H76" t="s" s="2">
        <v>20</v>
      </c>
      <c r="I76" s="3">
        <v>2</v>
      </c>
      <c r="J76" t="s" s="2">
        <v>29</v>
      </c>
      <c r="K76" t="s" s="2">
        <v>27</v>
      </c>
      <c r="L76" s="3">
        <v>62</v>
      </c>
      <c r="M76" t="s" s="2">
        <v>20</v>
      </c>
    </row>
    <row r="77" ht="13.55" customHeight="1">
      <c r="A77" s="3">
        <v>12678</v>
      </c>
      <c r="B77" t="s" s="2">
        <v>25</v>
      </c>
      <c r="C77" t="s" s="2">
        <v>14</v>
      </c>
      <c r="D77" s="4">
        <v>130000</v>
      </c>
      <c r="E77" s="3">
        <v>4</v>
      </c>
      <c r="F77" t="s" s="2">
        <v>30</v>
      </c>
      <c r="G77" t="s" s="2">
        <v>31</v>
      </c>
      <c r="H77" t="s" s="2">
        <v>17</v>
      </c>
      <c r="I77" s="3">
        <v>4</v>
      </c>
      <c r="J77" t="s" s="2">
        <v>18</v>
      </c>
      <c r="K77" t="s" s="2">
        <v>27</v>
      </c>
      <c r="L77" s="3">
        <v>31</v>
      </c>
      <c r="M77" t="s" s="2">
        <v>20</v>
      </c>
    </row>
    <row r="78" ht="13.55" customHeight="1">
      <c r="A78" s="3">
        <v>16188</v>
      </c>
      <c r="B78" t="s" s="2">
        <v>25</v>
      </c>
      <c r="C78" t="s" s="2">
        <v>14</v>
      </c>
      <c r="D78" s="4">
        <v>20000</v>
      </c>
      <c r="E78" s="3">
        <v>0</v>
      </c>
      <c r="F78" t="s" s="2">
        <v>32</v>
      </c>
      <c r="G78" t="s" s="2">
        <v>28</v>
      </c>
      <c r="H78" t="s" s="2">
        <v>20</v>
      </c>
      <c r="I78" s="3">
        <v>2</v>
      </c>
      <c r="J78" t="s" s="2">
        <v>29</v>
      </c>
      <c r="K78" t="s" s="2">
        <v>19</v>
      </c>
      <c r="L78" s="3">
        <v>26</v>
      </c>
      <c r="M78" t="s" s="2">
        <v>20</v>
      </c>
    </row>
    <row r="79" ht="13.55" customHeight="1">
      <c r="A79" s="3">
        <v>27969</v>
      </c>
      <c r="B79" t="s" s="2">
        <v>13</v>
      </c>
      <c r="C79" t="s" s="2">
        <v>13</v>
      </c>
      <c r="D79" s="4">
        <v>80000</v>
      </c>
      <c r="E79" s="3">
        <v>0</v>
      </c>
      <c r="F79" t="s" s="2">
        <v>15</v>
      </c>
      <c r="G79" t="s" s="2">
        <v>23</v>
      </c>
      <c r="H79" t="s" s="2">
        <v>17</v>
      </c>
      <c r="I79" s="3">
        <v>2</v>
      </c>
      <c r="J79" t="s" s="2">
        <v>33</v>
      </c>
      <c r="K79" t="s" s="2">
        <v>27</v>
      </c>
      <c r="L79" s="3">
        <v>29</v>
      </c>
      <c r="M79" t="s" s="2">
        <v>17</v>
      </c>
    </row>
    <row r="80" ht="13.55" customHeight="1">
      <c r="A80" s="3">
        <v>15752</v>
      </c>
      <c r="B80" t="s" s="2">
        <v>13</v>
      </c>
      <c r="C80" t="s" s="2">
        <v>13</v>
      </c>
      <c r="D80" s="4">
        <v>80000</v>
      </c>
      <c r="E80" s="3">
        <v>2</v>
      </c>
      <c r="F80" t="s" s="2">
        <v>30</v>
      </c>
      <c r="G80" t="s" s="2">
        <v>16</v>
      </c>
      <c r="H80" t="s" s="2">
        <v>20</v>
      </c>
      <c r="I80" s="3">
        <v>2</v>
      </c>
      <c r="J80" t="s" s="2">
        <v>29</v>
      </c>
      <c r="K80" t="s" s="2">
        <v>27</v>
      </c>
      <c r="L80" s="3">
        <v>50</v>
      </c>
      <c r="M80" t="s" s="2">
        <v>17</v>
      </c>
    </row>
    <row r="81" ht="13.55" customHeight="1">
      <c r="A81" s="3">
        <v>27745</v>
      </c>
      <c r="B81" t="s" s="2">
        <v>25</v>
      </c>
      <c r="C81" t="s" s="2">
        <v>13</v>
      </c>
      <c r="D81" s="4">
        <v>40000</v>
      </c>
      <c r="E81" s="3">
        <v>2</v>
      </c>
      <c r="F81" t="s" s="2">
        <v>15</v>
      </c>
      <c r="G81" t="s" s="2">
        <v>31</v>
      </c>
      <c r="H81" t="s" s="2">
        <v>17</v>
      </c>
      <c r="I81" s="3">
        <v>2</v>
      </c>
      <c r="J81" t="s" s="2">
        <v>26</v>
      </c>
      <c r="K81" t="s" s="2">
        <v>27</v>
      </c>
      <c r="L81" s="3">
        <v>63</v>
      </c>
      <c r="M81" t="s" s="2">
        <v>17</v>
      </c>
    </row>
    <row r="82" ht="13.55" customHeight="1">
      <c r="A82" s="3">
        <v>20828</v>
      </c>
      <c r="B82" t="s" s="2">
        <v>13</v>
      </c>
      <c r="C82" t="s" s="2">
        <v>14</v>
      </c>
      <c r="D82" s="4">
        <v>30000</v>
      </c>
      <c r="E82" s="3">
        <v>4</v>
      </c>
      <c r="F82" t="s" s="2">
        <v>34</v>
      </c>
      <c r="G82" t="s" s="2">
        <v>22</v>
      </c>
      <c r="H82" t="s" s="2">
        <v>17</v>
      </c>
      <c r="I82" s="3">
        <v>0</v>
      </c>
      <c r="J82" t="s" s="2">
        <v>18</v>
      </c>
      <c r="K82" t="s" s="2">
        <v>19</v>
      </c>
      <c r="L82" s="3">
        <v>45</v>
      </c>
      <c r="M82" t="s" s="2">
        <v>17</v>
      </c>
    </row>
    <row r="83" ht="13.55" customHeight="1">
      <c r="A83" s="3">
        <v>19461</v>
      </c>
      <c r="B83" t="s" s="2">
        <v>25</v>
      </c>
      <c r="C83" t="s" s="2">
        <v>14</v>
      </c>
      <c r="D83" s="4">
        <v>10000</v>
      </c>
      <c r="E83" s="3">
        <v>4</v>
      </c>
      <c r="F83" t="s" s="2">
        <v>32</v>
      </c>
      <c r="G83" t="s" s="2">
        <v>28</v>
      </c>
      <c r="H83" t="s" s="2">
        <v>17</v>
      </c>
      <c r="I83" s="3">
        <v>2</v>
      </c>
      <c r="J83" t="s" s="2">
        <v>18</v>
      </c>
      <c r="K83" t="s" s="2">
        <v>19</v>
      </c>
      <c r="L83" s="3">
        <v>40</v>
      </c>
      <c r="M83" t="s" s="2">
        <v>20</v>
      </c>
    </row>
    <row r="84" ht="13.55" customHeight="1">
      <c r="A84" s="3">
        <v>26941</v>
      </c>
      <c r="B84" t="s" s="2">
        <v>13</v>
      </c>
      <c r="C84" t="s" s="2">
        <v>13</v>
      </c>
      <c r="D84" s="4">
        <v>30000</v>
      </c>
      <c r="E84" s="3">
        <v>0</v>
      </c>
      <c r="F84" t="s" s="2">
        <v>15</v>
      </c>
      <c r="G84" t="s" s="2">
        <v>22</v>
      </c>
      <c r="H84" t="s" s="2">
        <v>17</v>
      </c>
      <c r="I84" s="3">
        <v>0</v>
      </c>
      <c r="J84" t="s" s="2">
        <v>18</v>
      </c>
      <c r="K84" t="s" s="2">
        <v>19</v>
      </c>
      <c r="L84" s="3">
        <v>47</v>
      </c>
      <c r="M84" t="s" s="2">
        <v>17</v>
      </c>
    </row>
    <row r="85" ht="13.55" customHeight="1">
      <c r="A85" s="3">
        <v>28412</v>
      </c>
      <c r="B85" t="s" s="2">
        <v>25</v>
      </c>
      <c r="C85" t="s" s="2">
        <v>13</v>
      </c>
      <c r="D85" s="4">
        <v>20000</v>
      </c>
      <c r="E85" s="3">
        <v>0</v>
      </c>
      <c r="F85" t="s" s="2">
        <v>30</v>
      </c>
      <c r="G85" t="s" s="2">
        <v>28</v>
      </c>
      <c r="H85" t="s" s="2">
        <v>20</v>
      </c>
      <c r="I85" s="3">
        <v>1</v>
      </c>
      <c r="J85" t="s" s="2">
        <v>24</v>
      </c>
      <c r="K85" t="s" s="2">
        <v>19</v>
      </c>
      <c r="L85" s="3">
        <v>29</v>
      </c>
      <c r="M85" t="s" s="2">
        <v>20</v>
      </c>
    </row>
    <row r="86" ht="13.55" customHeight="1">
      <c r="A86" s="3">
        <v>24485</v>
      </c>
      <c r="B86" t="s" s="2">
        <v>25</v>
      </c>
      <c r="C86" t="s" s="2">
        <v>13</v>
      </c>
      <c r="D86" s="4">
        <v>40000</v>
      </c>
      <c r="E86" s="3">
        <v>2</v>
      </c>
      <c r="F86" t="s" s="2">
        <v>15</v>
      </c>
      <c r="G86" t="s" s="2">
        <v>31</v>
      </c>
      <c r="H86" t="s" s="2">
        <v>20</v>
      </c>
      <c r="I86" s="3">
        <v>1</v>
      </c>
      <c r="J86" t="s" s="2">
        <v>26</v>
      </c>
      <c r="K86" t="s" s="2">
        <v>27</v>
      </c>
      <c r="L86" s="3">
        <v>52</v>
      </c>
      <c r="M86" t="s" s="2">
        <v>17</v>
      </c>
    </row>
    <row r="87" ht="13.55" customHeight="1">
      <c r="A87" s="3">
        <v>16514</v>
      </c>
      <c r="B87" t="s" s="2">
        <v>25</v>
      </c>
      <c r="C87" t="s" s="2">
        <v>13</v>
      </c>
      <c r="D87" s="4">
        <v>10000</v>
      </c>
      <c r="E87" s="3">
        <v>0</v>
      </c>
      <c r="F87" t="s" s="2">
        <v>21</v>
      </c>
      <c r="G87" t="s" s="2">
        <v>28</v>
      </c>
      <c r="H87" t="s" s="2">
        <v>17</v>
      </c>
      <c r="I87" s="3">
        <v>1</v>
      </c>
      <c r="J87" t="s" s="2">
        <v>29</v>
      </c>
      <c r="K87" t="s" s="2">
        <v>27</v>
      </c>
      <c r="L87" s="3">
        <v>26</v>
      </c>
      <c r="M87" t="s" s="2">
        <v>17</v>
      </c>
    </row>
    <row r="88" ht="13.55" customHeight="1">
      <c r="A88" s="3">
        <v>17191</v>
      </c>
      <c r="B88" t="s" s="2">
        <v>25</v>
      </c>
      <c r="C88" t="s" s="2">
        <v>13</v>
      </c>
      <c r="D88" s="4">
        <v>130000</v>
      </c>
      <c r="E88" s="3">
        <v>3</v>
      </c>
      <c r="F88" t="s" s="2">
        <v>21</v>
      </c>
      <c r="G88" t="s" s="2">
        <v>23</v>
      </c>
      <c r="H88" t="s" s="2">
        <v>20</v>
      </c>
      <c r="I88" s="3">
        <v>3</v>
      </c>
      <c r="J88" t="s" s="2">
        <v>18</v>
      </c>
      <c r="K88" t="s" s="2">
        <v>19</v>
      </c>
      <c r="L88" s="3">
        <v>51</v>
      </c>
      <c r="M88" t="s" s="2">
        <v>17</v>
      </c>
    </row>
    <row r="89" ht="13.55" customHeight="1">
      <c r="A89" s="3">
        <v>19608</v>
      </c>
      <c r="B89" t="s" s="2">
        <v>13</v>
      </c>
      <c r="C89" t="s" s="2">
        <v>13</v>
      </c>
      <c r="D89" s="4">
        <v>80000</v>
      </c>
      <c r="E89" s="3">
        <v>5</v>
      </c>
      <c r="F89" t="s" s="2">
        <v>15</v>
      </c>
      <c r="G89" t="s" s="2">
        <v>23</v>
      </c>
      <c r="H89" t="s" s="2">
        <v>17</v>
      </c>
      <c r="I89" s="3">
        <v>4</v>
      </c>
      <c r="J89" t="s" s="2">
        <v>29</v>
      </c>
      <c r="K89" t="s" s="2">
        <v>27</v>
      </c>
      <c r="L89" s="3">
        <v>40</v>
      </c>
      <c r="M89" t="s" s="2">
        <v>20</v>
      </c>
    </row>
    <row r="90" ht="13.55" customHeight="1">
      <c r="A90" s="3">
        <v>24119</v>
      </c>
      <c r="B90" t="s" s="2">
        <v>25</v>
      </c>
      <c r="C90" t="s" s="2">
        <v>13</v>
      </c>
      <c r="D90" s="4">
        <v>30000</v>
      </c>
      <c r="E90" s="3">
        <v>0</v>
      </c>
      <c r="F90" t="s" s="2">
        <v>21</v>
      </c>
      <c r="G90" t="s" s="2">
        <v>22</v>
      </c>
      <c r="H90" t="s" s="2">
        <v>20</v>
      </c>
      <c r="I90" s="3">
        <v>1</v>
      </c>
      <c r="J90" t="s" s="2">
        <v>24</v>
      </c>
      <c r="K90" t="s" s="2">
        <v>19</v>
      </c>
      <c r="L90" s="3">
        <v>29</v>
      </c>
      <c r="M90" t="s" s="2">
        <v>20</v>
      </c>
    </row>
    <row r="91" ht="13.55" customHeight="1">
      <c r="A91" s="3">
        <v>25458</v>
      </c>
      <c r="B91" t="s" s="2">
        <v>13</v>
      </c>
      <c r="C91" t="s" s="2">
        <v>13</v>
      </c>
      <c r="D91" s="4">
        <v>20000</v>
      </c>
      <c r="E91" s="3">
        <v>1</v>
      </c>
      <c r="F91" t="s" s="2">
        <v>30</v>
      </c>
      <c r="G91" t="s" s="2">
        <v>28</v>
      </c>
      <c r="H91" t="s" s="2">
        <v>20</v>
      </c>
      <c r="I91" s="3">
        <v>1</v>
      </c>
      <c r="J91" t="s" s="2">
        <v>29</v>
      </c>
      <c r="K91" t="s" s="2">
        <v>19</v>
      </c>
      <c r="L91" s="3">
        <v>40</v>
      </c>
      <c r="M91" t="s" s="2">
        <v>17</v>
      </c>
    </row>
    <row r="92" ht="13.55" customHeight="1">
      <c r="A92" s="3">
        <v>26886</v>
      </c>
      <c r="B92" t="s" s="2">
        <v>25</v>
      </c>
      <c r="C92" t="s" s="2">
        <v>14</v>
      </c>
      <c r="D92" s="4">
        <v>30000</v>
      </c>
      <c r="E92" s="3">
        <v>0</v>
      </c>
      <c r="F92" t="s" s="2">
        <v>21</v>
      </c>
      <c r="G92" t="s" s="2">
        <v>22</v>
      </c>
      <c r="H92" t="s" s="2">
        <v>20</v>
      </c>
      <c r="I92" s="3">
        <v>1</v>
      </c>
      <c r="J92" t="s" s="2">
        <v>18</v>
      </c>
      <c r="K92" t="s" s="2">
        <v>19</v>
      </c>
      <c r="L92" s="3">
        <v>29</v>
      </c>
      <c r="M92" t="s" s="2">
        <v>17</v>
      </c>
    </row>
    <row r="93" ht="13.55" customHeight="1">
      <c r="A93" s="3">
        <v>28436</v>
      </c>
      <c r="B93" t="s" s="2">
        <v>25</v>
      </c>
      <c r="C93" t="s" s="2">
        <v>13</v>
      </c>
      <c r="D93" s="4">
        <v>30000</v>
      </c>
      <c r="E93" s="3">
        <v>0</v>
      </c>
      <c r="F93" t="s" s="2">
        <v>21</v>
      </c>
      <c r="G93" t="s" s="2">
        <v>22</v>
      </c>
      <c r="H93" t="s" s="2">
        <v>20</v>
      </c>
      <c r="I93" s="3">
        <v>1</v>
      </c>
      <c r="J93" t="s" s="2">
        <v>18</v>
      </c>
      <c r="K93" t="s" s="2">
        <v>19</v>
      </c>
      <c r="L93" s="3">
        <v>30</v>
      </c>
      <c r="M93" t="s" s="2">
        <v>17</v>
      </c>
    </row>
    <row r="94" ht="13.55" customHeight="1">
      <c r="A94" s="3">
        <v>19562</v>
      </c>
      <c r="B94" t="s" s="2">
        <v>25</v>
      </c>
      <c r="C94" t="s" s="2">
        <v>14</v>
      </c>
      <c r="D94" s="4">
        <v>60000</v>
      </c>
      <c r="E94" s="3">
        <v>2</v>
      </c>
      <c r="F94" t="s" s="2">
        <v>15</v>
      </c>
      <c r="G94" t="s" s="2">
        <v>23</v>
      </c>
      <c r="H94" t="s" s="2">
        <v>17</v>
      </c>
      <c r="I94" s="3">
        <v>1</v>
      </c>
      <c r="J94" t="s" s="2">
        <v>24</v>
      </c>
      <c r="K94" t="s" s="2">
        <v>27</v>
      </c>
      <c r="L94" s="3">
        <v>37</v>
      </c>
      <c r="M94" t="s" s="2">
        <v>17</v>
      </c>
    </row>
    <row r="95" ht="13.55" customHeight="1">
      <c r="A95" s="3">
        <v>15608</v>
      </c>
      <c r="B95" t="s" s="2">
        <v>25</v>
      </c>
      <c r="C95" t="s" s="2">
        <v>14</v>
      </c>
      <c r="D95" s="4">
        <v>30000</v>
      </c>
      <c r="E95" s="3">
        <v>0</v>
      </c>
      <c r="F95" t="s" s="2">
        <v>21</v>
      </c>
      <c r="G95" t="s" s="2">
        <v>22</v>
      </c>
      <c r="H95" t="s" s="2">
        <v>20</v>
      </c>
      <c r="I95" s="3">
        <v>1</v>
      </c>
      <c r="J95" t="s" s="2">
        <v>24</v>
      </c>
      <c r="K95" t="s" s="2">
        <v>19</v>
      </c>
      <c r="L95" s="3">
        <v>33</v>
      </c>
      <c r="M95" t="s" s="2">
        <v>20</v>
      </c>
    </row>
    <row r="96" ht="13.55" customHeight="1">
      <c r="A96" s="3">
        <v>16487</v>
      </c>
      <c r="B96" t="s" s="2">
        <v>25</v>
      </c>
      <c r="C96" t="s" s="2">
        <v>14</v>
      </c>
      <c r="D96" s="4">
        <v>30000</v>
      </c>
      <c r="E96" s="3">
        <v>3</v>
      </c>
      <c r="F96" t="s" s="2">
        <v>30</v>
      </c>
      <c r="G96" t="s" s="2">
        <v>16</v>
      </c>
      <c r="H96" t="s" s="2">
        <v>17</v>
      </c>
      <c r="I96" s="3">
        <v>2</v>
      </c>
      <c r="J96" t="s" s="2">
        <v>26</v>
      </c>
      <c r="K96" t="s" s="2">
        <v>27</v>
      </c>
      <c r="L96" s="3">
        <v>55</v>
      </c>
      <c r="M96" t="s" s="2">
        <v>20</v>
      </c>
    </row>
    <row r="97" ht="13.55" customHeight="1">
      <c r="A97" s="3">
        <v>17197</v>
      </c>
      <c r="B97" t="s" s="2">
        <v>25</v>
      </c>
      <c r="C97" t="s" s="2">
        <v>14</v>
      </c>
      <c r="D97" s="4">
        <v>90000</v>
      </c>
      <c r="E97" s="3">
        <v>5</v>
      </c>
      <c r="F97" t="s" s="2">
        <v>21</v>
      </c>
      <c r="G97" t="s" s="2">
        <v>23</v>
      </c>
      <c r="H97" t="s" s="2">
        <v>17</v>
      </c>
      <c r="I97" s="3">
        <v>2</v>
      </c>
      <c r="J97" t="s" s="2">
        <v>33</v>
      </c>
      <c r="K97" t="s" s="2">
        <v>19</v>
      </c>
      <c r="L97" s="3">
        <v>62</v>
      </c>
      <c r="M97" t="s" s="2">
        <v>20</v>
      </c>
    </row>
    <row r="98" ht="13.55" customHeight="1">
      <c r="A98" s="3">
        <v>12507</v>
      </c>
      <c r="B98" t="s" s="2">
        <v>13</v>
      </c>
      <c r="C98" t="s" s="2">
        <v>13</v>
      </c>
      <c r="D98" s="4">
        <v>30000</v>
      </c>
      <c r="E98" s="3">
        <v>1</v>
      </c>
      <c r="F98" t="s" s="2">
        <v>21</v>
      </c>
      <c r="G98" t="s" s="2">
        <v>22</v>
      </c>
      <c r="H98" t="s" s="2">
        <v>17</v>
      </c>
      <c r="I98" s="3">
        <v>1</v>
      </c>
      <c r="J98" t="s" s="2">
        <v>18</v>
      </c>
      <c r="K98" t="s" s="2">
        <v>19</v>
      </c>
      <c r="L98" s="3">
        <v>43</v>
      </c>
      <c r="M98" t="s" s="2">
        <v>20</v>
      </c>
    </row>
    <row r="99" ht="13.55" customHeight="1">
      <c r="A99" s="3">
        <v>23940</v>
      </c>
      <c r="B99" t="s" s="2">
        <v>13</v>
      </c>
      <c r="C99" t="s" s="2">
        <v>13</v>
      </c>
      <c r="D99" s="4">
        <v>40000</v>
      </c>
      <c r="E99" s="3">
        <v>1</v>
      </c>
      <c r="F99" t="s" s="2">
        <v>15</v>
      </c>
      <c r="G99" t="s" s="2">
        <v>16</v>
      </c>
      <c r="H99" t="s" s="2">
        <v>17</v>
      </c>
      <c r="I99" s="3">
        <v>1</v>
      </c>
      <c r="J99" t="s" s="2">
        <v>18</v>
      </c>
      <c r="K99" t="s" s="2">
        <v>19</v>
      </c>
      <c r="L99" s="3">
        <v>44</v>
      </c>
      <c r="M99" t="s" s="2">
        <v>17</v>
      </c>
    </row>
    <row r="100" ht="13.55" customHeight="1">
      <c r="A100" s="3">
        <v>19441</v>
      </c>
      <c r="B100" t="s" s="2">
        <v>13</v>
      </c>
      <c r="C100" t="s" s="2">
        <v>13</v>
      </c>
      <c r="D100" s="4">
        <v>40000</v>
      </c>
      <c r="E100" s="3">
        <v>0</v>
      </c>
      <c r="F100" t="s" s="2">
        <v>34</v>
      </c>
      <c r="G100" t="s" s="2">
        <v>22</v>
      </c>
      <c r="H100" t="s" s="2">
        <v>17</v>
      </c>
      <c r="I100" s="3">
        <v>0</v>
      </c>
      <c r="J100" t="s" s="2">
        <v>18</v>
      </c>
      <c r="K100" t="s" s="2">
        <v>19</v>
      </c>
      <c r="L100" s="3">
        <v>25</v>
      </c>
      <c r="M100" t="s" s="2">
        <v>17</v>
      </c>
    </row>
    <row r="101" ht="13.55" customHeight="1">
      <c r="A101" s="3">
        <v>26852</v>
      </c>
      <c r="B101" t="s" s="2">
        <v>13</v>
      </c>
      <c r="C101" t="s" s="2">
        <v>14</v>
      </c>
      <c r="D101" s="4">
        <v>20000</v>
      </c>
      <c r="E101" s="3">
        <v>3</v>
      </c>
      <c r="F101" t="s" s="2">
        <v>30</v>
      </c>
      <c r="G101" t="s" s="2">
        <v>28</v>
      </c>
      <c r="H101" t="s" s="2">
        <v>17</v>
      </c>
      <c r="I101" s="3">
        <v>2</v>
      </c>
      <c r="J101" t="s" s="2">
        <v>18</v>
      </c>
      <c r="K101" t="s" s="2">
        <v>19</v>
      </c>
      <c r="L101" s="3">
        <v>43</v>
      </c>
      <c r="M101" t="s" s="2">
        <v>20</v>
      </c>
    </row>
    <row r="102" ht="13.55" customHeight="1">
      <c r="A102" s="3">
        <v>12274</v>
      </c>
      <c r="B102" t="s" s="2">
        <v>25</v>
      </c>
      <c r="C102" t="s" s="2">
        <v>13</v>
      </c>
      <c r="D102" s="4">
        <v>10000</v>
      </c>
      <c r="E102" s="3">
        <v>2</v>
      </c>
      <c r="F102" t="s" s="2">
        <v>30</v>
      </c>
      <c r="G102" t="s" s="2">
        <v>28</v>
      </c>
      <c r="H102" t="s" s="2">
        <v>17</v>
      </c>
      <c r="I102" s="3">
        <v>0</v>
      </c>
      <c r="J102" t="s" s="2">
        <v>18</v>
      </c>
      <c r="K102" t="s" s="2">
        <v>19</v>
      </c>
      <c r="L102" s="3">
        <v>35</v>
      </c>
      <c r="M102" t="s" s="2">
        <v>20</v>
      </c>
    </row>
    <row r="103" ht="13.55" customHeight="1">
      <c r="A103" s="3">
        <v>20236</v>
      </c>
      <c r="B103" t="s" s="2">
        <v>25</v>
      </c>
      <c r="C103" t="s" s="2">
        <v>13</v>
      </c>
      <c r="D103" s="4">
        <v>60000</v>
      </c>
      <c r="E103" s="3">
        <v>3</v>
      </c>
      <c r="F103" t="s" s="2">
        <v>15</v>
      </c>
      <c r="G103" t="s" s="2">
        <v>23</v>
      </c>
      <c r="H103" t="s" s="2">
        <v>20</v>
      </c>
      <c r="I103" s="3">
        <v>2</v>
      </c>
      <c r="J103" t="s" s="2">
        <v>18</v>
      </c>
      <c r="K103" t="s" s="2">
        <v>27</v>
      </c>
      <c r="L103" s="3">
        <v>43</v>
      </c>
      <c r="M103" t="s" s="2">
        <v>17</v>
      </c>
    </row>
    <row r="104" ht="13.55" customHeight="1">
      <c r="A104" s="3">
        <v>24149</v>
      </c>
      <c r="B104" t="s" s="2">
        <v>13</v>
      </c>
      <c r="C104" t="s" s="2">
        <v>13</v>
      </c>
      <c r="D104" s="4">
        <v>10000</v>
      </c>
      <c r="E104" s="3">
        <v>2</v>
      </c>
      <c r="F104" t="s" s="2">
        <v>21</v>
      </c>
      <c r="G104" t="s" s="2">
        <v>28</v>
      </c>
      <c r="H104" t="s" s="2">
        <v>17</v>
      </c>
      <c r="I104" s="3">
        <v>0</v>
      </c>
      <c r="J104" t="s" s="2">
        <v>29</v>
      </c>
      <c r="K104" t="s" s="2">
        <v>19</v>
      </c>
      <c r="L104" s="3">
        <v>49</v>
      </c>
      <c r="M104" t="s" s="2">
        <v>20</v>
      </c>
    </row>
    <row r="105" ht="13.55" customHeight="1">
      <c r="A105" s="3">
        <v>26139</v>
      </c>
      <c r="B105" t="s" s="2">
        <v>25</v>
      </c>
      <c r="C105" t="s" s="2">
        <v>13</v>
      </c>
      <c r="D105" s="4">
        <v>60000</v>
      </c>
      <c r="E105" s="3">
        <v>1</v>
      </c>
      <c r="F105" t="s" s="2">
        <v>21</v>
      </c>
      <c r="G105" t="s" s="2">
        <v>16</v>
      </c>
      <c r="H105" t="s" s="2">
        <v>17</v>
      </c>
      <c r="I105" s="3">
        <v>1</v>
      </c>
      <c r="J105" t="s" s="2">
        <v>26</v>
      </c>
      <c r="K105" t="s" s="2">
        <v>27</v>
      </c>
      <c r="L105" s="3">
        <v>45</v>
      </c>
      <c r="M105" t="s" s="2">
        <v>20</v>
      </c>
    </row>
    <row r="106" ht="13.55" customHeight="1">
      <c r="A106" s="3">
        <v>18491</v>
      </c>
      <c r="B106" t="s" s="2">
        <v>25</v>
      </c>
      <c r="C106" t="s" s="2">
        <v>14</v>
      </c>
      <c r="D106" s="4">
        <v>70000</v>
      </c>
      <c r="E106" s="3">
        <v>2</v>
      </c>
      <c r="F106" t="s" s="2">
        <v>30</v>
      </c>
      <c r="G106" t="s" s="2">
        <v>23</v>
      </c>
      <c r="H106" t="s" s="2">
        <v>17</v>
      </c>
      <c r="I106" s="3">
        <v>2</v>
      </c>
      <c r="J106" t="s" s="2">
        <v>26</v>
      </c>
      <c r="K106" t="s" s="2">
        <v>27</v>
      </c>
      <c r="L106" s="3">
        <v>49</v>
      </c>
      <c r="M106" t="s" s="2">
        <v>17</v>
      </c>
    </row>
    <row r="107" ht="13.55" customHeight="1">
      <c r="A107" s="3">
        <v>22707</v>
      </c>
      <c r="B107" t="s" s="2">
        <v>25</v>
      </c>
      <c r="C107" t="s" s="2">
        <v>14</v>
      </c>
      <c r="D107" s="4">
        <v>30000</v>
      </c>
      <c r="E107" s="3">
        <v>0</v>
      </c>
      <c r="F107" t="s" s="2">
        <v>21</v>
      </c>
      <c r="G107" t="s" s="2">
        <v>22</v>
      </c>
      <c r="H107" t="s" s="2">
        <v>20</v>
      </c>
      <c r="I107" s="3">
        <v>1</v>
      </c>
      <c r="J107" t="s" s="2">
        <v>24</v>
      </c>
      <c r="K107" t="s" s="2">
        <v>19</v>
      </c>
      <c r="L107" s="3">
        <v>30</v>
      </c>
      <c r="M107" t="s" s="2">
        <v>20</v>
      </c>
    </row>
    <row r="108" ht="13.55" customHeight="1">
      <c r="A108" s="3">
        <v>20430</v>
      </c>
      <c r="B108" t="s" s="2">
        <v>13</v>
      </c>
      <c r="C108" t="s" s="2">
        <v>13</v>
      </c>
      <c r="D108" s="4">
        <v>70000</v>
      </c>
      <c r="E108" s="3">
        <v>2</v>
      </c>
      <c r="F108" t="s" s="2">
        <v>21</v>
      </c>
      <c r="G108" t="s" s="2">
        <v>16</v>
      </c>
      <c r="H108" t="s" s="2">
        <v>17</v>
      </c>
      <c r="I108" s="3">
        <v>2</v>
      </c>
      <c r="J108" t="s" s="2">
        <v>26</v>
      </c>
      <c r="K108" t="s" s="2">
        <v>27</v>
      </c>
      <c r="L108" s="3">
        <v>52</v>
      </c>
      <c r="M108" t="s" s="2">
        <v>17</v>
      </c>
    </row>
    <row r="109" ht="13.55" customHeight="1">
      <c r="A109" s="3">
        <v>27494</v>
      </c>
      <c r="B109" t="s" s="2">
        <v>25</v>
      </c>
      <c r="C109" t="s" s="2">
        <v>14</v>
      </c>
      <c r="D109" s="4">
        <v>40000</v>
      </c>
      <c r="E109" s="3">
        <v>2</v>
      </c>
      <c r="F109" t="s" s="2">
        <v>21</v>
      </c>
      <c r="G109" t="s" s="2">
        <v>16</v>
      </c>
      <c r="H109" t="s" s="2">
        <v>20</v>
      </c>
      <c r="I109" s="3">
        <v>2</v>
      </c>
      <c r="J109" t="s" s="2">
        <v>29</v>
      </c>
      <c r="K109" t="s" s="2">
        <v>27</v>
      </c>
      <c r="L109" s="3">
        <v>53</v>
      </c>
      <c r="M109" t="s" s="2">
        <v>17</v>
      </c>
    </row>
    <row r="110" ht="13.55" customHeight="1">
      <c r="A110" s="3">
        <v>26829</v>
      </c>
      <c r="B110" t="s" s="2">
        <v>13</v>
      </c>
      <c r="C110" t="s" s="2">
        <v>14</v>
      </c>
      <c r="D110" s="4">
        <v>40000</v>
      </c>
      <c r="E110" s="3">
        <v>0</v>
      </c>
      <c r="F110" t="s" s="2">
        <v>15</v>
      </c>
      <c r="G110" t="s" s="2">
        <v>22</v>
      </c>
      <c r="H110" t="s" s="2">
        <v>17</v>
      </c>
      <c r="I110" s="3">
        <v>0</v>
      </c>
      <c r="J110" t="s" s="2">
        <v>18</v>
      </c>
      <c r="K110" t="s" s="2">
        <v>19</v>
      </c>
      <c r="L110" s="3">
        <v>38</v>
      </c>
      <c r="M110" t="s" s="2">
        <v>17</v>
      </c>
    </row>
    <row r="111" ht="13.55" customHeight="1">
      <c r="A111" s="3">
        <v>28395</v>
      </c>
      <c r="B111" t="s" s="2">
        <v>25</v>
      </c>
      <c r="C111" t="s" s="2">
        <v>13</v>
      </c>
      <c r="D111" s="4">
        <v>40000</v>
      </c>
      <c r="E111" s="3">
        <v>0</v>
      </c>
      <c r="F111" t="s" s="2">
        <v>15</v>
      </c>
      <c r="G111" t="s" s="2">
        <v>23</v>
      </c>
      <c r="H111" t="s" s="2">
        <v>20</v>
      </c>
      <c r="I111" s="3">
        <v>0</v>
      </c>
      <c r="J111" t="s" s="2">
        <v>18</v>
      </c>
      <c r="K111" t="s" s="2">
        <v>19</v>
      </c>
      <c r="L111" s="3">
        <v>39</v>
      </c>
      <c r="M111" t="s" s="2">
        <v>17</v>
      </c>
    </row>
    <row r="112" ht="13.55" customHeight="1">
      <c r="A112" s="3">
        <v>21006</v>
      </c>
      <c r="B112" t="s" s="2">
        <v>25</v>
      </c>
      <c r="C112" t="s" s="2">
        <v>14</v>
      </c>
      <c r="D112" s="4">
        <v>30000</v>
      </c>
      <c r="E112" s="3">
        <v>1</v>
      </c>
      <c r="F112" t="s" s="2">
        <v>21</v>
      </c>
      <c r="G112" t="s" s="2">
        <v>28</v>
      </c>
      <c r="H112" t="s" s="2">
        <v>20</v>
      </c>
      <c r="I112" s="3">
        <v>0</v>
      </c>
      <c r="J112" t="s" s="2">
        <v>18</v>
      </c>
      <c r="K112" t="s" s="2">
        <v>19</v>
      </c>
      <c r="L112" s="3">
        <v>46</v>
      </c>
      <c r="M112" t="s" s="2">
        <v>17</v>
      </c>
    </row>
    <row r="113" ht="13.55" customHeight="1">
      <c r="A113" s="3">
        <v>14682</v>
      </c>
      <c r="B113" t="s" s="2">
        <v>25</v>
      </c>
      <c r="C113" t="s" s="2">
        <v>14</v>
      </c>
      <c r="D113" s="4">
        <v>70000</v>
      </c>
      <c r="E113" s="3">
        <v>0</v>
      </c>
      <c r="F113" t="s" s="2">
        <v>15</v>
      </c>
      <c r="G113" t="s" s="2">
        <v>23</v>
      </c>
      <c r="H113" t="s" s="2">
        <v>20</v>
      </c>
      <c r="I113" s="3">
        <v>1</v>
      </c>
      <c r="J113" t="s" s="2">
        <v>26</v>
      </c>
      <c r="K113" t="s" s="2">
        <v>27</v>
      </c>
      <c r="L113" s="3">
        <v>38</v>
      </c>
      <c r="M113" t="s" s="2">
        <v>20</v>
      </c>
    </row>
    <row r="114" ht="13.55" customHeight="1">
      <c r="A114" s="3">
        <v>17650</v>
      </c>
      <c r="B114" t="s" s="2">
        <v>25</v>
      </c>
      <c r="C114" t="s" s="2">
        <v>14</v>
      </c>
      <c r="D114" s="4">
        <v>40000</v>
      </c>
      <c r="E114" s="3">
        <v>2</v>
      </c>
      <c r="F114" t="s" s="2">
        <v>21</v>
      </c>
      <c r="G114" t="s" s="2">
        <v>22</v>
      </c>
      <c r="H114" t="s" s="2">
        <v>17</v>
      </c>
      <c r="I114" s="3">
        <v>2</v>
      </c>
      <c r="J114" t="s" s="2">
        <v>29</v>
      </c>
      <c r="K114" t="s" s="2">
        <v>19</v>
      </c>
      <c r="L114" s="3">
        <v>35</v>
      </c>
      <c r="M114" t="s" s="2">
        <v>20</v>
      </c>
    </row>
    <row r="115" ht="13.55" customHeight="1">
      <c r="A115" s="3">
        <v>29191</v>
      </c>
      <c r="B115" t="s" s="2">
        <v>25</v>
      </c>
      <c r="C115" t="s" s="2">
        <v>14</v>
      </c>
      <c r="D115" s="4">
        <v>130000</v>
      </c>
      <c r="E115" s="3">
        <v>1</v>
      </c>
      <c r="F115" t="s" s="2">
        <v>34</v>
      </c>
      <c r="G115" t="s" s="2">
        <v>31</v>
      </c>
      <c r="H115" t="s" s="2">
        <v>20</v>
      </c>
      <c r="I115" s="3">
        <v>1</v>
      </c>
      <c r="J115" t="s" s="2">
        <v>18</v>
      </c>
      <c r="K115" t="s" s="2">
        <v>27</v>
      </c>
      <c r="L115" s="3">
        <v>36</v>
      </c>
      <c r="M115" t="s" s="2">
        <v>17</v>
      </c>
    </row>
    <row r="116" ht="13.55" customHeight="1">
      <c r="A116" s="3">
        <v>15030</v>
      </c>
      <c r="B116" t="s" s="2">
        <v>13</v>
      </c>
      <c r="C116" t="s" s="2">
        <v>13</v>
      </c>
      <c r="D116" s="4">
        <v>20000</v>
      </c>
      <c r="E116" s="3">
        <v>0</v>
      </c>
      <c r="F116" t="s" s="2">
        <v>15</v>
      </c>
      <c r="G116" t="s" s="2">
        <v>22</v>
      </c>
      <c r="H116" t="s" s="2">
        <v>17</v>
      </c>
      <c r="I116" s="3">
        <v>0</v>
      </c>
      <c r="J116" t="s" s="2">
        <v>18</v>
      </c>
      <c r="K116" t="s" s="2">
        <v>27</v>
      </c>
      <c r="L116" s="3">
        <v>26</v>
      </c>
      <c r="M116" t="s" s="2">
        <v>17</v>
      </c>
    </row>
    <row r="117" ht="13.55" customHeight="1">
      <c r="A117" s="3">
        <v>24140</v>
      </c>
      <c r="B117" t="s" s="2">
        <v>25</v>
      </c>
      <c r="C117" t="s" s="2">
        <v>13</v>
      </c>
      <c r="D117" s="4">
        <v>10000</v>
      </c>
      <c r="E117" s="3">
        <v>0</v>
      </c>
      <c r="F117" t="s" s="2">
        <v>34</v>
      </c>
      <c r="G117" t="s" s="2">
        <v>28</v>
      </c>
      <c r="H117" t="s" s="2">
        <v>20</v>
      </c>
      <c r="I117" s="3">
        <v>0</v>
      </c>
      <c r="J117" t="s" s="2">
        <v>18</v>
      </c>
      <c r="K117" t="s" s="2">
        <v>19</v>
      </c>
      <c r="L117" s="3">
        <v>30</v>
      </c>
      <c r="M117" t="s" s="2">
        <v>17</v>
      </c>
    </row>
    <row r="118" ht="13.55" customHeight="1">
      <c r="A118" s="3">
        <v>22496</v>
      </c>
      <c r="B118" t="s" s="2">
        <v>13</v>
      </c>
      <c r="C118" t="s" s="2">
        <v>14</v>
      </c>
      <c r="D118" s="4">
        <v>30000</v>
      </c>
      <c r="E118" s="3">
        <v>1</v>
      </c>
      <c r="F118" t="s" s="2">
        <v>15</v>
      </c>
      <c r="G118" t="s" s="2">
        <v>16</v>
      </c>
      <c r="H118" t="s" s="2">
        <v>17</v>
      </c>
      <c r="I118" s="3">
        <v>2</v>
      </c>
      <c r="J118" t="s" s="2">
        <v>18</v>
      </c>
      <c r="K118" t="s" s="2">
        <v>19</v>
      </c>
      <c r="L118" s="3">
        <v>42</v>
      </c>
      <c r="M118" t="s" s="2">
        <v>20</v>
      </c>
    </row>
    <row r="119" ht="13.55" customHeight="1">
      <c r="A119" s="3">
        <v>24065</v>
      </c>
      <c r="B119" t="s" s="2">
        <v>25</v>
      </c>
      <c r="C119" t="s" s="2">
        <v>14</v>
      </c>
      <c r="D119" s="4">
        <v>20000</v>
      </c>
      <c r="E119" s="3">
        <v>0</v>
      </c>
      <c r="F119" t="s" s="2">
        <v>30</v>
      </c>
      <c r="G119" t="s" s="2">
        <v>28</v>
      </c>
      <c r="H119" t="s" s="2">
        <v>17</v>
      </c>
      <c r="I119" s="3">
        <v>0</v>
      </c>
      <c r="J119" t="s" s="2">
        <v>18</v>
      </c>
      <c r="K119" t="s" s="2">
        <v>19</v>
      </c>
      <c r="L119" s="3">
        <v>40</v>
      </c>
      <c r="M119" t="s" s="2">
        <v>17</v>
      </c>
    </row>
    <row r="120" ht="13.55" customHeight="1">
      <c r="A120" s="3">
        <v>19914</v>
      </c>
      <c r="B120" t="s" s="2">
        <v>13</v>
      </c>
      <c r="C120" t="s" s="2">
        <v>13</v>
      </c>
      <c r="D120" s="4">
        <v>80000</v>
      </c>
      <c r="E120" s="3">
        <v>5</v>
      </c>
      <c r="F120" t="s" s="2">
        <v>15</v>
      </c>
      <c r="G120" t="s" s="2">
        <v>31</v>
      </c>
      <c r="H120" t="s" s="2">
        <v>17</v>
      </c>
      <c r="I120" s="3">
        <v>2</v>
      </c>
      <c r="J120" t="s" s="2">
        <v>24</v>
      </c>
      <c r="K120" t="s" s="2">
        <v>19</v>
      </c>
      <c r="L120" s="3">
        <v>62</v>
      </c>
      <c r="M120" t="s" s="2">
        <v>20</v>
      </c>
    </row>
    <row r="121" ht="13.55" customHeight="1">
      <c r="A121" s="3">
        <v>12871</v>
      </c>
      <c r="B121" t="s" s="2">
        <v>25</v>
      </c>
      <c r="C121" t="s" s="2">
        <v>14</v>
      </c>
      <c r="D121" s="4">
        <v>30000</v>
      </c>
      <c r="E121" s="3">
        <v>0</v>
      </c>
      <c r="F121" t="s" s="2">
        <v>21</v>
      </c>
      <c r="G121" t="s" s="2">
        <v>22</v>
      </c>
      <c r="H121" t="s" s="2">
        <v>20</v>
      </c>
      <c r="I121" s="3">
        <v>1</v>
      </c>
      <c r="J121" t="s" s="2">
        <v>24</v>
      </c>
      <c r="K121" t="s" s="2">
        <v>19</v>
      </c>
      <c r="L121" s="3">
        <v>29</v>
      </c>
      <c r="M121" t="s" s="2">
        <v>20</v>
      </c>
    </row>
    <row r="122" ht="13.55" customHeight="1">
      <c r="A122" s="3">
        <v>22988</v>
      </c>
      <c r="B122" t="s" s="2">
        <v>13</v>
      </c>
      <c r="C122" t="s" s="2">
        <v>14</v>
      </c>
      <c r="D122" s="4">
        <v>40000</v>
      </c>
      <c r="E122" s="3">
        <v>2</v>
      </c>
      <c r="F122" t="s" s="2">
        <v>15</v>
      </c>
      <c r="G122" t="s" s="2">
        <v>31</v>
      </c>
      <c r="H122" t="s" s="2">
        <v>17</v>
      </c>
      <c r="I122" s="3">
        <v>2</v>
      </c>
      <c r="J122" t="s" s="2">
        <v>26</v>
      </c>
      <c r="K122" t="s" s="2">
        <v>27</v>
      </c>
      <c r="L122" s="3">
        <v>66</v>
      </c>
      <c r="M122" t="s" s="2">
        <v>17</v>
      </c>
    </row>
    <row r="123" ht="13.55" customHeight="1">
      <c r="A123" s="3">
        <v>15922</v>
      </c>
      <c r="B123" t="s" s="2">
        <v>13</v>
      </c>
      <c r="C123" t="s" s="2">
        <v>13</v>
      </c>
      <c r="D123" s="4">
        <v>150000</v>
      </c>
      <c r="E123" s="3">
        <v>2</v>
      </c>
      <c r="F123" t="s" s="2">
        <v>30</v>
      </c>
      <c r="G123" t="s" s="2">
        <v>23</v>
      </c>
      <c r="H123" t="s" s="2">
        <v>17</v>
      </c>
      <c r="I123" s="3">
        <v>4</v>
      </c>
      <c r="J123" t="s" s="2">
        <v>18</v>
      </c>
      <c r="K123" t="s" s="2">
        <v>19</v>
      </c>
      <c r="L123" s="3">
        <v>48</v>
      </c>
      <c r="M123" t="s" s="2">
        <v>20</v>
      </c>
    </row>
    <row r="124" ht="13.55" customHeight="1">
      <c r="A124" s="3">
        <v>12344</v>
      </c>
      <c r="B124" t="s" s="2">
        <v>25</v>
      </c>
      <c r="C124" t="s" s="2">
        <v>14</v>
      </c>
      <c r="D124" s="4">
        <v>80000</v>
      </c>
      <c r="E124" s="3">
        <v>0</v>
      </c>
      <c r="F124" t="s" s="2">
        <v>15</v>
      </c>
      <c r="G124" t="s" s="2">
        <v>23</v>
      </c>
      <c r="H124" t="s" s="2">
        <v>20</v>
      </c>
      <c r="I124" s="3">
        <v>3</v>
      </c>
      <c r="J124" t="s" s="2">
        <v>33</v>
      </c>
      <c r="K124" t="s" s="2">
        <v>27</v>
      </c>
      <c r="L124" s="3">
        <v>31</v>
      </c>
      <c r="M124" t="s" s="2">
        <v>20</v>
      </c>
    </row>
    <row r="125" ht="13.55" customHeight="1">
      <c r="A125" s="3">
        <v>23627</v>
      </c>
      <c r="B125" t="s" s="2">
        <v>25</v>
      </c>
      <c r="C125" t="s" s="2">
        <v>14</v>
      </c>
      <c r="D125" s="4">
        <v>100000</v>
      </c>
      <c r="E125" s="3">
        <v>3</v>
      </c>
      <c r="F125" t="s" s="2">
        <v>21</v>
      </c>
      <c r="G125" t="s" s="2">
        <v>31</v>
      </c>
      <c r="H125" t="s" s="2">
        <v>20</v>
      </c>
      <c r="I125" s="3">
        <v>4</v>
      </c>
      <c r="J125" t="s" s="2">
        <v>26</v>
      </c>
      <c r="K125" t="s" s="2">
        <v>19</v>
      </c>
      <c r="L125" s="3">
        <v>56</v>
      </c>
      <c r="M125" t="s" s="2">
        <v>20</v>
      </c>
    </row>
    <row r="126" ht="13.55" customHeight="1">
      <c r="A126" s="3">
        <v>27775</v>
      </c>
      <c r="B126" t="s" s="2">
        <v>25</v>
      </c>
      <c r="C126" t="s" s="2">
        <v>14</v>
      </c>
      <c r="D126" s="4">
        <v>40000</v>
      </c>
      <c r="E126" s="3">
        <v>0</v>
      </c>
      <c r="F126" t="s" s="2">
        <v>15</v>
      </c>
      <c r="G126" t="s" s="2">
        <v>22</v>
      </c>
      <c r="H126" t="s" s="2">
        <v>20</v>
      </c>
      <c r="I126" s="3">
        <v>0</v>
      </c>
      <c r="J126" t="s" s="2">
        <v>18</v>
      </c>
      <c r="K126" t="s" s="2">
        <v>19</v>
      </c>
      <c r="L126" s="3">
        <v>38</v>
      </c>
      <c r="M126" t="s" s="2">
        <v>17</v>
      </c>
    </row>
    <row r="127" ht="13.55" customHeight="1">
      <c r="A127" s="3">
        <v>29301</v>
      </c>
      <c r="B127" t="s" s="2">
        <v>13</v>
      </c>
      <c r="C127" t="s" s="2">
        <v>13</v>
      </c>
      <c r="D127" s="4">
        <v>80000</v>
      </c>
      <c r="E127" s="3">
        <v>5</v>
      </c>
      <c r="F127" t="s" s="2">
        <v>15</v>
      </c>
      <c r="G127" t="s" s="2">
        <v>23</v>
      </c>
      <c r="H127" t="s" s="2">
        <v>17</v>
      </c>
      <c r="I127" s="3">
        <v>4</v>
      </c>
      <c r="J127" t="s" s="2">
        <v>29</v>
      </c>
      <c r="K127" t="s" s="2">
        <v>27</v>
      </c>
      <c r="L127" s="3">
        <v>40</v>
      </c>
      <c r="M127" t="s" s="2">
        <v>20</v>
      </c>
    </row>
    <row r="128" ht="13.55" customHeight="1">
      <c r="A128" s="3">
        <v>12716</v>
      </c>
      <c r="B128" t="s" s="2">
        <v>25</v>
      </c>
      <c r="C128" t="s" s="2">
        <v>13</v>
      </c>
      <c r="D128" s="4">
        <v>30000</v>
      </c>
      <c r="E128" s="3">
        <v>0</v>
      </c>
      <c r="F128" t="s" s="2">
        <v>21</v>
      </c>
      <c r="G128" t="s" s="2">
        <v>22</v>
      </c>
      <c r="H128" t="s" s="2">
        <v>17</v>
      </c>
      <c r="I128" s="3">
        <v>1</v>
      </c>
      <c r="J128" t="s" s="2">
        <v>24</v>
      </c>
      <c r="K128" t="s" s="2">
        <v>19</v>
      </c>
      <c r="L128" s="3">
        <v>32</v>
      </c>
      <c r="M128" t="s" s="2">
        <v>20</v>
      </c>
    </row>
    <row r="129" ht="13.55" customHeight="1">
      <c r="A129" s="3">
        <v>12472</v>
      </c>
      <c r="B129" t="s" s="2">
        <v>13</v>
      </c>
      <c r="C129" t="s" s="2">
        <v>13</v>
      </c>
      <c r="D129" s="4">
        <v>30000</v>
      </c>
      <c r="E129" s="3">
        <v>1</v>
      </c>
      <c r="F129" t="s" s="2">
        <v>15</v>
      </c>
      <c r="G129" t="s" s="2">
        <v>22</v>
      </c>
      <c r="H129" t="s" s="2">
        <v>17</v>
      </c>
      <c r="I129" s="3">
        <v>1</v>
      </c>
      <c r="J129" t="s" s="2">
        <v>24</v>
      </c>
      <c r="K129" t="s" s="2">
        <v>19</v>
      </c>
      <c r="L129" s="3">
        <v>39</v>
      </c>
      <c r="M129" t="s" s="2">
        <v>20</v>
      </c>
    </row>
    <row r="130" ht="13.55" customHeight="1">
      <c r="A130" s="3">
        <v>20970</v>
      </c>
      <c r="B130" t="s" s="2">
        <v>25</v>
      </c>
      <c r="C130" t="s" s="2">
        <v>13</v>
      </c>
      <c r="D130" s="4">
        <v>10000</v>
      </c>
      <c r="E130" s="3">
        <v>2</v>
      </c>
      <c r="F130" t="s" s="2">
        <v>21</v>
      </c>
      <c r="G130" t="s" s="2">
        <v>28</v>
      </c>
      <c r="H130" t="s" s="2">
        <v>17</v>
      </c>
      <c r="I130" s="3">
        <v>1</v>
      </c>
      <c r="J130" t="s" s="2">
        <v>18</v>
      </c>
      <c r="K130" t="s" s="2">
        <v>19</v>
      </c>
      <c r="L130" s="3">
        <v>52</v>
      </c>
      <c r="M130" t="s" s="2">
        <v>17</v>
      </c>
    </row>
    <row r="131" ht="13.55" customHeight="1">
      <c r="A131" s="3">
        <v>26818</v>
      </c>
      <c r="B131" t="s" s="2">
        <v>25</v>
      </c>
      <c r="C131" t="s" s="2">
        <v>13</v>
      </c>
      <c r="D131" s="4">
        <v>10000</v>
      </c>
      <c r="E131" s="3">
        <v>3</v>
      </c>
      <c r="F131" t="s" s="2">
        <v>30</v>
      </c>
      <c r="G131" t="s" s="2">
        <v>28</v>
      </c>
      <c r="H131" t="s" s="2">
        <v>17</v>
      </c>
      <c r="I131" s="3">
        <v>1</v>
      </c>
      <c r="J131" t="s" s="2">
        <v>18</v>
      </c>
      <c r="K131" t="s" s="2">
        <v>19</v>
      </c>
      <c r="L131" s="3">
        <v>39</v>
      </c>
      <c r="M131" t="s" s="2">
        <v>17</v>
      </c>
    </row>
    <row r="132" ht="13.55" customHeight="1">
      <c r="A132" s="3">
        <v>12993</v>
      </c>
      <c r="B132" t="s" s="2">
        <v>13</v>
      </c>
      <c r="C132" t="s" s="2">
        <v>13</v>
      </c>
      <c r="D132" s="4">
        <v>60000</v>
      </c>
      <c r="E132" s="3">
        <v>2</v>
      </c>
      <c r="F132" t="s" s="2">
        <v>15</v>
      </c>
      <c r="G132" t="s" s="2">
        <v>23</v>
      </c>
      <c r="H132" t="s" s="2">
        <v>17</v>
      </c>
      <c r="I132" s="3">
        <v>1</v>
      </c>
      <c r="J132" t="s" s="2">
        <v>24</v>
      </c>
      <c r="K132" t="s" s="2">
        <v>27</v>
      </c>
      <c r="L132" s="3">
        <v>37</v>
      </c>
      <c r="M132" t="s" s="2">
        <v>20</v>
      </c>
    </row>
    <row r="133" ht="13.55" customHeight="1">
      <c r="A133" s="3">
        <v>14192</v>
      </c>
      <c r="B133" t="s" s="2">
        <v>13</v>
      </c>
      <c r="C133" t="s" s="2">
        <v>13</v>
      </c>
      <c r="D133" s="4">
        <v>90000</v>
      </c>
      <c r="E133" s="3">
        <v>4</v>
      </c>
      <c r="F133" t="s" s="2">
        <v>30</v>
      </c>
      <c r="G133" t="s" s="2">
        <v>31</v>
      </c>
      <c r="H133" t="s" s="2">
        <v>17</v>
      </c>
      <c r="I133" s="3">
        <v>3</v>
      </c>
      <c r="J133" t="s" s="2">
        <v>26</v>
      </c>
      <c r="K133" t="s" s="2">
        <v>19</v>
      </c>
      <c r="L133" s="3">
        <v>56</v>
      </c>
      <c r="M133" t="s" s="2">
        <v>17</v>
      </c>
    </row>
    <row r="134" ht="13.55" customHeight="1">
      <c r="A134" s="3">
        <v>19477</v>
      </c>
      <c r="B134" t="s" s="2">
        <v>13</v>
      </c>
      <c r="C134" t="s" s="2">
        <v>13</v>
      </c>
      <c r="D134" s="4">
        <v>40000</v>
      </c>
      <c r="E134" s="3">
        <v>0</v>
      </c>
      <c r="F134" t="s" s="2">
        <v>15</v>
      </c>
      <c r="G134" t="s" s="2">
        <v>23</v>
      </c>
      <c r="H134" t="s" s="2">
        <v>17</v>
      </c>
      <c r="I134" s="3">
        <v>0</v>
      </c>
      <c r="J134" t="s" s="2">
        <v>18</v>
      </c>
      <c r="K134" t="s" s="2">
        <v>19</v>
      </c>
      <c r="L134" s="3">
        <v>40</v>
      </c>
      <c r="M134" t="s" s="2">
        <v>17</v>
      </c>
    </row>
    <row r="135" ht="13.55" customHeight="1">
      <c r="A135" s="3">
        <v>26796</v>
      </c>
      <c r="B135" t="s" s="2">
        <v>25</v>
      </c>
      <c r="C135" t="s" s="2">
        <v>13</v>
      </c>
      <c r="D135" s="4">
        <v>40000</v>
      </c>
      <c r="E135" s="3">
        <v>2</v>
      </c>
      <c r="F135" t="s" s="2">
        <v>15</v>
      </c>
      <c r="G135" t="s" s="2">
        <v>31</v>
      </c>
      <c r="H135" t="s" s="2">
        <v>17</v>
      </c>
      <c r="I135" s="3">
        <v>2</v>
      </c>
      <c r="J135" t="s" s="2">
        <v>26</v>
      </c>
      <c r="K135" t="s" s="2">
        <v>27</v>
      </c>
      <c r="L135" s="3">
        <v>65</v>
      </c>
      <c r="M135" t="s" s="2">
        <v>17</v>
      </c>
    </row>
    <row r="136" ht="13.55" customHeight="1">
      <c r="A136" s="3">
        <v>21094</v>
      </c>
      <c r="B136" t="s" s="2">
        <v>25</v>
      </c>
      <c r="C136" t="s" s="2">
        <v>14</v>
      </c>
      <c r="D136" s="4">
        <v>30000</v>
      </c>
      <c r="E136" s="3">
        <v>2</v>
      </c>
      <c r="F136" t="s" s="2">
        <v>21</v>
      </c>
      <c r="G136" t="s" s="2">
        <v>22</v>
      </c>
      <c r="H136" t="s" s="2">
        <v>17</v>
      </c>
      <c r="I136" s="3">
        <v>2</v>
      </c>
      <c r="J136" t="s" s="2">
        <v>18</v>
      </c>
      <c r="K136" t="s" s="2">
        <v>19</v>
      </c>
      <c r="L136" s="3">
        <v>42</v>
      </c>
      <c r="M136" t="s" s="2">
        <v>20</v>
      </c>
    </row>
    <row r="137" ht="13.55" customHeight="1">
      <c r="A137" s="3">
        <v>12234</v>
      </c>
      <c r="B137" t="s" s="2">
        <v>13</v>
      </c>
      <c r="C137" t="s" s="2">
        <v>13</v>
      </c>
      <c r="D137" s="4">
        <v>10000</v>
      </c>
      <c r="E137" s="3">
        <v>2</v>
      </c>
      <c r="F137" t="s" s="2">
        <v>21</v>
      </c>
      <c r="G137" t="s" s="2">
        <v>28</v>
      </c>
      <c r="H137" t="s" s="2">
        <v>17</v>
      </c>
      <c r="I137" s="3">
        <v>1</v>
      </c>
      <c r="J137" t="s" s="2">
        <v>24</v>
      </c>
      <c r="K137" t="s" s="2">
        <v>19</v>
      </c>
      <c r="L137" s="3">
        <v>52</v>
      </c>
      <c r="M137" t="s" s="2">
        <v>20</v>
      </c>
    </row>
    <row r="138" ht="13.55" customHeight="1">
      <c r="A138" s="3">
        <v>28683</v>
      </c>
      <c r="B138" t="s" s="2">
        <v>25</v>
      </c>
      <c r="C138" t="s" s="2">
        <v>14</v>
      </c>
      <c r="D138" s="4">
        <v>10000</v>
      </c>
      <c r="E138" s="3">
        <v>1</v>
      </c>
      <c r="F138" t="s" s="2">
        <v>30</v>
      </c>
      <c r="G138" t="s" s="2">
        <v>28</v>
      </c>
      <c r="H138" t="s" s="2">
        <v>20</v>
      </c>
      <c r="I138" s="3">
        <v>1</v>
      </c>
      <c r="J138" t="s" s="2">
        <v>26</v>
      </c>
      <c r="K138" t="s" s="2">
        <v>19</v>
      </c>
      <c r="L138" s="3">
        <v>35</v>
      </c>
      <c r="M138" t="s" s="2">
        <v>17</v>
      </c>
    </row>
    <row r="139" ht="13.55" customHeight="1">
      <c r="A139" s="3">
        <v>17994</v>
      </c>
      <c r="B139" t="s" s="2">
        <v>25</v>
      </c>
      <c r="C139" t="s" s="2">
        <v>13</v>
      </c>
      <c r="D139" s="4">
        <v>20000</v>
      </c>
      <c r="E139" s="3">
        <v>2</v>
      </c>
      <c r="F139" t="s" s="2">
        <v>30</v>
      </c>
      <c r="G139" t="s" s="2">
        <v>28</v>
      </c>
      <c r="H139" t="s" s="2">
        <v>17</v>
      </c>
      <c r="I139" s="3">
        <v>2</v>
      </c>
      <c r="J139" t="s" s="2">
        <v>18</v>
      </c>
      <c r="K139" t="s" s="2">
        <v>19</v>
      </c>
      <c r="L139" s="3">
        <v>42</v>
      </c>
      <c r="M139" t="s" s="2">
        <v>20</v>
      </c>
    </row>
    <row r="140" ht="13.55" customHeight="1">
      <c r="A140" s="3">
        <v>24273</v>
      </c>
      <c r="B140" t="s" s="2">
        <v>13</v>
      </c>
      <c r="C140" t="s" s="2">
        <v>14</v>
      </c>
      <c r="D140" s="4">
        <v>20000</v>
      </c>
      <c r="E140" s="3">
        <v>2</v>
      </c>
      <c r="F140" t="s" s="2">
        <v>32</v>
      </c>
      <c r="G140" t="s" s="2">
        <v>22</v>
      </c>
      <c r="H140" t="s" s="2">
        <v>17</v>
      </c>
      <c r="I140" s="3">
        <v>2</v>
      </c>
      <c r="J140" t="s" s="2">
        <v>26</v>
      </c>
      <c r="K140" t="s" s="2">
        <v>27</v>
      </c>
      <c r="L140" s="3">
        <v>55</v>
      </c>
      <c r="M140" t="s" s="2">
        <v>17</v>
      </c>
    </row>
    <row r="141" ht="13.55" customHeight="1">
      <c r="A141" s="3">
        <v>26547</v>
      </c>
      <c r="B141" t="s" s="2">
        <v>25</v>
      </c>
      <c r="C141" t="s" s="2">
        <v>14</v>
      </c>
      <c r="D141" s="4">
        <v>30000</v>
      </c>
      <c r="E141" s="3">
        <v>2</v>
      </c>
      <c r="F141" t="s" s="2">
        <v>21</v>
      </c>
      <c r="G141" t="s" s="2">
        <v>22</v>
      </c>
      <c r="H141" t="s" s="2">
        <v>20</v>
      </c>
      <c r="I141" s="3">
        <v>2</v>
      </c>
      <c r="J141" t="s" s="2">
        <v>26</v>
      </c>
      <c r="K141" t="s" s="2">
        <v>27</v>
      </c>
      <c r="L141" s="3">
        <v>60</v>
      </c>
      <c r="M141" t="s" s="2">
        <v>17</v>
      </c>
    </row>
    <row r="142" ht="13.55" customHeight="1">
      <c r="A142" s="3">
        <v>22500</v>
      </c>
      <c r="B142" t="s" s="2">
        <v>25</v>
      </c>
      <c r="C142" t="s" s="2">
        <v>13</v>
      </c>
      <c r="D142" s="4">
        <v>40000</v>
      </c>
      <c r="E142" s="3">
        <v>0</v>
      </c>
      <c r="F142" t="s" s="2">
        <v>15</v>
      </c>
      <c r="G142" t="s" s="2">
        <v>23</v>
      </c>
      <c r="H142" t="s" s="2">
        <v>20</v>
      </c>
      <c r="I142" s="3">
        <v>0</v>
      </c>
      <c r="J142" t="s" s="2">
        <v>18</v>
      </c>
      <c r="K142" t="s" s="2">
        <v>19</v>
      </c>
      <c r="L142" s="3">
        <v>40</v>
      </c>
      <c r="M142" t="s" s="2">
        <v>17</v>
      </c>
    </row>
    <row r="143" ht="13.55" customHeight="1">
      <c r="A143" s="3">
        <v>23993</v>
      </c>
      <c r="B143" t="s" s="2">
        <v>25</v>
      </c>
      <c r="C143" t="s" s="2">
        <v>14</v>
      </c>
      <c r="D143" s="4">
        <v>10000</v>
      </c>
      <c r="E143" s="3">
        <v>0</v>
      </c>
      <c r="F143" t="s" s="2">
        <v>21</v>
      </c>
      <c r="G143" t="s" s="2">
        <v>28</v>
      </c>
      <c r="H143" t="s" s="2">
        <v>20</v>
      </c>
      <c r="I143" s="3">
        <v>1</v>
      </c>
      <c r="J143" t="s" s="2">
        <v>18</v>
      </c>
      <c r="K143" t="s" s="2">
        <v>27</v>
      </c>
      <c r="L143" s="3">
        <v>26</v>
      </c>
      <c r="M143" t="s" s="2">
        <v>17</v>
      </c>
    </row>
    <row r="144" ht="13.55" customHeight="1">
      <c r="A144" s="3">
        <v>14832</v>
      </c>
      <c r="B144" t="s" s="2">
        <v>13</v>
      </c>
      <c r="C144" t="s" s="2">
        <v>13</v>
      </c>
      <c r="D144" s="4">
        <v>40000</v>
      </c>
      <c r="E144" s="3">
        <v>1</v>
      </c>
      <c r="F144" t="s" s="2">
        <v>15</v>
      </c>
      <c r="G144" t="s" s="2">
        <v>16</v>
      </c>
      <c r="H144" t="s" s="2">
        <v>17</v>
      </c>
      <c r="I144" s="3">
        <v>0</v>
      </c>
      <c r="J144" t="s" s="2">
        <v>18</v>
      </c>
      <c r="K144" t="s" s="2">
        <v>19</v>
      </c>
      <c r="L144" s="3">
        <v>42</v>
      </c>
      <c r="M144" t="s" s="2">
        <v>17</v>
      </c>
    </row>
    <row r="145" ht="13.55" customHeight="1">
      <c r="A145" s="3">
        <v>16614</v>
      </c>
      <c r="B145" t="s" s="2">
        <v>13</v>
      </c>
      <c r="C145" t="s" s="2">
        <v>14</v>
      </c>
      <c r="D145" s="4">
        <v>80000</v>
      </c>
      <c r="E145" s="3">
        <v>0</v>
      </c>
      <c r="F145" t="s" s="2">
        <v>15</v>
      </c>
      <c r="G145" t="s" s="2">
        <v>23</v>
      </c>
      <c r="H145" t="s" s="2">
        <v>17</v>
      </c>
      <c r="I145" s="3">
        <v>3</v>
      </c>
      <c r="J145" t="s" s="2">
        <v>33</v>
      </c>
      <c r="K145" t="s" s="2">
        <v>27</v>
      </c>
      <c r="L145" s="3">
        <v>32</v>
      </c>
      <c r="M145" t="s" s="2">
        <v>20</v>
      </c>
    </row>
    <row r="146" ht="13.55" customHeight="1">
      <c r="A146" s="3">
        <v>20877</v>
      </c>
      <c r="B146" t="s" s="2">
        <v>25</v>
      </c>
      <c r="C146" t="s" s="2">
        <v>13</v>
      </c>
      <c r="D146" s="4">
        <v>30000</v>
      </c>
      <c r="E146" s="3">
        <v>1</v>
      </c>
      <c r="F146" t="s" s="2">
        <v>15</v>
      </c>
      <c r="G146" t="s" s="2">
        <v>22</v>
      </c>
      <c r="H146" t="s" s="2">
        <v>17</v>
      </c>
      <c r="I146" s="3">
        <v>0</v>
      </c>
      <c r="J146" t="s" s="2">
        <v>29</v>
      </c>
      <c r="K146" t="s" s="2">
        <v>19</v>
      </c>
      <c r="L146" s="3">
        <v>37</v>
      </c>
      <c r="M146" t="s" s="2">
        <v>17</v>
      </c>
    </row>
    <row r="147" ht="13.55" customHeight="1">
      <c r="A147" s="3">
        <v>20729</v>
      </c>
      <c r="B147" t="s" s="2">
        <v>13</v>
      </c>
      <c r="C147" t="s" s="2">
        <v>14</v>
      </c>
      <c r="D147" s="4">
        <v>40000</v>
      </c>
      <c r="E147" s="3">
        <v>2</v>
      </c>
      <c r="F147" t="s" s="2">
        <v>21</v>
      </c>
      <c r="G147" t="s" s="2">
        <v>22</v>
      </c>
      <c r="H147" t="s" s="2">
        <v>20</v>
      </c>
      <c r="I147" s="3">
        <v>1</v>
      </c>
      <c r="J147" t="s" s="2">
        <v>18</v>
      </c>
      <c r="K147" t="s" s="2">
        <v>19</v>
      </c>
      <c r="L147" s="3">
        <v>34</v>
      </c>
      <c r="M147" t="s" s="2">
        <v>20</v>
      </c>
    </row>
    <row r="148" ht="13.55" customHeight="1">
      <c r="A148" s="3">
        <v>22464</v>
      </c>
      <c r="B148" t="s" s="2">
        <v>13</v>
      </c>
      <c r="C148" t="s" s="2">
        <v>13</v>
      </c>
      <c r="D148" s="4">
        <v>40000</v>
      </c>
      <c r="E148" s="3">
        <v>0</v>
      </c>
      <c r="F148" t="s" s="2">
        <v>34</v>
      </c>
      <c r="G148" t="s" s="2">
        <v>22</v>
      </c>
      <c r="H148" t="s" s="2">
        <v>17</v>
      </c>
      <c r="I148" s="3">
        <v>0</v>
      </c>
      <c r="J148" t="s" s="2">
        <v>18</v>
      </c>
      <c r="K148" t="s" s="2">
        <v>19</v>
      </c>
      <c r="L148" s="3">
        <v>37</v>
      </c>
      <c r="M148" t="s" s="2">
        <v>17</v>
      </c>
    </row>
    <row r="149" ht="13.55" customHeight="1">
      <c r="A149" s="3">
        <v>19475</v>
      </c>
      <c r="B149" t="s" s="2">
        <v>13</v>
      </c>
      <c r="C149" t="s" s="2">
        <v>14</v>
      </c>
      <c r="D149" s="4">
        <v>40000</v>
      </c>
      <c r="E149" s="3">
        <v>0</v>
      </c>
      <c r="F149" t="s" s="2">
        <v>15</v>
      </c>
      <c r="G149" t="s" s="2">
        <v>23</v>
      </c>
      <c r="H149" t="s" s="2">
        <v>20</v>
      </c>
      <c r="I149" s="3">
        <v>0</v>
      </c>
      <c r="J149" t="s" s="2">
        <v>18</v>
      </c>
      <c r="K149" t="s" s="2">
        <v>19</v>
      </c>
      <c r="L149" s="3">
        <v>40</v>
      </c>
      <c r="M149" t="s" s="2">
        <v>17</v>
      </c>
    </row>
    <row r="150" ht="13.55" customHeight="1">
      <c r="A150" s="3">
        <v>19675</v>
      </c>
      <c r="B150" t="s" s="2">
        <v>13</v>
      </c>
      <c r="C150" t="s" s="2">
        <v>13</v>
      </c>
      <c r="D150" s="4">
        <v>20000</v>
      </c>
      <c r="E150" s="3">
        <v>4</v>
      </c>
      <c r="F150" t="s" s="2">
        <v>30</v>
      </c>
      <c r="G150" t="s" s="2">
        <v>16</v>
      </c>
      <c r="H150" t="s" s="2">
        <v>17</v>
      </c>
      <c r="I150" s="3">
        <v>2</v>
      </c>
      <c r="J150" t="s" s="2">
        <v>26</v>
      </c>
      <c r="K150" t="s" s="2">
        <v>27</v>
      </c>
      <c r="L150" s="3">
        <v>60</v>
      </c>
      <c r="M150" t="s" s="2">
        <v>20</v>
      </c>
    </row>
    <row r="151" ht="13.55" customHeight="1">
      <c r="A151" s="3">
        <v>12728</v>
      </c>
      <c r="B151" t="s" s="2">
        <v>25</v>
      </c>
      <c r="C151" t="s" s="2">
        <v>13</v>
      </c>
      <c r="D151" s="4">
        <v>30000</v>
      </c>
      <c r="E151" s="3">
        <v>0</v>
      </c>
      <c r="F151" t="s" s="2">
        <v>21</v>
      </c>
      <c r="G151" t="s" s="2">
        <v>22</v>
      </c>
      <c r="H151" t="s" s="2">
        <v>20</v>
      </c>
      <c r="I151" s="3">
        <v>1</v>
      </c>
      <c r="J151" t="s" s="2">
        <v>29</v>
      </c>
      <c r="K151" t="s" s="2">
        <v>19</v>
      </c>
      <c r="L151" s="3">
        <v>27</v>
      </c>
      <c r="M151" t="s" s="2">
        <v>20</v>
      </c>
    </row>
    <row r="152" ht="13.55" customHeight="1">
      <c r="A152" s="3">
        <v>26154</v>
      </c>
      <c r="B152" t="s" s="2">
        <v>13</v>
      </c>
      <c r="C152" t="s" s="2">
        <v>13</v>
      </c>
      <c r="D152" s="4">
        <v>60000</v>
      </c>
      <c r="E152" s="3">
        <v>1</v>
      </c>
      <c r="F152" t="s" s="2">
        <v>21</v>
      </c>
      <c r="G152" t="s" s="2">
        <v>16</v>
      </c>
      <c r="H152" t="s" s="2">
        <v>17</v>
      </c>
      <c r="I152" s="3">
        <v>1</v>
      </c>
      <c r="J152" t="s" s="2">
        <v>26</v>
      </c>
      <c r="K152" t="s" s="2">
        <v>27</v>
      </c>
      <c r="L152" s="3">
        <v>43</v>
      </c>
      <c r="M152" t="s" s="2">
        <v>17</v>
      </c>
    </row>
    <row r="153" ht="13.55" customHeight="1">
      <c r="A153" s="3">
        <v>29117</v>
      </c>
      <c r="B153" t="s" s="2">
        <v>25</v>
      </c>
      <c r="C153" t="s" s="2">
        <v>13</v>
      </c>
      <c r="D153" s="4">
        <v>100000</v>
      </c>
      <c r="E153" s="3">
        <v>1</v>
      </c>
      <c r="F153" t="s" s="2">
        <v>15</v>
      </c>
      <c r="G153" t="s" s="2">
        <v>31</v>
      </c>
      <c r="H153" t="s" s="2">
        <v>20</v>
      </c>
      <c r="I153" s="3">
        <v>3</v>
      </c>
      <c r="J153" t="s" s="2">
        <v>18</v>
      </c>
      <c r="K153" t="s" s="2">
        <v>27</v>
      </c>
      <c r="L153" s="3">
        <v>48</v>
      </c>
      <c r="M153" t="s" s="2">
        <v>20</v>
      </c>
    </row>
    <row r="154" ht="13.55" customHeight="1">
      <c r="A154" s="3">
        <v>17845</v>
      </c>
      <c r="B154" t="s" s="2">
        <v>25</v>
      </c>
      <c r="C154" t="s" s="2">
        <v>14</v>
      </c>
      <c r="D154" s="4">
        <v>20000</v>
      </c>
      <c r="E154" s="3">
        <v>0</v>
      </c>
      <c r="F154" t="s" s="2">
        <v>32</v>
      </c>
      <c r="G154" t="s" s="2">
        <v>28</v>
      </c>
      <c r="H154" t="s" s="2">
        <v>20</v>
      </c>
      <c r="I154" s="3">
        <v>2</v>
      </c>
      <c r="J154" t="s" s="2">
        <v>29</v>
      </c>
      <c r="K154" t="s" s="2">
        <v>19</v>
      </c>
      <c r="L154" s="3">
        <v>32</v>
      </c>
      <c r="M154" t="s" s="2">
        <v>20</v>
      </c>
    </row>
    <row r="155" ht="13.55" customHeight="1">
      <c r="A155" s="3">
        <v>25058</v>
      </c>
      <c r="B155" t="s" s="2">
        <v>13</v>
      </c>
      <c r="C155" t="s" s="2">
        <v>13</v>
      </c>
      <c r="D155" s="4">
        <v>100000</v>
      </c>
      <c r="E155" s="3">
        <v>1</v>
      </c>
      <c r="F155" t="s" s="2">
        <v>15</v>
      </c>
      <c r="G155" t="s" s="2">
        <v>31</v>
      </c>
      <c r="H155" t="s" s="2">
        <v>17</v>
      </c>
      <c r="I155" s="3">
        <v>3</v>
      </c>
      <c r="J155" t="s" s="2">
        <v>24</v>
      </c>
      <c r="K155" t="s" s="2">
        <v>27</v>
      </c>
      <c r="L155" s="3">
        <v>47</v>
      </c>
      <c r="M155" t="s" s="2">
        <v>20</v>
      </c>
    </row>
    <row r="156" ht="13.55" customHeight="1">
      <c r="A156" s="3">
        <v>23426</v>
      </c>
      <c r="B156" t="s" s="2">
        <v>25</v>
      </c>
      <c r="C156" t="s" s="2">
        <v>13</v>
      </c>
      <c r="D156" s="4">
        <v>80000</v>
      </c>
      <c r="E156" s="3">
        <v>5</v>
      </c>
      <c r="F156" t="s" s="2">
        <v>34</v>
      </c>
      <c r="G156" t="s" s="2">
        <v>31</v>
      </c>
      <c r="H156" t="s" s="2">
        <v>17</v>
      </c>
      <c r="I156" s="3">
        <v>3</v>
      </c>
      <c r="J156" t="s" s="2">
        <v>18</v>
      </c>
      <c r="K156" t="s" s="2">
        <v>27</v>
      </c>
      <c r="L156" s="3">
        <v>40</v>
      </c>
      <c r="M156" t="s" s="2">
        <v>20</v>
      </c>
    </row>
    <row r="157" ht="13.55" customHeight="1">
      <c r="A157" s="3">
        <v>14798</v>
      </c>
      <c r="B157" t="s" s="2">
        <v>25</v>
      </c>
      <c r="C157" t="s" s="2">
        <v>14</v>
      </c>
      <c r="D157" s="4">
        <v>10000</v>
      </c>
      <c r="E157" s="3">
        <v>4</v>
      </c>
      <c r="F157" t="s" s="2">
        <v>32</v>
      </c>
      <c r="G157" t="s" s="2">
        <v>28</v>
      </c>
      <c r="H157" t="s" s="2">
        <v>17</v>
      </c>
      <c r="I157" s="3">
        <v>2</v>
      </c>
      <c r="J157" t="s" s="2">
        <v>18</v>
      </c>
      <c r="K157" t="s" s="2">
        <v>19</v>
      </c>
      <c r="L157" s="3">
        <v>41</v>
      </c>
      <c r="M157" t="s" s="2">
        <v>17</v>
      </c>
    </row>
    <row r="158" ht="13.55" customHeight="1">
      <c r="A158" s="3">
        <v>12664</v>
      </c>
      <c r="B158" t="s" s="2">
        <v>13</v>
      </c>
      <c r="C158" t="s" s="2">
        <v>14</v>
      </c>
      <c r="D158" s="4">
        <v>130000</v>
      </c>
      <c r="E158" s="3">
        <v>5</v>
      </c>
      <c r="F158" t="s" s="2">
        <v>21</v>
      </c>
      <c r="G158" t="s" s="2">
        <v>23</v>
      </c>
      <c r="H158" t="s" s="2">
        <v>17</v>
      </c>
      <c r="I158" s="3">
        <v>4</v>
      </c>
      <c r="J158" t="s" s="2">
        <v>18</v>
      </c>
      <c r="K158" t="s" s="2">
        <v>19</v>
      </c>
      <c r="L158" s="3">
        <v>59</v>
      </c>
      <c r="M158" t="s" s="2">
        <v>20</v>
      </c>
    </row>
    <row r="159" ht="13.55" customHeight="1">
      <c r="A159" s="3">
        <v>23979</v>
      </c>
      <c r="B159" t="s" s="2">
        <v>25</v>
      </c>
      <c r="C159" t="s" s="2">
        <v>13</v>
      </c>
      <c r="D159" s="4">
        <v>10000</v>
      </c>
      <c r="E159" s="3">
        <v>2</v>
      </c>
      <c r="F159" t="s" s="2">
        <v>21</v>
      </c>
      <c r="G159" t="s" s="2">
        <v>28</v>
      </c>
      <c r="H159" t="s" s="2">
        <v>20</v>
      </c>
      <c r="I159" s="3">
        <v>0</v>
      </c>
      <c r="J159" t="s" s="2">
        <v>18</v>
      </c>
      <c r="K159" t="s" s="2">
        <v>19</v>
      </c>
      <c r="L159" s="3">
        <v>50</v>
      </c>
      <c r="M159" t="s" s="2">
        <v>20</v>
      </c>
    </row>
    <row r="160" ht="13.55" customHeight="1">
      <c r="A160" s="3">
        <v>25605</v>
      </c>
      <c r="B160" t="s" s="2">
        <v>25</v>
      </c>
      <c r="C160" t="s" s="2">
        <v>14</v>
      </c>
      <c r="D160" s="4">
        <v>20000</v>
      </c>
      <c r="E160" s="3">
        <v>2</v>
      </c>
      <c r="F160" t="s" s="2">
        <v>21</v>
      </c>
      <c r="G160" t="s" s="2">
        <v>28</v>
      </c>
      <c r="H160" t="s" s="2">
        <v>20</v>
      </c>
      <c r="I160" s="3">
        <v>1</v>
      </c>
      <c r="J160" t="s" s="2">
        <v>18</v>
      </c>
      <c r="K160" t="s" s="2">
        <v>19</v>
      </c>
      <c r="L160" s="3">
        <v>54</v>
      </c>
      <c r="M160" t="s" s="2">
        <v>17</v>
      </c>
    </row>
    <row r="161" ht="13.55" customHeight="1">
      <c r="A161" s="3">
        <v>20797</v>
      </c>
      <c r="B161" t="s" s="2">
        <v>13</v>
      </c>
      <c r="C161" t="s" s="2">
        <v>14</v>
      </c>
      <c r="D161" s="4">
        <v>10000</v>
      </c>
      <c r="E161" s="3">
        <v>1</v>
      </c>
      <c r="F161" t="s" s="2">
        <v>15</v>
      </c>
      <c r="G161" t="s" s="2">
        <v>28</v>
      </c>
      <c r="H161" t="s" s="2">
        <v>17</v>
      </c>
      <c r="I161" s="3">
        <v>0</v>
      </c>
      <c r="J161" t="s" s="2">
        <v>18</v>
      </c>
      <c r="K161" t="s" s="2">
        <v>19</v>
      </c>
      <c r="L161" s="3">
        <v>48</v>
      </c>
      <c r="M161" t="s" s="2">
        <v>20</v>
      </c>
    </row>
    <row r="162" ht="13.55" customHeight="1">
      <c r="A162" s="3">
        <v>21980</v>
      </c>
      <c r="B162" t="s" s="2">
        <v>25</v>
      </c>
      <c r="C162" t="s" s="2">
        <v>14</v>
      </c>
      <c r="D162" s="4">
        <v>60000</v>
      </c>
      <c r="E162" s="3">
        <v>1</v>
      </c>
      <c r="F162" t="s" s="2">
        <v>15</v>
      </c>
      <c r="G162" t="s" s="2">
        <v>23</v>
      </c>
      <c r="H162" t="s" s="2">
        <v>17</v>
      </c>
      <c r="I162" s="3">
        <v>1</v>
      </c>
      <c r="J162" t="s" s="2">
        <v>26</v>
      </c>
      <c r="K162" t="s" s="2">
        <v>27</v>
      </c>
      <c r="L162" s="3">
        <v>44</v>
      </c>
      <c r="M162" t="s" s="2">
        <v>17</v>
      </c>
    </row>
    <row r="163" ht="13.55" customHeight="1">
      <c r="A163" s="3">
        <v>25460</v>
      </c>
      <c r="B163" t="s" s="2">
        <v>13</v>
      </c>
      <c r="C163" t="s" s="2">
        <v>14</v>
      </c>
      <c r="D163" s="4">
        <v>20000</v>
      </c>
      <c r="E163" s="3">
        <v>2</v>
      </c>
      <c r="F163" t="s" s="2">
        <v>30</v>
      </c>
      <c r="G163" t="s" s="2">
        <v>28</v>
      </c>
      <c r="H163" t="s" s="2">
        <v>17</v>
      </c>
      <c r="I163" s="3">
        <v>0</v>
      </c>
      <c r="J163" t="s" s="2">
        <v>18</v>
      </c>
      <c r="K163" t="s" s="2">
        <v>19</v>
      </c>
      <c r="L163" s="3">
        <v>40</v>
      </c>
      <c r="M163" t="s" s="2">
        <v>17</v>
      </c>
    </row>
    <row r="164" ht="13.55" customHeight="1">
      <c r="A164" s="3">
        <v>29181</v>
      </c>
      <c r="B164" t="s" s="2">
        <v>25</v>
      </c>
      <c r="C164" t="s" s="2">
        <v>14</v>
      </c>
      <c r="D164" s="4">
        <v>60000</v>
      </c>
      <c r="E164" s="3">
        <v>2</v>
      </c>
      <c r="F164" t="s" s="2">
        <v>15</v>
      </c>
      <c r="G164" t="s" s="2">
        <v>23</v>
      </c>
      <c r="H164" t="s" s="2">
        <v>20</v>
      </c>
      <c r="I164" s="3">
        <v>1</v>
      </c>
      <c r="J164" t="s" s="2">
        <v>18</v>
      </c>
      <c r="K164" t="s" s="2">
        <v>27</v>
      </c>
      <c r="L164" s="3">
        <v>38</v>
      </c>
      <c r="M164" t="s" s="2">
        <v>17</v>
      </c>
    </row>
    <row r="165" ht="13.55" customHeight="1">
      <c r="A165" s="3">
        <v>24279</v>
      </c>
      <c r="B165" t="s" s="2">
        <v>25</v>
      </c>
      <c r="C165" t="s" s="2">
        <v>13</v>
      </c>
      <c r="D165" s="4">
        <v>40000</v>
      </c>
      <c r="E165" s="3">
        <v>2</v>
      </c>
      <c r="F165" t="s" s="2">
        <v>21</v>
      </c>
      <c r="G165" t="s" s="2">
        <v>16</v>
      </c>
      <c r="H165" t="s" s="2">
        <v>20</v>
      </c>
      <c r="I165" s="3">
        <v>2</v>
      </c>
      <c r="J165" t="s" s="2">
        <v>29</v>
      </c>
      <c r="K165" t="s" s="2">
        <v>27</v>
      </c>
      <c r="L165" s="3">
        <v>52</v>
      </c>
      <c r="M165" t="s" s="2">
        <v>20</v>
      </c>
    </row>
    <row r="166" ht="13.55" customHeight="1">
      <c r="A166" s="3">
        <v>22402</v>
      </c>
      <c r="B166" t="s" s="2">
        <v>13</v>
      </c>
      <c r="C166" t="s" s="2">
        <v>13</v>
      </c>
      <c r="D166" s="4">
        <v>10000</v>
      </c>
      <c r="E166" s="3">
        <v>0</v>
      </c>
      <c r="F166" t="s" s="2">
        <v>21</v>
      </c>
      <c r="G166" t="s" s="2">
        <v>28</v>
      </c>
      <c r="H166" t="s" s="2">
        <v>17</v>
      </c>
      <c r="I166" s="3">
        <v>1</v>
      </c>
      <c r="J166" t="s" s="2">
        <v>24</v>
      </c>
      <c r="K166" t="s" s="2">
        <v>27</v>
      </c>
      <c r="L166" s="3">
        <v>25</v>
      </c>
      <c r="M166" t="s" s="2">
        <v>17</v>
      </c>
    </row>
    <row r="167" ht="13.55" customHeight="1">
      <c r="A167" s="3">
        <v>15465</v>
      </c>
      <c r="B167" t="s" s="2">
        <v>13</v>
      </c>
      <c r="C167" t="s" s="2">
        <v>14</v>
      </c>
      <c r="D167" s="4">
        <v>10000</v>
      </c>
      <c r="E167" s="3">
        <v>0</v>
      </c>
      <c r="F167" t="s" s="2">
        <v>21</v>
      </c>
      <c r="G167" t="s" s="2">
        <v>28</v>
      </c>
      <c r="H167" t="s" s="2">
        <v>20</v>
      </c>
      <c r="I167" s="3">
        <v>1</v>
      </c>
      <c r="J167" t="s" s="2">
        <v>18</v>
      </c>
      <c r="K167" t="s" s="2">
        <v>27</v>
      </c>
      <c r="L167" s="3">
        <v>25</v>
      </c>
      <c r="M167" t="s" s="2">
        <v>20</v>
      </c>
    </row>
    <row r="168" ht="13.55" customHeight="1">
      <c r="A168" s="3">
        <v>26757</v>
      </c>
      <c r="B168" t="s" s="2">
        <v>25</v>
      </c>
      <c r="C168" t="s" s="2">
        <v>13</v>
      </c>
      <c r="D168" s="4">
        <v>90000</v>
      </c>
      <c r="E168" s="3">
        <v>1</v>
      </c>
      <c r="F168" t="s" s="2">
        <v>15</v>
      </c>
      <c r="G168" t="s" s="2">
        <v>23</v>
      </c>
      <c r="H168" t="s" s="2">
        <v>17</v>
      </c>
      <c r="I168" s="3">
        <v>1</v>
      </c>
      <c r="J168" t="s" s="2">
        <v>24</v>
      </c>
      <c r="K168" t="s" s="2">
        <v>27</v>
      </c>
      <c r="L168" s="3">
        <v>47</v>
      </c>
      <c r="M168" t="s" s="2">
        <v>17</v>
      </c>
    </row>
    <row r="169" ht="13.55" customHeight="1">
      <c r="A169" s="3">
        <v>14233</v>
      </c>
      <c r="B169" t="s" s="2">
        <v>25</v>
      </c>
      <c r="C169" t="s" s="2">
        <v>13</v>
      </c>
      <c r="D169" s="4">
        <v>100000</v>
      </c>
      <c r="E169" s="3">
        <v>0</v>
      </c>
      <c r="F169" t="s" s="2">
        <v>30</v>
      </c>
      <c r="G169" t="s" s="2">
        <v>31</v>
      </c>
      <c r="H169" t="s" s="2">
        <v>17</v>
      </c>
      <c r="I169" s="3">
        <v>3</v>
      </c>
      <c r="J169" t="s" s="2">
        <v>33</v>
      </c>
      <c r="K169" t="s" s="2">
        <v>27</v>
      </c>
      <c r="L169" s="3">
        <v>35</v>
      </c>
      <c r="M169" t="s" s="2">
        <v>20</v>
      </c>
    </row>
    <row r="170" ht="13.55" customHeight="1">
      <c r="A170" s="3">
        <v>14058</v>
      </c>
      <c r="B170" t="s" s="2">
        <v>25</v>
      </c>
      <c r="C170" t="s" s="2">
        <v>13</v>
      </c>
      <c r="D170" s="4">
        <v>70000</v>
      </c>
      <c r="E170" s="3">
        <v>0</v>
      </c>
      <c r="F170" t="s" s="2">
        <v>15</v>
      </c>
      <c r="G170" t="s" s="2">
        <v>23</v>
      </c>
      <c r="H170" t="s" s="2">
        <v>20</v>
      </c>
      <c r="I170" s="3">
        <v>1</v>
      </c>
      <c r="J170" t="s" s="2">
        <v>26</v>
      </c>
      <c r="K170" t="s" s="2">
        <v>27</v>
      </c>
      <c r="L170" s="3">
        <v>41</v>
      </c>
      <c r="M170" t="s" s="2">
        <v>17</v>
      </c>
    </row>
    <row r="171" ht="13.55" customHeight="1">
      <c r="A171" s="3">
        <v>12273</v>
      </c>
      <c r="B171" t="s" s="2">
        <v>13</v>
      </c>
      <c r="C171" t="s" s="2">
        <v>13</v>
      </c>
      <c r="D171" s="4">
        <v>30000</v>
      </c>
      <c r="E171" s="3">
        <v>1</v>
      </c>
      <c r="F171" t="s" s="2">
        <v>15</v>
      </c>
      <c r="G171" t="s" s="2">
        <v>22</v>
      </c>
      <c r="H171" t="s" s="2">
        <v>17</v>
      </c>
      <c r="I171" s="3">
        <v>0</v>
      </c>
      <c r="J171" t="s" s="2">
        <v>18</v>
      </c>
      <c r="K171" t="s" s="2">
        <v>19</v>
      </c>
      <c r="L171" s="3">
        <v>47</v>
      </c>
      <c r="M171" t="s" s="2">
        <v>20</v>
      </c>
    </row>
    <row r="172" ht="13.55" customHeight="1">
      <c r="A172" s="3">
        <v>17203</v>
      </c>
      <c r="B172" t="s" s="2">
        <v>13</v>
      </c>
      <c r="C172" t="s" s="2">
        <v>14</v>
      </c>
      <c r="D172" s="4">
        <v>130000</v>
      </c>
      <c r="E172" s="3">
        <v>4</v>
      </c>
      <c r="F172" t="s" s="2">
        <v>21</v>
      </c>
      <c r="G172" t="s" s="2">
        <v>23</v>
      </c>
      <c r="H172" t="s" s="2">
        <v>17</v>
      </c>
      <c r="I172" s="3">
        <v>4</v>
      </c>
      <c r="J172" t="s" s="2">
        <v>26</v>
      </c>
      <c r="K172" t="s" s="2">
        <v>19</v>
      </c>
      <c r="L172" s="3">
        <v>61</v>
      </c>
      <c r="M172" t="s" s="2">
        <v>17</v>
      </c>
    </row>
    <row r="173" ht="13.55" customHeight="1">
      <c r="A173" s="3">
        <v>18144</v>
      </c>
      <c r="B173" t="s" s="2">
        <v>13</v>
      </c>
      <c r="C173" t="s" s="2">
        <v>14</v>
      </c>
      <c r="D173" s="4">
        <v>80000</v>
      </c>
      <c r="E173" s="3">
        <v>5</v>
      </c>
      <c r="F173" t="s" s="2">
        <v>15</v>
      </c>
      <c r="G173" t="s" s="2">
        <v>31</v>
      </c>
      <c r="H173" t="s" s="2">
        <v>17</v>
      </c>
      <c r="I173" s="3">
        <v>2</v>
      </c>
      <c r="J173" t="s" s="2">
        <v>24</v>
      </c>
      <c r="K173" t="s" s="2">
        <v>19</v>
      </c>
      <c r="L173" s="3">
        <v>61</v>
      </c>
      <c r="M173" t="s" s="2">
        <v>20</v>
      </c>
    </row>
    <row r="174" ht="13.55" customHeight="1">
      <c r="A174" s="3">
        <v>23963</v>
      </c>
      <c r="B174" t="s" s="2">
        <v>13</v>
      </c>
      <c r="C174" t="s" s="2">
        <v>13</v>
      </c>
      <c r="D174" s="4">
        <v>10000</v>
      </c>
      <c r="E174" s="3">
        <v>0</v>
      </c>
      <c r="F174" t="s" s="2">
        <v>32</v>
      </c>
      <c r="G174" t="s" s="2">
        <v>28</v>
      </c>
      <c r="H174" t="s" s="2">
        <v>20</v>
      </c>
      <c r="I174" s="3">
        <v>2</v>
      </c>
      <c r="J174" t="s" s="2">
        <v>18</v>
      </c>
      <c r="K174" t="s" s="2">
        <v>19</v>
      </c>
      <c r="L174" s="3">
        <v>33</v>
      </c>
      <c r="M174" t="s" s="2">
        <v>20</v>
      </c>
    </row>
    <row r="175" ht="13.55" customHeight="1">
      <c r="A175" s="3">
        <v>17907</v>
      </c>
      <c r="B175" t="s" s="2">
        <v>13</v>
      </c>
      <c r="C175" t="s" s="2">
        <v>14</v>
      </c>
      <c r="D175" s="4">
        <v>10000</v>
      </c>
      <c r="E175" s="3">
        <v>0</v>
      </c>
      <c r="F175" t="s" s="2">
        <v>21</v>
      </c>
      <c r="G175" t="s" s="2">
        <v>28</v>
      </c>
      <c r="H175" t="s" s="2">
        <v>17</v>
      </c>
      <c r="I175" s="3">
        <v>1</v>
      </c>
      <c r="J175" t="s" s="2">
        <v>24</v>
      </c>
      <c r="K175" t="s" s="2">
        <v>27</v>
      </c>
      <c r="L175" s="3">
        <v>27</v>
      </c>
      <c r="M175" t="s" s="2">
        <v>20</v>
      </c>
    </row>
    <row r="176" ht="13.55" customHeight="1">
      <c r="A176" s="3">
        <v>19442</v>
      </c>
      <c r="B176" t="s" s="2">
        <v>25</v>
      </c>
      <c r="C176" t="s" s="2">
        <v>13</v>
      </c>
      <c r="D176" s="4">
        <v>50000</v>
      </c>
      <c r="E176" s="3">
        <v>0</v>
      </c>
      <c r="F176" t="s" s="2">
        <v>34</v>
      </c>
      <c r="G176" t="s" s="2">
        <v>16</v>
      </c>
      <c r="H176" t="s" s="2">
        <v>17</v>
      </c>
      <c r="I176" s="3">
        <v>0</v>
      </c>
      <c r="J176" t="s" s="2">
        <v>18</v>
      </c>
      <c r="K176" t="s" s="2">
        <v>19</v>
      </c>
      <c r="L176" s="3">
        <v>37</v>
      </c>
      <c r="M176" t="s" s="2">
        <v>17</v>
      </c>
    </row>
    <row r="177" ht="13.55" customHeight="1">
      <c r="A177" s="3">
        <v>17504</v>
      </c>
      <c r="B177" t="s" s="2">
        <v>25</v>
      </c>
      <c r="C177" t="s" s="2">
        <v>14</v>
      </c>
      <c r="D177" s="4">
        <v>80000</v>
      </c>
      <c r="E177" s="3">
        <v>2</v>
      </c>
      <c r="F177" t="s" s="2">
        <v>21</v>
      </c>
      <c r="G177" t="s" s="2">
        <v>16</v>
      </c>
      <c r="H177" t="s" s="2">
        <v>17</v>
      </c>
      <c r="I177" s="3">
        <v>2</v>
      </c>
      <c r="J177" t="s" s="2">
        <v>26</v>
      </c>
      <c r="K177" t="s" s="2">
        <v>27</v>
      </c>
      <c r="L177" s="3">
        <v>52</v>
      </c>
      <c r="M177" t="s" s="2">
        <v>17</v>
      </c>
    </row>
    <row r="178" ht="13.55" customHeight="1">
      <c r="A178" s="3">
        <v>12253</v>
      </c>
      <c r="B178" t="s" s="2">
        <v>25</v>
      </c>
      <c r="C178" t="s" s="2">
        <v>14</v>
      </c>
      <c r="D178" s="4">
        <v>20000</v>
      </c>
      <c r="E178" s="3">
        <v>0</v>
      </c>
      <c r="F178" t="s" s="2">
        <v>21</v>
      </c>
      <c r="G178" t="s" s="2">
        <v>28</v>
      </c>
      <c r="H178" t="s" s="2">
        <v>17</v>
      </c>
      <c r="I178" s="3">
        <v>0</v>
      </c>
      <c r="J178" t="s" s="2">
        <v>18</v>
      </c>
      <c r="K178" t="s" s="2">
        <v>27</v>
      </c>
      <c r="L178" s="3">
        <v>29</v>
      </c>
      <c r="M178" t="s" s="2">
        <v>17</v>
      </c>
    </row>
    <row r="179" ht="13.55" customHeight="1">
      <c r="A179" s="3">
        <v>27304</v>
      </c>
      <c r="B179" t="s" s="2">
        <v>25</v>
      </c>
      <c r="C179" t="s" s="2">
        <v>14</v>
      </c>
      <c r="D179" s="4">
        <v>110000</v>
      </c>
      <c r="E179" s="3">
        <v>2</v>
      </c>
      <c r="F179" t="s" s="2">
        <v>21</v>
      </c>
      <c r="G179" t="s" s="2">
        <v>23</v>
      </c>
      <c r="H179" t="s" s="2">
        <v>20</v>
      </c>
      <c r="I179" s="3">
        <v>3</v>
      </c>
      <c r="J179" t="s" s="2">
        <v>26</v>
      </c>
      <c r="K179" t="s" s="2">
        <v>19</v>
      </c>
      <c r="L179" s="3">
        <v>48</v>
      </c>
      <c r="M179" t="s" s="2">
        <v>20</v>
      </c>
    </row>
    <row r="180" ht="13.55" customHeight="1">
      <c r="A180" s="3">
        <v>14191</v>
      </c>
      <c r="B180" t="s" s="2">
        <v>13</v>
      </c>
      <c r="C180" t="s" s="2">
        <v>13</v>
      </c>
      <c r="D180" s="4">
        <v>160000</v>
      </c>
      <c r="E180" s="3">
        <v>4</v>
      </c>
      <c r="F180" t="s" s="2">
        <v>21</v>
      </c>
      <c r="G180" t="s" s="2">
        <v>23</v>
      </c>
      <c r="H180" t="s" s="2">
        <v>20</v>
      </c>
      <c r="I180" s="3">
        <v>2</v>
      </c>
      <c r="J180" t="s" s="2">
        <v>33</v>
      </c>
      <c r="K180" t="s" s="2">
        <v>19</v>
      </c>
      <c r="L180" s="3">
        <v>55</v>
      </c>
      <c r="M180" t="s" s="2">
        <v>17</v>
      </c>
    </row>
    <row r="181" ht="13.55" customHeight="1">
      <c r="A181" s="3">
        <v>12212</v>
      </c>
      <c r="B181" t="s" s="2">
        <v>13</v>
      </c>
      <c r="C181" t="s" s="2">
        <v>14</v>
      </c>
      <c r="D181" s="4">
        <v>10000</v>
      </c>
      <c r="E181" s="3">
        <v>0</v>
      </c>
      <c r="F181" t="s" s="2">
        <v>34</v>
      </c>
      <c r="G181" t="s" s="2">
        <v>28</v>
      </c>
      <c r="H181" t="s" s="2">
        <v>17</v>
      </c>
      <c r="I181" s="3">
        <v>0</v>
      </c>
      <c r="J181" t="s" s="2">
        <v>18</v>
      </c>
      <c r="K181" t="s" s="2">
        <v>19</v>
      </c>
      <c r="L181" s="3">
        <v>37</v>
      </c>
      <c r="M181" t="s" s="2">
        <v>17</v>
      </c>
    </row>
    <row r="182" ht="13.55" customHeight="1">
      <c r="A182" s="3">
        <v>25529</v>
      </c>
      <c r="B182" t="s" s="2">
        <v>25</v>
      </c>
      <c r="C182" t="s" s="2">
        <v>13</v>
      </c>
      <c r="D182" s="4">
        <v>10000</v>
      </c>
      <c r="E182" s="3">
        <v>1</v>
      </c>
      <c r="F182" t="s" s="2">
        <v>34</v>
      </c>
      <c r="G182" t="s" s="2">
        <v>28</v>
      </c>
      <c r="H182" t="s" s="2">
        <v>17</v>
      </c>
      <c r="I182" s="3">
        <v>0</v>
      </c>
      <c r="J182" t="s" s="2">
        <v>18</v>
      </c>
      <c r="K182" t="s" s="2">
        <v>19</v>
      </c>
      <c r="L182" s="3">
        <v>44</v>
      </c>
      <c r="M182" t="s" s="2">
        <v>20</v>
      </c>
    </row>
    <row r="183" ht="13.55" customHeight="1">
      <c r="A183" s="3">
        <v>22170</v>
      </c>
      <c r="B183" t="s" s="2">
        <v>13</v>
      </c>
      <c r="C183" t="s" s="2">
        <v>14</v>
      </c>
      <c r="D183" s="4">
        <v>30000</v>
      </c>
      <c r="E183" s="3">
        <v>3</v>
      </c>
      <c r="F183" t="s" s="2">
        <v>21</v>
      </c>
      <c r="G183" t="s" s="2">
        <v>22</v>
      </c>
      <c r="H183" t="s" s="2">
        <v>20</v>
      </c>
      <c r="I183" s="3">
        <v>2</v>
      </c>
      <c r="J183" t="s" s="2">
        <v>29</v>
      </c>
      <c r="K183" t="s" s="2">
        <v>27</v>
      </c>
      <c r="L183" s="3">
        <v>55</v>
      </c>
      <c r="M183" t="s" s="2">
        <v>17</v>
      </c>
    </row>
    <row r="184" ht="13.55" customHeight="1">
      <c r="A184" s="3">
        <v>19445</v>
      </c>
      <c r="B184" t="s" s="2">
        <v>13</v>
      </c>
      <c r="C184" t="s" s="2">
        <v>14</v>
      </c>
      <c r="D184" s="4">
        <v>10000</v>
      </c>
      <c r="E184" s="3">
        <v>2</v>
      </c>
      <c r="F184" t="s" s="2">
        <v>30</v>
      </c>
      <c r="G184" t="s" s="2">
        <v>28</v>
      </c>
      <c r="H184" t="s" s="2">
        <v>20</v>
      </c>
      <c r="I184" s="3">
        <v>1</v>
      </c>
      <c r="J184" t="s" s="2">
        <v>18</v>
      </c>
      <c r="K184" t="s" s="2">
        <v>19</v>
      </c>
      <c r="L184" s="3">
        <v>38</v>
      </c>
      <c r="M184" t="s" s="2">
        <v>20</v>
      </c>
    </row>
    <row r="185" ht="13.55" customHeight="1">
      <c r="A185" s="3">
        <v>15265</v>
      </c>
      <c r="B185" t="s" s="2">
        <v>25</v>
      </c>
      <c r="C185" t="s" s="2">
        <v>13</v>
      </c>
      <c r="D185" s="4">
        <v>40000</v>
      </c>
      <c r="E185" s="3">
        <v>2</v>
      </c>
      <c r="F185" t="s" s="2">
        <v>15</v>
      </c>
      <c r="G185" t="s" s="2">
        <v>31</v>
      </c>
      <c r="H185" t="s" s="2">
        <v>17</v>
      </c>
      <c r="I185" s="3">
        <v>2</v>
      </c>
      <c r="J185" t="s" s="2">
        <v>26</v>
      </c>
      <c r="K185" t="s" s="2">
        <v>27</v>
      </c>
      <c r="L185" s="3">
        <v>66</v>
      </c>
      <c r="M185" t="s" s="2">
        <v>17</v>
      </c>
    </row>
    <row r="186" ht="13.55" customHeight="1">
      <c r="A186" s="3">
        <v>28918</v>
      </c>
      <c r="B186" t="s" s="2">
        <v>13</v>
      </c>
      <c r="C186" t="s" s="2">
        <v>14</v>
      </c>
      <c r="D186" s="4">
        <v>130000</v>
      </c>
      <c r="E186" s="3">
        <v>4</v>
      </c>
      <c r="F186" t="s" s="2">
        <v>30</v>
      </c>
      <c r="G186" t="s" s="2">
        <v>31</v>
      </c>
      <c r="H186" t="s" s="2">
        <v>20</v>
      </c>
      <c r="I186" s="3">
        <v>4</v>
      </c>
      <c r="J186" t="s" s="2">
        <v>33</v>
      </c>
      <c r="K186" t="s" s="2">
        <v>19</v>
      </c>
      <c r="L186" s="3">
        <v>58</v>
      </c>
      <c r="M186" t="s" s="2">
        <v>20</v>
      </c>
    </row>
    <row r="187" ht="13.55" customHeight="1">
      <c r="A187" s="3">
        <v>15799</v>
      </c>
      <c r="B187" t="s" s="2">
        <v>13</v>
      </c>
      <c r="C187" t="s" s="2">
        <v>14</v>
      </c>
      <c r="D187" s="4">
        <v>90000</v>
      </c>
      <c r="E187" s="3">
        <v>1</v>
      </c>
      <c r="F187" t="s" s="2">
        <v>15</v>
      </c>
      <c r="G187" t="s" s="2">
        <v>23</v>
      </c>
      <c r="H187" t="s" s="2">
        <v>17</v>
      </c>
      <c r="I187" s="3">
        <v>1</v>
      </c>
      <c r="J187" t="s" s="2">
        <v>24</v>
      </c>
      <c r="K187" t="s" s="2">
        <v>27</v>
      </c>
      <c r="L187" s="3">
        <v>47</v>
      </c>
      <c r="M187" t="s" s="2">
        <v>17</v>
      </c>
    </row>
    <row r="188" ht="13.55" customHeight="1">
      <c r="A188" s="3">
        <v>11047</v>
      </c>
      <c r="B188" t="s" s="2">
        <v>13</v>
      </c>
      <c r="C188" t="s" s="2">
        <v>14</v>
      </c>
      <c r="D188" s="4">
        <v>30000</v>
      </c>
      <c r="E188" s="3">
        <v>3</v>
      </c>
      <c r="F188" t="s" s="2">
        <v>30</v>
      </c>
      <c r="G188" t="s" s="2">
        <v>16</v>
      </c>
      <c r="H188" t="s" s="2">
        <v>20</v>
      </c>
      <c r="I188" s="3">
        <v>2</v>
      </c>
      <c r="J188" t="s" s="2">
        <v>29</v>
      </c>
      <c r="K188" t="s" s="2">
        <v>27</v>
      </c>
      <c r="L188" s="3">
        <v>56</v>
      </c>
      <c r="M188" t="s" s="2">
        <v>17</v>
      </c>
    </row>
    <row r="189" ht="13.55" customHeight="1">
      <c r="A189" s="3">
        <v>18151</v>
      </c>
      <c r="B189" t="s" s="2">
        <v>25</v>
      </c>
      <c r="C189" t="s" s="2">
        <v>13</v>
      </c>
      <c r="D189" s="4">
        <v>80000</v>
      </c>
      <c r="E189" s="3">
        <v>5</v>
      </c>
      <c r="F189" t="s" s="2">
        <v>21</v>
      </c>
      <c r="G189" t="s" s="2">
        <v>23</v>
      </c>
      <c r="H189" t="s" s="2">
        <v>20</v>
      </c>
      <c r="I189" s="3">
        <v>2</v>
      </c>
      <c r="J189" t="s" s="2">
        <v>33</v>
      </c>
      <c r="K189" t="s" s="2">
        <v>19</v>
      </c>
      <c r="L189" s="3">
        <v>59</v>
      </c>
      <c r="M189" t="s" s="2">
        <v>20</v>
      </c>
    </row>
    <row r="190" ht="13.55" customHeight="1">
      <c r="A190" s="3">
        <v>20606</v>
      </c>
      <c r="B190" t="s" s="2">
        <v>13</v>
      </c>
      <c r="C190" t="s" s="2">
        <v>14</v>
      </c>
      <c r="D190" s="4">
        <v>70000</v>
      </c>
      <c r="E190" s="3">
        <v>0</v>
      </c>
      <c r="F190" t="s" s="2">
        <v>15</v>
      </c>
      <c r="G190" t="s" s="2">
        <v>23</v>
      </c>
      <c r="H190" t="s" s="2">
        <v>17</v>
      </c>
      <c r="I190" s="3">
        <v>4</v>
      </c>
      <c r="J190" t="s" s="2">
        <v>33</v>
      </c>
      <c r="K190" t="s" s="2">
        <v>27</v>
      </c>
      <c r="L190" s="3">
        <v>32</v>
      </c>
      <c r="M190" t="s" s="2">
        <v>17</v>
      </c>
    </row>
    <row r="191" ht="13.55" customHeight="1">
      <c r="A191" s="3">
        <v>19482</v>
      </c>
      <c r="B191" t="s" s="2">
        <v>13</v>
      </c>
      <c r="C191" t="s" s="2">
        <v>13</v>
      </c>
      <c r="D191" s="4">
        <v>30000</v>
      </c>
      <c r="E191" s="3">
        <v>1</v>
      </c>
      <c r="F191" t="s" s="2">
        <v>21</v>
      </c>
      <c r="G191" t="s" s="2">
        <v>22</v>
      </c>
      <c r="H191" t="s" s="2">
        <v>17</v>
      </c>
      <c r="I191" s="3">
        <v>1</v>
      </c>
      <c r="J191" t="s" s="2">
        <v>18</v>
      </c>
      <c r="K191" t="s" s="2">
        <v>19</v>
      </c>
      <c r="L191" s="3">
        <v>44</v>
      </c>
      <c r="M191" t="s" s="2">
        <v>17</v>
      </c>
    </row>
    <row r="192" ht="13.55" customHeight="1">
      <c r="A192" s="3">
        <v>16489</v>
      </c>
      <c r="B192" t="s" s="2">
        <v>13</v>
      </c>
      <c r="C192" t="s" s="2">
        <v>13</v>
      </c>
      <c r="D192" s="4">
        <v>30000</v>
      </c>
      <c r="E192" s="3">
        <v>3</v>
      </c>
      <c r="F192" t="s" s="2">
        <v>30</v>
      </c>
      <c r="G192" t="s" s="2">
        <v>16</v>
      </c>
      <c r="H192" t="s" s="2">
        <v>17</v>
      </c>
      <c r="I192" s="3">
        <v>2</v>
      </c>
      <c r="J192" t="s" s="2">
        <v>26</v>
      </c>
      <c r="K192" t="s" s="2">
        <v>27</v>
      </c>
      <c r="L192" s="3">
        <v>55</v>
      </c>
      <c r="M192" t="s" s="2">
        <v>20</v>
      </c>
    </row>
    <row r="193" ht="13.55" customHeight="1">
      <c r="A193" s="3">
        <v>26944</v>
      </c>
      <c r="B193" t="s" s="2">
        <v>25</v>
      </c>
      <c r="C193" t="s" s="2">
        <v>13</v>
      </c>
      <c r="D193" s="4">
        <v>90000</v>
      </c>
      <c r="E193" s="3">
        <v>2</v>
      </c>
      <c r="F193" t="s" s="2">
        <v>30</v>
      </c>
      <c r="G193" t="s" s="2">
        <v>28</v>
      </c>
      <c r="H193" t="s" s="2">
        <v>17</v>
      </c>
      <c r="I193" s="3">
        <v>0</v>
      </c>
      <c r="J193" t="s" s="2">
        <v>18</v>
      </c>
      <c r="K193" t="s" s="2">
        <v>19</v>
      </c>
      <c r="L193" s="3">
        <v>36</v>
      </c>
      <c r="M193" t="s" s="2">
        <v>17</v>
      </c>
    </row>
    <row r="194" ht="13.55" customHeight="1">
      <c r="A194" s="3">
        <v>15682</v>
      </c>
      <c r="B194" t="s" s="2">
        <v>25</v>
      </c>
      <c r="C194" t="s" s="2">
        <v>14</v>
      </c>
      <c r="D194" s="4">
        <v>80000</v>
      </c>
      <c r="E194" s="3">
        <v>5</v>
      </c>
      <c r="F194" t="s" s="2">
        <v>15</v>
      </c>
      <c r="G194" t="s" s="2">
        <v>31</v>
      </c>
      <c r="H194" t="s" s="2">
        <v>17</v>
      </c>
      <c r="I194" s="3">
        <v>2</v>
      </c>
      <c r="J194" t="s" s="2">
        <v>33</v>
      </c>
      <c r="K194" t="s" s="2">
        <v>19</v>
      </c>
      <c r="L194" s="3">
        <v>62</v>
      </c>
      <c r="M194" t="s" s="2">
        <v>20</v>
      </c>
    </row>
    <row r="195" ht="13.55" customHeight="1">
      <c r="A195" s="3">
        <v>26032</v>
      </c>
      <c r="B195" t="s" s="2">
        <v>13</v>
      </c>
      <c r="C195" t="s" s="2">
        <v>14</v>
      </c>
      <c r="D195" s="4">
        <v>70000</v>
      </c>
      <c r="E195" s="3">
        <v>5</v>
      </c>
      <c r="F195" t="s" s="2">
        <v>15</v>
      </c>
      <c r="G195" t="s" s="2">
        <v>23</v>
      </c>
      <c r="H195" t="s" s="2">
        <v>17</v>
      </c>
      <c r="I195" s="3">
        <v>4</v>
      </c>
      <c r="J195" t="s" s="2">
        <v>33</v>
      </c>
      <c r="K195" t="s" s="2">
        <v>27</v>
      </c>
      <c r="L195" s="3">
        <v>41</v>
      </c>
      <c r="M195" t="s" s="2">
        <v>20</v>
      </c>
    </row>
    <row r="196" ht="13.55" customHeight="1">
      <c r="A196" s="3">
        <v>17843</v>
      </c>
      <c r="B196" t="s" s="2">
        <v>25</v>
      </c>
      <c r="C196" t="s" s="2">
        <v>14</v>
      </c>
      <c r="D196" s="4">
        <v>10000</v>
      </c>
      <c r="E196" s="3">
        <v>0</v>
      </c>
      <c r="F196" t="s" s="2">
        <v>32</v>
      </c>
      <c r="G196" t="s" s="2">
        <v>28</v>
      </c>
      <c r="H196" t="s" s="2">
        <v>20</v>
      </c>
      <c r="I196" s="3">
        <v>2</v>
      </c>
      <c r="J196" t="s" s="2">
        <v>18</v>
      </c>
      <c r="K196" t="s" s="2">
        <v>19</v>
      </c>
      <c r="L196" s="3">
        <v>32</v>
      </c>
      <c r="M196" t="s" s="2">
        <v>20</v>
      </c>
    </row>
    <row r="197" ht="13.55" customHeight="1">
      <c r="A197" s="3">
        <v>25559</v>
      </c>
      <c r="B197" t="s" s="2">
        <v>25</v>
      </c>
      <c r="C197" t="s" s="2">
        <v>13</v>
      </c>
      <c r="D197" s="4">
        <v>20000</v>
      </c>
      <c r="E197" s="3">
        <v>0</v>
      </c>
      <c r="F197" t="s" s="2">
        <v>15</v>
      </c>
      <c r="G197" t="s" s="2">
        <v>22</v>
      </c>
      <c r="H197" t="s" s="2">
        <v>17</v>
      </c>
      <c r="I197" s="3">
        <v>0</v>
      </c>
      <c r="J197" t="s" s="2">
        <v>18</v>
      </c>
      <c r="K197" t="s" s="2">
        <v>27</v>
      </c>
      <c r="L197" s="3">
        <v>25</v>
      </c>
      <c r="M197" t="s" s="2">
        <v>17</v>
      </c>
    </row>
    <row r="198" ht="13.55" customHeight="1">
      <c r="A198" s="3">
        <v>16209</v>
      </c>
      <c r="B198" t="s" s="2">
        <v>25</v>
      </c>
      <c r="C198" t="s" s="2">
        <v>14</v>
      </c>
      <c r="D198" s="4">
        <v>50000</v>
      </c>
      <c r="E198" s="3">
        <v>0</v>
      </c>
      <c r="F198" t="s" s="2">
        <v>34</v>
      </c>
      <c r="G198" t="s" s="2">
        <v>16</v>
      </c>
      <c r="H198" t="s" s="2">
        <v>17</v>
      </c>
      <c r="I198" s="3">
        <v>0</v>
      </c>
      <c r="J198" t="s" s="2">
        <v>29</v>
      </c>
      <c r="K198" t="s" s="2">
        <v>19</v>
      </c>
      <c r="L198" s="3">
        <v>36</v>
      </c>
      <c r="M198" t="s" s="2">
        <v>20</v>
      </c>
    </row>
    <row r="199" ht="13.55" customHeight="1">
      <c r="A199" s="3">
        <v>11147</v>
      </c>
      <c r="B199" t="s" s="2">
        <v>13</v>
      </c>
      <c r="C199" t="s" s="2">
        <v>13</v>
      </c>
      <c r="D199" s="4">
        <v>60000</v>
      </c>
      <c r="E199" s="3">
        <v>2</v>
      </c>
      <c r="F199" t="s" s="2">
        <v>34</v>
      </c>
      <c r="G199" t="s" s="2">
        <v>31</v>
      </c>
      <c r="H199" t="s" s="2">
        <v>17</v>
      </c>
      <c r="I199" s="3">
        <v>1</v>
      </c>
      <c r="J199" t="s" s="2">
        <v>18</v>
      </c>
      <c r="K199" t="s" s="2">
        <v>27</v>
      </c>
      <c r="L199" s="3">
        <v>67</v>
      </c>
      <c r="M199" t="s" s="2">
        <v>17</v>
      </c>
    </row>
    <row r="200" ht="13.55" customHeight="1">
      <c r="A200" s="3">
        <v>15214</v>
      </c>
      <c r="B200" t="s" s="2">
        <v>25</v>
      </c>
      <c r="C200" t="s" s="2">
        <v>14</v>
      </c>
      <c r="D200" s="4">
        <v>100000</v>
      </c>
      <c r="E200" s="3">
        <v>0</v>
      </c>
      <c r="F200" t="s" s="2">
        <v>34</v>
      </c>
      <c r="G200" t="s" s="2">
        <v>31</v>
      </c>
      <c r="H200" t="s" s="2">
        <v>20</v>
      </c>
      <c r="I200" s="3">
        <v>1</v>
      </c>
      <c r="J200" t="s" s="2">
        <v>29</v>
      </c>
      <c r="K200" t="s" s="2">
        <v>27</v>
      </c>
      <c r="L200" s="3">
        <v>39</v>
      </c>
      <c r="M200" t="s" s="2">
        <v>17</v>
      </c>
    </row>
    <row r="201" ht="13.55" customHeight="1">
      <c r="A201" s="3">
        <v>11453</v>
      </c>
      <c r="B201" t="s" s="2">
        <v>25</v>
      </c>
      <c r="C201" t="s" s="2">
        <v>13</v>
      </c>
      <c r="D201" s="4">
        <v>80000</v>
      </c>
      <c r="E201" s="3">
        <v>0</v>
      </c>
      <c r="F201" t="s" s="2">
        <v>15</v>
      </c>
      <c r="G201" t="s" s="2">
        <v>23</v>
      </c>
      <c r="H201" t="s" s="2">
        <v>20</v>
      </c>
      <c r="I201" s="3">
        <v>3</v>
      </c>
      <c r="J201" t="s" s="2">
        <v>33</v>
      </c>
      <c r="K201" t="s" s="2">
        <v>27</v>
      </c>
      <c r="L201" s="3">
        <v>33</v>
      </c>
      <c r="M201" t="s" s="2">
        <v>17</v>
      </c>
    </row>
    <row r="202" ht="13.55" customHeight="1">
      <c r="A202" s="3">
        <v>24584</v>
      </c>
      <c r="B202" t="s" s="2">
        <v>25</v>
      </c>
      <c r="C202" t="s" s="2">
        <v>13</v>
      </c>
      <c r="D202" s="4">
        <v>60000</v>
      </c>
      <c r="E202" s="3">
        <v>0</v>
      </c>
      <c r="F202" t="s" s="2">
        <v>15</v>
      </c>
      <c r="G202" t="s" s="2">
        <v>23</v>
      </c>
      <c r="H202" t="s" s="2">
        <v>20</v>
      </c>
      <c r="I202" s="3">
        <v>3</v>
      </c>
      <c r="J202" t="s" s="2">
        <v>24</v>
      </c>
      <c r="K202" t="s" s="2">
        <v>27</v>
      </c>
      <c r="L202" s="3">
        <v>31</v>
      </c>
      <c r="M202" t="s" s="2">
        <v>20</v>
      </c>
    </row>
    <row r="203" ht="13.55" customHeight="1">
      <c r="A203" s="3">
        <v>12585</v>
      </c>
      <c r="B203" t="s" s="2">
        <v>13</v>
      </c>
      <c r="C203" t="s" s="2">
        <v>13</v>
      </c>
      <c r="D203" s="4">
        <v>10000</v>
      </c>
      <c r="E203" s="3">
        <v>1</v>
      </c>
      <c r="F203" t="s" s="2">
        <v>30</v>
      </c>
      <c r="G203" t="s" s="2">
        <v>28</v>
      </c>
      <c r="H203" t="s" s="2">
        <v>17</v>
      </c>
      <c r="I203" s="3">
        <v>0</v>
      </c>
      <c r="J203" t="s" s="2">
        <v>24</v>
      </c>
      <c r="K203" t="s" s="2">
        <v>27</v>
      </c>
      <c r="L203" s="3">
        <v>27</v>
      </c>
      <c r="M203" t="s" s="2">
        <v>17</v>
      </c>
    </row>
    <row r="204" ht="13.55" customHeight="1">
      <c r="A204" s="3">
        <v>18626</v>
      </c>
      <c r="B204" t="s" s="2">
        <v>25</v>
      </c>
      <c r="C204" t="s" s="2">
        <v>13</v>
      </c>
      <c r="D204" s="4">
        <v>40000</v>
      </c>
      <c r="E204" s="3">
        <v>2</v>
      </c>
      <c r="F204" t="s" s="2">
        <v>21</v>
      </c>
      <c r="G204" t="s" s="2">
        <v>22</v>
      </c>
      <c r="H204" t="s" s="2">
        <v>17</v>
      </c>
      <c r="I204" s="3">
        <v>0</v>
      </c>
      <c r="J204" t="s" s="2">
        <v>29</v>
      </c>
      <c r="K204" t="s" s="2">
        <v>19</v>
      </c>
      <c r="L204" s="3">
        <v>33</v>
      </c>
      <c r="M204" t="s" s="2">
        <v>17</v>
      </c>
    </row>
    <row r="205" ht="13.55" customHeight="1">
      <c r="A205" s="3">
        <v>29298</v>
      </c>
      <c r="B205" t="s" s="2">
        <v>25</v>
      </c>
      <c r="C205" t="s" s="2">
        <v>14</v>
      </c>
      <c r="D205" s="4">
        <v>60000</v>
      </c>
      <c r="E205" s="3">
        <v>1</v>
      </c>
      <c r="F205" t="s" s="2">
        <v>21</v>
      </c>
      <c r="G205" t="s" s="2">
        <v>16</v>
      </c>
      <c r="H205" t="s" s="2">
        <v>17</v>
      </c>
      <c r="I205" s="3">
        <v>1</v>
      </c>
      <c r="J205" t="s" s="2">
        <v>26</v>
      </c>
      <c r="K205" t="s" s="2">
        <v>27</v>
      </c>
      <c r="L205" s="3">
        <v>46</v>
      </c>
      <c r="M205" t="s" s="2">
        <v>17</v>
      </c>
    </row>
    <row r="206" ht="13.55" customHeight="1">
      <c r="A206" s="3">
        <v>24842</v>
      </c>
      <c r="B206" t="s" s="2">
        <v>25</v>
      </c>
      <c r="C206" t="s" s="2">
        <v>14</v>
      </c>
      <c r="D206" s="4">
        <v>90000</v>
      </c>
      <c r="E206" s="3">
        <v>3</v>
      </c>
      <c r="F206" t="s" s="2">
        <v>30</v>
      </c>
      <c r="G206" t="s" s="2">
        <v>23</v>
      </c>
      <c r="H206" t="s" s="2">
        <v>20</v>
      </c>
      <c r="I206" s="3">
        <v>1</v>
      </c>
      <c r="J206" t="s" s="2">
        <v>24</v>
      </c>
      <c r="K206" t="s" s="2">
        <v>19</v>
      </c>
      <c r="L206" s="3">
        <v>51</v>
      </c>
      <c r="M206" t="s" s="2">
        <v>20</v>
      </c>
    </row>
    <row r="207" ht="13.55" customHeight="1">
      <c r="A207" s="3">
        <v>15657</v>
      </c>
      <c r="B207" t="s" s="2">
        <v>13</v>
      </c>
      <c r="C207" t="s" s="2">
        <v>13</v>
      </c>
      <c r="D207" s="4">
        <v>30000</v>
      </c>
      <c r="E207" s="3">
        <v>3</v>
      </c>
      <c r="F207" t="s" s="2">
        <v>34</v>
      </c>
      <c r="G207" t="s" s="2">
        <v>22</v>
      </c>
      <c r="H207" t="s" s="2">
        <v>17</v>
      </c>
      <c r="I207" s="3">
        <v>0</v>
      </c>
      <c r="J207" t="s" s="2">
        <v>18</v>
      </c>
      <c r="K207" t="s" s="2">
        <v>19</v>
      </c>
      <c r="L207" s="3">
        <v>46</v>
      </c>
      <c r="M207" t="s" s="2">
        <v>17</v>
      </c>
    </row>
    <row r="208" ht="13.55" customHeight="1">
      <c r="A208" s="3">
        <v>11415</v>
      </c>
      <c r="B208" t="s" s="2">
        <v>25</v>
      </c>
      <c r="C208" t="s" s="2">
        <v>13</v>
      </c>
      <c r="D208" s="4">
        <v>90000</v>
      </c>
      <c r="E208" s="3">
        <v>5</v>
      </c>
      <c r="F208" t="s" s="2">
        <v>21</v>
      </c>
      <c r="G208" t="s" s="2">
        <v>23</v>
      </c>
      <c r="H208" t="s" s="2">
        <v>20</v>
      </c>
      <c r="I208" s="3">
        <v>2</v>
      </c>
      <c r="J208" t="s" s="2">
        <v>33</v>
      </c>
      <c r="K208" t="s" s="2">
        <v>19</v>
      </c>
      <c r="L208" s="3">
        <v>62</v>
      </c>
      <c r="M208" t="s" s="2">
        <v>20</v>
      </c>
    </row>
    <row r="209" ht="13.55" customHeight="1">
      <c r="A209" s="3">
        <v>28729</v>
      </c>
      <c r="B209" t="s" s="2">
        <v>25</v>
      </c>
      <c r="C209" t="s" s="2">
        <v>14</v>
      </c>
      <c r="D209" s="4">
        <v>20000</v>
      </c>
      <c r="E209" s="3">
        <v>0</v>
      </c>
      <c r="F209" t="s" s="2">
        <v>32</v>
      </c>
      <c r="G209" t="s" s="2">
        <v>28</v>
      </c>
      <c r="H209" t="s" s="2">
        <v>17</v>
      </c>
      <c r="I209" s="3">
        <v>2</v>
      </c>
      <c r="J209" t="s" s="2">
        <v>29</v>
      </c>
      <c r="K209" t="s" s="2">
        <v>19</v>
      </c>
      <c r="L209" s="3">
        <v>26</v>
      </c>
      <c r="M209" t="s" s="2">
        <v>17</v>
      </c>
    </row>
    <row r="210" ht="13.55" customHeight="1">
      <c r="A210" s="3">
        <v>22633</v>
      </c>
      <c r="B210" t="s" s="2">
        <v>25</v>
      </c>
      <c r="C210" t="s" s="2">
        <v>14</v>
      </c>
      <c r="D210" s="4">
        <v>40000</v>
      </c>
      <c r="E210" s="3">
        <v>0</v>
      </c>
      <c r="F210" t="s" s="2">
        <v>34</v>
      </c>
      <c r="G210" t="s" s="2">
        <v>22</v>
      </c>
      <c r="H210" t="s" s="2">
        <v>17</v>
      </c>
      <c r="I210" s="3">
        <v>0</v>
      </c>
      <c r="J210" t="s" s="2">
        <v>18</v>
      </c>
      <c r="K210" t="s" s="2">
        <v>19</v>
      </c>
      <c r="L210" s="3">
        <v>37</v>
      </c>
      <c r="M210" t="s" s="2">
        <v>17</v>
      </c>
    </row>
    <row r="211" ht="13.55" customHeight="1">
      <c r="A211" s="3">
        <v>25649</v>
      </c>
      <c r="B211" t="s" s="2">
        <v>25</v>
      </c>
      <c r="C211" t="s" s="2">
        <v>14</v>
      </c>
      <c r="D211" s="4">
        <v>30000</v>
      </c>
      <c r="E211" s="3">
        <v>3</v>
      </c>
      <c r="F211" t="s" s="2">
        <v>21</v>
      </c>
      <c r="G211" t="s" s="2">
        <v>22</v>
      </c>
      <c r="H211" t="s" s="2">
        <v>17</v>
      </c>
      <c r="I211" s="3">
        <v>0</v>
      </c>
      <c r="J211" t="s" s="2">
        <v>18</v>
      </c>
      <c r="K211" t="s" s="2">
        <v>19</v>
      </c>
      <c r="L211" s="3">
        <v>42</v>
      </c>
      <c r="M211" t="s" s="2">
        <v>17</v>
      </c>
    </row>
    <row r="212" ht="13.55" customHeight="1">
      <c r="A212" s="3">
        <v>14669</v>
      </c>
      <c r="B212" t="s" s="2">
        <v>13</v>
      </c>
      <c r="C212" t="s" s="2">
        <v>14</v>
      </c>
      <c r="D212" s="4">
        <v>80000</v>
      </c>
      <c r="E212" s="3">
        <v>4</v>
      </c>
      <c r="F212" t="s" s="2">
        <v>34</v>
      </c>
      <c r="G212" t="s" s="2">
        <v>31</v>
      </c>
      <c r="H212" t="s" s="2">
        <v>17</v>
      </c>
      <c r="I212" s="3">
        <v>1</v>
      </c>
      <c r="J212" t="s" s="2">
        <v>18</v>
      </c>
      <c r="K212" t="s" s="2">
        <v>27</v>
      </c>
      <c r="L212" s="3">
        <v>36</v>
      </c>
      <c r="M212" t="s" s="2">
        <v>20</v>
      </c>
    </row>
    <row r="213" ht="13.55" customHeight="1">
      <c r="A213" s="3">
        <v>19299</v>
      </c>
      <c r="B213" t="s" s="2">
        <v>13</v>
      </c>
      <c r="C213" t="s" s="2">
        <v>14</v>
      </c>
      <c r="D213" s="4">
        <v>50000</v>
      </c>
      <c r="E213" s="3">
        <v>0</v>
      </c>
      <c r="F213" t="s" s="2">
        <v>34</v>
      </c>
      <c r="G213" t="s" s="2">
        <v>16</v>
      </c>
      <c r="H213" t="s" s="2">
        <v>17</v>
      </c>
      <c r="I213" s="3">
        <v>0</v>
      </c>
      <c r="J213" t="s" s="2">
        <v>18</v>
      </c>
      <c r="K213" t="s" s="2">
        <v>19</v>
      </c>
      <c r="L213" s="3">
        <v>36</v>
      </c>
      <c r="M213" t="s" s="2">
        <v>17</v>
      </c>
    </row>
    <row r="214" ht="13.55" customHeight="1">
      <c r="A214" s="3">
        <v>20946</v>
      </c>
      <c r="B214" t="s" s="2">
        <v>25</v>
      </c>
      <c r="C214" t="s" s="2">
        <v>14</v>
      </c>
      <c r="D214" s="4">
        <v>30000</v>
      </c>
      <c r="E214" s="3">
        <v>0</v>
      </c>
      <c r="F214" t="s" s="2">
        <v>21</v>
      </c>
      <c r="G214" t="s" s="2">
        <v>22</v>
      </c>
      <c r="H214" t="s" s="2">
        <v>20</v>
      </c>
      <c r="I214" s="3">
        <v>1</v>
      </c>
      <c r="J214" t="s" s="2">
        <v>24</v>
      </c>
      <c r="K214" t="s" s="2">
        <v>19</v>
      </c>
      <c r="L214" s="3">
        <v>30</v>
      </c>
      <c r="M214" t="s" s="2">
        <v>20</v>
      </c>
    </row>
    <row r="215" ht="13.55" customHeight="1">
      <c r="A215" s="3">
        <v>11451</v>
      </c>
      <c r="B215" t="s" s="2">
        <v>25</v>
      </c>
      <c r="C215" t="s" s="2">
        <v>13</v>
      </c>
      <c r="D215" s="4">
        <v>70000</v>
      </c>
      <c r="E215" s="3">
        <v>0</v>
      </c>
      <c r="F215" t="s" s="2">
        <v>15</v>
      </c>
      <c r="G215" t="s" s="2">
        <v>23</v>
      </c>
      <c r="H215" t="s" s="2">
        <v>20</v>
      </c>
      <c r="I215" s="3">
        <v>4</v>
      </c>
      <c r="J215" t="s" s="2">
        <v>33</v>
      </c>
      <c r="K215" t="s" s="2">
        <v>27</v>
      </c>
      <c r="L215" s="3">
        <v>31</v>
      </c>
      <c r="M215" t="s" s="2">
        <v>17</v>
      </c>
    </row>
    <row r="216" ht="13.55" customHeight="1">
      <c r="A216" s="3">
        <v>25553</v>
      </c>
      <c r="B216" t="s" s="2">
        <v>13</v>
      </c>
      <c r="C216" t="s" s="2">
        <v>13</v>
      </c>
      <c r="D216" s="4">
        <v>30000</v>
      </c>
      <c r="E216" s="3">
        <v>1</v>
      </c>
      <c r="F216" t="s" s="2">
        <v>15</v>
      </c>
      <c r="G216" t="s" s="2">
        <v>22</v>
      </c>
      <c r="H216" t="s" s="2">
        <v>17</v>
      </c>
      <c r="I216" s="3">
        <v>0</v>
      </c>
      <c r="J216" t="s" s="2">
        <v>18</v>
      </c>
      <c r="K216" t="s" s="2">
        <v>19</v>
      </c>
      <c r="L216" s="3">
        <v>65</v>
      </c>
      <c r="M216" t="s" s="2">
        <v>17</v>
      </c>
    </row>
    <row r="217" ht="13.55" customHeight="1">
      <c r="A217" s="3">
        <v>27951</v>
      </c>
      <c r="B217" t="s" s="2">
        <v>25</v>
      </c>
      <c r="C217" t="s" s="2">
        <v>13</v>
      </c>
      <c r="D217" s="4">
        <v>80000</v>
      </c>
      <c r="E217" s="3">
        <v>4</v>
      </c>
      <c r="F217" t="s" s="2">
        <v>21</v>
      </c>
      <c r="G217" t="s" s="2">
        <v>23</v>
      </c>
      <c r="H217" t="s" s="2">
        <v>20</v>
      </c>
      <c r="I217" s="3">
        <v>2</v>
      </c>
      <c r="J217" t="s" s="2">
        <v>24</v>
      </c>
      <c r="K217" t="s" s="2">
        <v>19</v>
      </c>
      <c r="L217" s="3">
        <v>54</v>
      </c>
      <c r="M217" t="s" s="2">
        <v>17</v>
      </c>
    </row>
    <row r="218" ht="13.55" customHeight="1">
      <c r="A218" s="3">
        <v>25026</v>
      </c>
      <c r="B218" t="s" s="2">
        <v>13</v>
      </c>
      <c r="C218" t="s" s="2">
        <v>13</v>
      </c>
      <c r="D218" s="4">
        <v>20000</v>
      </c>
      <c r="E218" s="3">
        <v>2</v>
      </c>
      <c r="F218" t="s" s="2">
        <v>32</v>
      </c>
      <c r="G218" t="s" s="2">
        <v>22</v>
      </c>
      <c r="H218" t="s" s="2">
        <v>17</v>
      </c>
      <c r="I218" s="3">
        <v>3</v>
      </c>
      <c r="J218" t="s" s="2">
        <v>26</v>
      </c>
      <c r="K218" t="s" s="2">
        <v>27</v>
      </c>
      <c r="L218" s="3">
        <v>54</v>
      </c>
      <c r="M218" t="s" s="2">
        <v>20</v>
      </c>
    </row>
    <row r="219" ht="13.55" customHeight="1">
      <c r="A219" s="3">
        <v>13673</v>
      </c>
      <c r="B219" t="s" s="2">
        <v>25</v>
      </c>
      <c r="C219" t="s" s="2">
        <v>14</v>
      </c>
      <c r="D219" s="4">
        <v>20000</v>
      </c>
      <c r="E219" s="3">
        <v>0</v>
      </c>
      <c r="F219" t="s" s="2">
        <v>32</v>
      </c>
      <c r="G219" t="s" s="2">
        <v>28</v>
      </c>
      <c r="H219" t="s" s="2">
        <v>20</v>
      </c>
      <c r="I219" s="3">
        <v>2</v>
      </c>
      <c r="J219" t="s" s="2">
        <v>18</v>
      </c>
      <c r="K219" t="s" s="2">
        <v>19</v>
      </c>
      <c r="L219" s="3">
        <v>25</v>
      </c>
      <c r="M219" t="s" s="2">
        <v>20</v>
      </c>
    </row>
    <row r="220" ht="13.55" customHeight="1">
      <c r="A220" s="3">
        <v>16043</v>
      </c>
      <c r="B220" t="s" s="2">
        <v>25</v>
      </c>
      <c r="C220" t="s" s="2">
        <v>13</v>
      </c>
      <c r="D220" s="4">
        <v>10000</v>
      </c>
      <c r="E220" s="3">
        <v>1</v>
      </c>
      <c r="F220" t="s" s="2">
        <v>15</v>
      </c>
      <c r="G220" t="s" s="2">
        <v>28</v>
      </c>
      <c r="H220" t="s" s="2">
        <v>17</v>
      </c>
      <c r="I220" s="3">
        <v>0</v>
      </c>
      <c r="J220" t="s" s="2">
        <v>18</v>
      </c>
      <c r="K220" t="s" s="2">
        <v>19</v>
      </c>
      <c r="L220" s="3">
        <v>48</v>
      </c>
      <c r="M220" t="s" s="2">
        <v>20</v>
      </c>
    </row>
    <row r="221" ht="13.55" customHeight="1">
      <c r="A221" s="3">
        <v>22399</v>
      </c>
      <c r="B221" t="s" s="2">
        <v>25</v>
      </c>
      <c r="C221" t="s" s="2">
        <v>13</v>
      </c>
      <c r="D221" s="4">
        <v>10000</v>
      </c>
      <c r="E221" s="3">
        <v>0</v>
      </c>
      <c r="F221" t="s" s="2">
        <v>21</v>
      </c>
      <c r="G221" t="s" s="2">
        <v>28</v>
      </c>
      <c r="H221" t="s" s="2">
        <v>17</v>
      </c>
      <c r="I221" s="3">
        <v>1</v>
      </c>
      <c r="J221" t="s" s="2">
        <v>29</v>
      </c>
      <c r="K221" t="s" s="2">
        <v>27</v>
      </c>
      <c r="L221" s="3">
        <v>26</v>
      </c>
      <c r="M221" t="s" s="2">
        <v>17</v>
      </c>
    </row>
    <row r="222" ht="13.55" customHeight="1">
      <c r="A222" s="3">
        <v>27696</v>
      </c>
      <c r="B222" t="s" s="2">
        <v>13</v>
      </c>
      <c r="C222" t="s" s="2">
        <v>13</v>
      </c>
      <c r="D222" s="4">
        <v>60000</v>
      </c>
      <c r="E222" s="3">
        <v>1</v>
      </c>
      <c r="F222" t="s" s="2">
        <v>15</v>
      </c>
      <c r="G222" t="s" s="2">
        <v>23</v>
      </c>
      <c r="H222" t="s" s="2">
        <v>17</v>
      </c>
      <c r="I222" s="3">
        <v>1</v>
      </c>
      <c r="J222" t="s" s="2">
        <v>26</v>
      </c>
      <c r="K222" t="s" s="2">
        <v>27</v>
      </c>
      <c r="L222" s="3">
        <v>43</v>
      </c>
      <c r="M222" t="s" s="2">
        <v>17</v>
      </c>
    </row>
    <row r="223" ht="13.55" customHeight="1">
      <c r="A223" s="3">
        <v>25313</v>
      </c>
      <c r="B223" t="s" s="2">
        <v>25</v>
      </c>
      <c r="C223" t="s" s="2">
        <v>13</v>
      </c>
      <c r="D223" s="4">
        <v>10000</v>
      </c>
      <c r="E223" s="3">
        <v>0</v>
      </c>
      <c r="F223" t="s" s="2">
        <v>32</v>
      </c>
      <c r="G223" t="s" s="2">
        <v>28</v>
      </c>
      <c r="H223" t="s" s="2">
        <v>20</v>
      </c>
      <c r="I223" s="3">
        <v>2</v>
      </c>
      <c r="J223" t="s" s="2">
        <v>29</v>
      </c>
      <c r="K223" t="s" s="2">
        <v>19</v>
      </c>
      <c r="L223" s="3">
        <v>35</v>
      </c>
      <c r="M223" t="s" s="2">
        <v>20</v>
      </c>
    </row>
    <row r="224" ht="13.55" customHeight="1">
      <c r="A224" s="3">
        <v>13813</v>
      </c>
      <c r="B224" t="s" s="2">
        <v>13</v>
      </c>
      <c r="C224" t="s" s="2">
        <v>14</v>
      </c>
      <c r="D224" s="4">
        <v>30000</v>
      </c>
      <c r="E224" s="3">
        <v>3</v>
      </c>
      <c r="F224" t="s" s="2">
        <v>21</v>
      </c>
      <c r="G224" t="s" s="2">
        <v>22</v>
      </c>
      <c r="H224" t="s" s="2">
        <v>20</v>
      </c>
      <c r="I224" s="3">
        <v>0</v>
      </c>
      <c r="J224" t="s" s="2">
        <v>18</v>
      </c>
      <c r="K224" t="s" s="2">
        <v>19</v>
      </c>
      <c r="L224" s="3">
        <v>42</v>
      </c>
      <c r="M224" t="s" s="2">
        <v>20</v>
      </c>
    </row>
    <row r="225" ht="13.55" customHeight="1">
      <c r="A225" s="3">
        <v>18711</v>
      </c>
      <c r="B225" t="s" s="2">
        <v>25</v>
      </c>
      <c r="C225" t="s" s="2">
        <v>14</v>
      </c>
      <c r="D225" s="4">
        <v>70000</v>
      </c>
      <c r="E225" s="3">
        <v>5</v>
      </c>
      <c r="F225" t="s" s="2">
        <v>15</v>
      </c>
      <c r="G225" t="s" s="2">
        <v>23</v>
      </c>
      <c r="H225" t="s" s="2">
        <v>17</v>
      </c>
      <c r="I225" s="3">
        <v>4</v>
      </c>
      <c r="J225" t="s" s="2">
        <v>33</v>
      </c>
      <c r="K225" t="s" s="2">
        <v>27</v>
      </c>
      <c r="L225" s="3">
        <v>39</v>
      </c>
      <c r="M225" t="s" s="2">
        <v>20</v>
      </c>
    </row>
    <row r="226" ht="13.55" customHeight="1">
      <c r="A226" s="3">
        <v>19650</v>
      </c>
      <c r="B226" t="s" s="2">
        <v>13</v>
      </c>
      <c r="C226" t="s" s="2">
        <v>14</v>
      </c>
      <c r="D226" s="4">
        <v>30000</v>
      </c>
      <c r="E226" s="3">
        <v>2</v>
      </c>
      <c r="F226" t="s" s="2">
        <v>21</v>
      </c>
      <c r="G226" t="s" s="2">
        <v>22</v>
      </c>
      <c r="H226" t="s" s="2">
        <v>20</v>
      </c>
      <c r="I226" s="3">
        <v>2</v>
      </c>
      <c r="J226" t="s" s="2">
        <v>18</v>
      </c>
      <c r="K226" t="s" s="2">
        <v>27</v>
      </c>
      <c r="L226" s="3">
        <v>67</v>
      </c>
      <c r="M226" t="s" s="2">
        <v>20</v>
      </c>
    </row>
    <row r="227" ht="13.55" customHeight="1">
      <c r="A227" s="3">
        <v>14135</v>
      </c>
      <c r="B227" t="s" s="2">
        <v>13</v>
      </c>
      <c r="C227" t="s" s="2">
        <v>13</v>
      </c>
      <c r="D227" s="4">
        <v>20000</v>
      </c>
      <c r="E227" s="3">
        <v>1</v>
      </c>
      <c r="F227" t="s" s="2">
        <v>21</v>
      </c>
      <c r="G227" t="s" s="2">
        <v>28</v>
      </c>
      <c r="H227" t="s" s="2">
        <v>17</v>
      </c>
      <c r="I227" s="3">
        <v>0</v>
      </c>
      <c r="J227" t="s" s="2">
        <v>29</v>
      </c>
      <c r="K227" t="s" s="2">
        <v>19</v>
      </c>
      <c r="L227" s="3">
        <v>35</v>
      </c>
      <c r="M227" t="s" s="2">
        <v>20</v>
      </c>
    </row>
    <row r="228" ht="13.55" customHeight="1">
      <c r="A228" s="3">
        <v>12833</v>
      </c>
      <c r="B228" t="s" s="2">
        <v>25</v>
      </c>
      <c r="C228" t="s" s="2">
        <v>14</v>
      </c>
      <c r="D228" s="4">
        <v>20000</v>
      </c>
      <c r="E228" s="3">
        <v>3</v>
      </c>
      <c r="F228" t="s" s="2">
        <v>30</v>
      </c>
      <c r="G228" t="s" s="2">
        <v>28</v>
      </c>
      <c r="H228" t="s" s="2">
        <v>17</v>
      </c>
      <c r="I228" s="3">
        <v>1</v>
      </c>
      <c r="J228" t="s" s="2">
        <v>18</v>
      </c>
      <c r="K228" t="s" s="2">
        <v>19</v>
      </c>
      <c r="L228" s="3">
        <v>42</v>
      </c>
      <c r="M228" t="s" s="2">
        <v>17</v>
      </c>
    </row>
    <row r="229" ht="13.55" customHeight="1">
      <c r="A229" s="3">
        <v>26849</v>
      </c>
      <c r="B229" t="s" s="2">
        <v>13</v>
      </c>
      <c r="C229" t="s" s="2">
        <v>13</v>
      </c>
      <c r="D229" s="4">
        <v>10000</v>
      </c>
      <c r="E229" s="3">
        <v>3</v>
      </c>
      <c r="F229" t="s" s="2">
        <v>32</v>
      </c>
      <c r="G229" t="s" s="2">
        <v>28</v>
      </c>
      <c r="H229" t="s" s="2">
        <v>17</v>
      </c>
      <c r="I229" s="3">
        <v>2</v>
      </c>
      <c r="J229" t="s" s="2">
        <v>18</v>
      </c>
      <c r="K229" t="s" s="2">
        <v>19</v>
      </c>
      <c r="L229" s="3">
        <v>43</v>
      </c>
      <c r="M229" t="s" s="2">
        <v>20</v>
      </c>
    </row>
    <row r="230" ht="13.55" customHeight="1">
      <c r="A230" s="3">
        <v>20962</v>
      </c>
      <c r="B230" t="s" s="2">
        <v>13</v>
      </c>
      <c r="C230" t="s" s="2">
        <v>14</v>
      </c>
      <c r="D230" s="4">
        <v>20000</v>
      </c>
      <c r="E230" s="3">
        <v>1</v>
      </c>
      <c r="F230" t="s" s="2">
        <v>34</v>
      </c>
      <c r="G230" t="s" s="2">
        <v>22</v>
      </c>
      <c r="H230" t="s" s="2">
        <v>17</v>
      </c>
      <c r="I230" s="3">
        <v>0</v>
      </c>
      <c r="J230" t="s" s="2">
        <v>18</v>
      </c>
      <c r="K230" t="s" s="2">
        <v>19</v>
      </c>
      <c r="L230" s="3">
        <v>45</v>
      </c>
      <c r="M230" t="s" s="2">
        <v>20</v>
      </c>
    </row>
    <row r="231" ht="13.55" customHeight="1">
      <c r="A231" s="3">
        <v>28915</v>
      </c>
      <c r="B231" t="s" s="2">
        <v>25</v>
      </c>
      <c r="C231" t="s" s="2">
        <v>13</v>
      </c>
      <c r="D231" s="4">
        <v>80000</v>
      </c>
      <c r="E231" s="3">
        <v>5</v>
      </c>
      <c r="F231" t="s" s="2">
        <v>30</v>
      </c>
      <c r="G231" t="s" s="2">
        <v>31</v>
      </c>
      <c r="H231" t="s" s="2">
        <v>17</v>
      </c>
      <c r="I231" s="3">
        <v>3</v>
      </c>
      <c r="J231" t="s" s="2">
        <v>33</v>
      </c>
      <c r="K231" t="s" s="2">
        <v>19</v>
      </c>
      <c r="L231" s="3">
        <v>57</v>
      </c>
      <c r="M231" t="s" s="2">
        <v>20</v>
      </c>
    </row>
    <row r="232" ht="13.55" customHeight="1">
      <c r="A232" s="3">
        <v>22830</v>
      </c>
      <c r="B232" t="s" s="2">
        <v>13</v>
      </c>
      <c r="C232" t="s" s="2">
        <v>13</v>
      </c>
      <c r="D232" s="4">
        <v>120000</v>
      </c>
      <c r="E232" s="3">
        <v>4</v>
      </c>
      <c r="F232" t="s" s="2">
        <v>21</v>
      </c>
      <c r="G232" t="s" s="2">
        <v>31</v>
      </c>
      <c r="H232" t="s" s="2">
        <v>17</v>
      </c>
      <c r="I232" s="3">
        <v>3</v>
      </c>
      <c r="J232" t="s" s="2">
        <v>33</v>
      </c>
      <c r="K232" t="s" s="2">
        <v>19</v>
      </c>
      <c r="L232" s="3">
        <v>56</v>
      </c>
      <c r="M232" t="s" s="2">
        <v>20</v>
      </c>
    </row>
    <row r="233" ht="13.55" customHeight="1">
      <c r="A233" s="3">
        <v>14777</v>
      </c>
      <c r="B233" t="s" s="2">
        <v>13</v>
      </c>
      <c r="C233" t="s" s="2">
        <v>14</v>
      </c>
      <c r="D233" s="4">
        <v>40000</v>
      </c>
      <c r="E233" s="3">
        <v>0</v>
      </c>
      <c r="F233" t="s" s="2">
        <v>15</v>
      </c>
      <c r="G233" t="s" s="2">
        <v>22</v>
      </c>
      <c r="H233" t="s" s="2">
        <v>17</v>
      </c>
      <c r="I233" s="3">
        <v>0</v>
      </c>
      <c r="J233" t="s" s="2">
        <v>18</v>
      </c>
      <c r="K233" t="s" s="2">
        <v>19</v>
      </c>
      <c r="L233" s="3">
        <v>38</v>
      </c>
      <c r="M233" t="s" s="2">
        <v>17</v>
      </c>
    </row>
    <row r="234" ht="13.55" customHeight="1">
      <c r="A234" s="3">
        <v>12591</v>
      </c>
      <c r="B234" t="s" s="2">
        <v>13</v>
      </c>
      <c r="C234" t="s" s="2">
        <v>14</v>
      </c>
      <c r="D234" s="4">
        <v>30000</v>
      </c>
      <c r="E234" s="3">
        <v>4</v>
      </c>
      <c r="F234" t="s" s="2">
        <v>34</v>
      </c>
      <c r="G234" t="s" s="2">
        <v>22</v>
      </c>
      <c r="H234" t="s" s="2">
        <v>17</v>
      </c>
      <c r="I234" s="3">
        <v>0</v>
      </c>
      <c r="J234" t="s" s="2">
        <v>18</v>
      </c>
      <c r="K234" t="s" s="2">
        <v>19</v>
      </c>
      <c r="L234" s="3">
        <v>45</v>
      </c>
      <c r="M234" t="s" s="2">
        <v>20</v>
      </c>
    </row>
    <row r="235" ht="13.55" customHeight="1">
      <c r="A235" s="3">
        <v>24174</v>
      </c>
      <c r="B235" t="s" s="2">
        <v>13</v>
      </c>
      <c r="C235" t="s" s="2">
        <v>13</v>
      </c>
      <c r="D235" s="4">
        <v>20000</v>
      </c>
      <c r="E235" s="3">
        <v>0</v>
      </c>
      <c r="F235" t="s" s="2">
        <v>15</v>
      </c>
      <c r="G235" t="s" s="2">
        <v>22</v>
      </c>
      <c r="H235" t="s" s="2">
        <v>17</v>
      </c>
      <c r="I235" s="3">
        <v>0</v>
      </c>
      <c r="J235" t="s" s="2">
        <v>18</v>
      </c>
      <c r="K235" t="s" s="2">
        <v>27</v>
      </c>
      <c r="L235" s="3">
        <v>27</v>
      </c>
      <c r="M235" t="s" s="2">
        <v>17</v>
      </c>
    </row>
    <row r="236" ht="13.55" customHeight="1">
      <c r="A236" s="3">
        <v>24611</v>
      </c>
      <c r="B236" t="s" s="2">
        <v>25</v>
      </c>
      <c r="C236" t="s" s="2">
        <v>13</v>
      </c>
      <c r="D236" s="4">
        <v>90000</v>
      </c>
      <c r="E236" s="3">
        <v>0</v>
      </c>
      <c r="F236" t="s" s="2">
        <v>15</v>
      </c>
      <c r="G236" t="s" s="2">
        <v>23</v>
      </c>
      <c r="H236" t="s" s="2">
        <v>20</v>
      </c>
      <c r="I236" s="3">
        <v>4</v>
      </c>
      <c r="J236" t="s" s="2">
        <v>33</v>
      </c>
      <c r="K236" t="s" s="2">
        <v>27</v>
      </c>
      <c r="L236" s="3">
        <v>35</v>
      </c>
      <c r="M236" t="s" s="2">
        <v>17</v>
      </c>
    </row>
    <row r="237" ht="13.55" customHeight="1">
      <c r="A237" s="3">
        <v>11340</v>
      </c>
      <c r="B237" t="s" s="2">
        <v>13</v>
      </c>
      <c r="C237" t="s" s="2">
        <v>14</v>
      </c>
      <c r="D237" s="4">
        <v>10000</v>
      </c>
      <c r="E237" s="3">
        <v>1</v>
      </c>
      <c r="F237" t="s" s="2">
        <v>34</v>
      </c>
      <c r="G237" t="s" s="2">
        <v>22</v>
      </c>
      <c r="H237" t="s" s="2">
        <v>17</v>
      </c>
      <c r="I237" s="3">
        <v>0</v>
      </c>
      <c r="J237" t="s" s="2">
        <v>18</v>
      </c>
      <c r="K237" t="s" s="2">
        <v>19</v>
      </c>
      <c r="L237" s="3">
        <v>70</v>
      </c>
      <c r="M237" t="s" s="2">
        <v>17</v>
      </c>
    </row>
    <row r="238" ht="13.55" customHeight="1">
      <c r="A238" s="3">
        <v>25693</v>
      </c>
      <c r="B238" t="s" s="2">
        <v>25</v>
      </c>
      <c r="C238" t="s" s="2">
        <v>14</v>
      </c>
      <c r="D238" s="4">
        <v>30000</v>
      </c>
      <c r="E238" s="3">
        <v>5</v>
      </c>
      <c r="F238" t="s" s="2">
        <v>34</v>
      </c>
      <c r="G238" t="s" s="2">
        <v>22</v>
      </c>
      <c r="H238" t="s" s="2">
        <v>17</v>
      </c>
      <c r="I238" s="3">
        <v>0</v>
      </c>
      <c r="J238" t="s" s="2">
        <v>18</v>
      </c>
      <c r="K238" t="s" s="2">
        <v>19</v>
      </c>
      <c r="L238" s="3">
        <v>44</v>
      </c>
      <c r="M238" t="s" s="2">
        <v>17</v>
      </c>
    </row>
    <row r="239" ht="13.55" customHeight="1">
      <c r="A239" s="3">
        <v>25555</v>
      </c>
      <c r="B239" t="s" s="2">
        <v>13</v>
      </c>
      <c r="C239" t="s" s="2">
        <v>14</v>
      </c>
      <c r="D239" s="4">
        <v>10000</v>
      </c>
      <c r="E239" s="3">
        <v>0</v>
      </c>
      <c r="F239" t="s" s="2">
        <v>21</v>
      </c>
      <c r="G239" t="s" s="2">
        <v>28</v>
      </c>
      <c r="H239" t="s" s="2">
        <v>20</v>
      </c>
      <c r="I239" s="3">
        <v>1</v>
      </c>
      <c r="J239" t="s" s="2">
        <v>18</v>
      </c>
      <c r="K239" t="s" s="2">
        <v>27</v>
      </c>
      <c r="L239" s="3">
        <v>26</v>
      </c>
      <c r="M239" t="s" s="2">
        <v>17</v>
      </c>
    </row>
    <row r="240" ht="13.55" customHeight="1">
      <c r="A240" s="3">
        <v>22006</v>
      </c>
      <c r="B240" t="s" s="2">
        <v>13</v>
      </c>
      <c r="C240" t="s" s="2">
        <v>13</v>
      </c>
      <c r="D240" s="4">
        <v>70000</v>
      </c>
      <c r="E240" s="3">
        <v>5</v>
      </c>
      <c r="F240" t="s" s="2">
        <v>21</v>
      </c>
      <c r="G240" t="s" s="2">
        <v>16</v>
      </c>
      <c r="H240" t="s" s="2">
        <v>17</v>
      </c>
      <c r="I240" s="3">
        <v>3</v>
      </c>
      <c r="J240" t="s" s="2">
        <v>26</v>
      </c>
      <c r="K240" t="s" s="2">
        <v>27</v>
      </c>
      <c r="L240" s="3">
        <v>46</v>
      </c>
      <c r="M240" t="s" s="2">
        <v>20</v>
      </c>
    </row>
    <row r="241" ht="13.55" customHeight="1">
      <c r="A241" s="3">
        <v>20060</v>
      </c>
      <c r="B241" t="s" s="2">
        <v>25</v>
      </c>
      <c r="C241" t="s" s="2">
        <v>14</v>
      </c>
      <c r="D241" s="4">
        <v>30000</v>
      </c>
      <c r="E241" s="3">
        <v>0</v>
      </c>
      <c r="F241" t="s" s="2">
        <v>30</v>
      </c>
      <c r="G241" t="s" s="2">
        <v>28</v>
      </c>
      <c r="H241" t="s" s="2">
        <v>20</v>
      </c>
      <c r="I241" s="3">
        <v>1</v>
      </c>
      <c r="J241" t="s" s="2">
        <v>24</v>
      </c>
      <c r="K241" t="s" s="2">
        <v>19</v>
      </c>
      <c r="L241" s="3">
        <v>34</v>
      </c>
      <c r="M241" t="s" s="2">
        <v>17</v>
      </c>
    </row>
    <row r="242" ht="13.55" customHeight="1">
      <c r="A242" s="3">
        <v>17702</v>
      </c>
      <c r="B242" t="s" s="2">
        <v>13</v>
      </c>
      <c r="C242" t="s" s="2">
        <v>13</v>
      </c>
      <c r="D242" s="4">
        <v>10000</v>
      </c>
      <c r="E242" s="3">
        <v>1</v>
      </c>
      <c r="F242" t="s" s="2">
        <v>34</v>
      </c>
      <c r="G242" t="s" s="2">
        <v>28</v>
      </c>
      <c r="H242" t="s" s="2">
        <v>17</v>
      </c>
      <c r="I242" s="3">
        <v>0</v>
      </c>
      <c r="J242" t="s" s="2">
        <v>18</v>
      </c>
      <c r="K242" t="s" s="2">
        <v>19</v>
      </c>
      <c r="L242" s="3">
        <v>37</v>
      </c>
      <c r="M242" t="s" s="2">
        <v>20</v>
      </c>
    </row>
    <row r="243" ht="13.55" customHeight="1">
      <c r="A243" s="3">
        <v>12503</v>
      </c>
      <c r="B243" t="s" s="2">
        <v>25</v>
      </c>
      <c r="C243" t="s" s="2">
        <v>14</v>
      </c>
      <c r="D243" s="4">
        <v>30000</v>
      </c>
      <c r="E243" s="3">
        <v>3</v>
      </c>
      <c r="F243" t="s" s="2">
        <v>21</v>
      </c>
      <c r="G243" t="s" s="2">
        <v>22</v>
      </c>
      <c r="H243" t="s" s="2">
        <v>17</v>
      </c>
      <c r="I243" s="3">
        <v>2</v>
      </c>
      <c r="J243" t="s" s="2">
        <v>18</v>
      </c>
      <c r="K243" t="s" s="2">
        <v>19</v>
      </c>
      <c r="L243" s="3">
        <v>27</v>
      </c>
      <c r="M243" t="s" s="2">
        <v>20</v>
      </c>
    </row>
    <row r="244" ht="13.55" customHeight="1">
      <c r="A244" s="3">
        <v>23908</v>
      </c>
      <c r="B244" t="s" s="2">
        <v>25</v>
      </c>
      <c r="C244" t="s" s="2">
        <v>13</v>
      </c>
      <c r="D244" s="4">
        <v>30000</v>
      </c>
      <c r="E244" s="3">
        <v>1</v>
      </c>
      <c r="F244" t="s" s="2">
        <v>15</v>
      </c>
      <c r="G244" t="s" s="2">
        <v>22</v>
      </c>
      <c r="H244" t="s" s="2">
        <v>20</v>
      </c>
      <c r="I244" s="3">
        <v>1</v>
      </c>
      <c r="J244" t="s" s="2">
        <v>18</v>
      </c>
      <c r="K244" t="s" s="2">
        <v>19</v>
      </c>
      <c r="L244" s="3">
        <v>39</v>
      </c>
      <c r="M244" t="s" s="2">
        <v>17</v>
      </c>
    </row>
    <row r="245" ht="13.55" customHeight="1">
      <c r="A245" s="3">
        <v>22527</v>
      </c>
      <c r="B245" t="s" s="2">
        <v>25</v>
      </c>
      <c r="C245" t="s" s="2">
        <v>14</v>
      </c>
      <c r="D245" s="4">
        <v>20000</v>
      </c>
      <c r="E245" s="3">
        <v>0</v>
      </c>
      <c r="F245" t="s" s="2">
        <v>30</v>
      </c>
      <c r="G245" t="s" s="2">
        <v>28</v>
      </c>
      <c r="H245" t="s" s="2">
        <v>20</v>
      </c>
      <c r="I245" s="3">
        <v>1</v>
      </c>
      <c r="J245" t="s" s="2">
        <v>24</v>
      </c>
      <c r="K245" t="s" s="2">
        <v>19</v>
      </c>
      <c r="L245" s="3">
        <v>29</v>
      </c>
      <c r="M245" t="s" s="2">
        <v>20</v>
      </c>
    </row>
    <row r="246" ht="13.55" customHeight="1">
      <c r="A246" s="3">
        <v>19057</v>
      </c>
      <c r="B246" t="s" s="2">
        <v>13</v>
      </c>
      <c r="C246" t="s" s="2">
        <v>14</v>
      </c>
      <c r="D246" s="4">
        <v>120000</v>
      </c>
      <c r="E246" s="3">
        <v>3</v>
      </c>
      <c r="F246" t="s" s="2">
        <v>15</v>
      </c>
      <c r="G246" t="s" s="2">
        <v>31</v>
      </c>
      <c r="H246" t="s" s="2">
        <v>20</v>
      </c>
      <c r="I246" s="3">
        <v>2</v>
      </c>
      <c r="J246" t="s" s="2">
        <v>33</v>
      </c>
      <c r="K246" t="s" s="2">
        <v>19</v>
      </c>
      <c r="L246" s="3">
        <v>52</v>
      </c>
      <c r="M246" t="s" s="2">
        <v>17</v>
      </c>
    </row>
    <row r="247" ht="13.55" customHeight="1">
      <c r="A247" s="3">
        <v>18494</v>
      </c>
      <c r="B247" t="s" s="2">
        <v>13</v>
      </c>
      <c r="C247" t="s" s="2">
        <v>13</v>
      </c>
      <c r="D247" s="4">
        <v>110000</v>
      </c>
      <c r="E247" s="3">
        <v>5</v>
      </c>
      <c r="F247" t="s" s="2">
        <v>15</v>
      </c>
      <c r="G247" t="s" s="2">
        <v>31</v>
      </c>
      <c r="H247" t="s" s="2">
        <v>17</v>
      </c>
      <c r="I247" s="3">
        <v>4</v>
      </c>
      <c r="J247" t="s" s="2">
        <v>24</v>
      </c>
      <c r="K247" t="s" s="2">
        <v>27</v>
      </c>
      <c r="L247" s="3">
        <v>48</v>
      </c>
      <c r="M247" t="s" s="2">
        <v>17</v>
      </c>
    </row>
    <row r="248" ht="13.55" customHeight="1">
      <c r="A248" s="3">
        <v>11249</v>
      </c>
      <c r="B248" t="s" s="2">
        <v>13</v>
      </c>
      <c r="C248" t="s" s="2">
        <v>14</v>
      </c>
      <c r="D248" s="4">
        <v>130000</v>
      </c>
      <c r="E248" s="3">
        <v>3</v>
      </c>
      <c r="F248" t="s" s="2">
        <v>21</v>
      </c>
      <c r="G248" t="s" s="2">
        <v>23</v>
      </c>
      <c r="H248" t="s" s="2">
        <v>17</v>
      </c>
      <c r="I248" s="3">
        <v>3</v>
      </c>
      <c r="J248" t="s" s="2">
        <v>18</v>
      </c>
      <c r="K248" t="s" s="2">
        <v>19</v>
      </c>
      <c r="L248" s="3">
        <v>51</v>
      </c>
      <c r="M248" t="s" s="2">
        <v>17</v>
      </c>
    </row>
    <row r="249" ht="13.55" customHeight="1">
      <c r="A249" s="3">
        <v>21568</v>
      </c>
      <c r="B249" t="s" s="2">
        <v>13</v>
      </c>
      <c r="C249" t="s" s="2">
        <v>14</v>
      </c>
      <c r="D249" s="4">
        <v>100000</v>
      </c>
      <c r="E249" s="3">
        <v>0</v>
      </c>
      <c r="F249" t="s" s="2">
        <v>30</v>
      </c>
      <c r="G249" t="s" s="2">
        <v>31</v>
      </c>
      <c r="H249" t="s" s="2">
        <v>17</v>
      </c>
      <c r="I249" s="3">
        <v>4</v>
      </c>
      <c r="J249" t="s" s="2">
        <v>33</v>
      </c>
      <c r="K249" t="s" s="2">
        <v>27</v>
      </c>
      <c r="L249" s="3">
        <v>34</v>
      </c>
      <c r="M249" t="s" s="2">
        <v>17</v>
      </c>
    </row>
    <row r="250" ht="13.55" customHeight="1">
      <c r="A250" s="3">
        <v>13981</v>
      </c>
      <c r="B250" t="s" s="2">
        <v>13</v>
      </c>
      <c r="C250" t="s" s="2">
        <v>14</v>
      </c>
      <c r="D250" s="4">
        <v>10000</v>
      </c>
      <c r="E250" s="3">
        <v>5</v>
      </c>
      <c r="F250" t="s" s="2">
        <v>30</v>
      </c>
      <c r="G250" t="s" s="2">
        <v>16</v>
      </c>
      <c r="H250" t="s" s="2">
        <v>20</v>
      </c>
      <c r="I250" s="3">
        <v>3</v>
      </c>
      <c r="J250" t="s" s="2">
        <v>29</v>
      </c>
      <c r="K250" t="s" s="2">
        <v>27</v>
      </c>
      <c r="L250" s="3">
        <v>62</v>
      </c>
      <c r="M250" t="s" s="2">
        <v>20</v>
      </c>
    </row>
    <row r="251" ht="13.55" customHeight="1">
      <c r="A251" s="3">
        <v>23432</v>
      </c>
      <c r="B251" t="s" s="2">
        <v>25</v>
      </c>
      <c r="C251" t="s" s="2">
        <v>13</v>
      </c>
      <c r="D251" s="4">
        <v>70000</v>
      </c>
      <c r="E251" s="3">
        <v>0</v>
      </c>
      <c r="F251" t="s" s="2">
        <v>15</v>
      </c>
      <c r="G251" t="s" s="2">
        <v>23</v>
      </c>
      <c r="H251" t="s" s="2">
        <v>17</v>
      </c>
      <c r="I251" s="3">
        <v>1</v>
      </c>
      <c r="J251" t="s" s="2">
        <v>26</v>
      </c>
      <c r="K251" t="s" s="2">
        <v>27</v>
      </c>
      <c r="L251" s="3">
        <v>37</v>
      </c>
      <c r="M251" t="s" s="2">
        <v>17</v>
      </c>
    </row>
    <row r="252" ht="13.55" customHeight="1">
      <c r="A252" s="3">
        <v>22931</v>
      </c>
      <c r="B252" t="s" s="2">
        <v>13</v>
      </c>
      <c r="C252" t="s" s="2">
        <v>13</v>
      </c>
      <c r="D252" s="4">
        <v>100000</v>
      </c>
      <c r="E252" s="3">
        <v>5</v>
      </c>
      <c r="F252" t="s" s="2">
        <v>34</v>
      </c>
      <c r="G252" t="s" s="2">
        <v>31</v>
      </c>
      <c r="H252" t="s" s="2">
        <v>20</v>
      </c>
      <c r="I252" s="3">
        <v>1</v>
      </c>
      <c r="J252" t="s" s="2">
        <v>29</v>
      </c>
      <c r="K252" t="s" s="2">
        <v>27</v>
      </c>
      <c r="L252" s="3">
        <v>78</v>
      </c>
      <c r="M252" t="s" s="2">
        <v>17</v>
      </c>
    </row>
    <row r="253" ht="13.55" customHeight="1">
      <c r="A253" s="3">
        <v>18172</v>
      </c>
      <c r="B253" t="s" s="2">
        <v>13</v>
      </c>
      <c r="C253" t="s" s="2">
        <v>13</v>
      </c>
      <c r="D253" s="4">
        <v>130000</v>
      </c>
      <c r="E253" s="3">
        <v>4</v>
      </c>
      <c r="F253" t="s" s="2">
        <v>30</v>
      </c>
      <c r="G253" t="s" s="2">
        <v>23</v>
      </c>
      <c r="H253" t="s" s="2">
        <v>17</v>
      </c>
      <c r="I253" s="3">
        <v>3</v>
      </c>
      <c r="J253" t="s" s="2">
        <v>18</v>
      </c>
      <c r="K253" t="s" s="2">
        <v>19</v>
      </c>
      <c r="L253" s="3">
        <v>55</v>
      </c>
      <c r="M253" t="s" s="2">
        <v>20</v>
      </c>
    </row>
    <row r="254" ht="13.55" customHeight="1">
      <c r="A254" s="3">
        <v>12666</v>
      </c>
      <c r="B254" t="s" s="2">
        <v>25</v>
      </c>
      <c r="C254" t="s" s="2">
        <v>13</v>
      </c>
      <c r="D254" s="4">
        <v>60000</v>
      </c>
      <c r="E254" s="3">
        <v>0</v>
      </c>
      <c r="F254" t="s" s="2">
        <v>15</v>
      </c>
      <c r="G254" t="s" s="2">
        <v>23</v>
      </c>
      <c r="H254" t="s" s="2">
        <v>20</v>
      </c>
      <c r="I254" s="3">
        <v>4</v>
      </c>
      <c r="J254" t="s" s="2">
        <v>24</v>
      </c>
      <c r="K254" t="s" s="2">
        <v>27</v>
      </c>
      <c r="L254" s="3">
        <v>31</v>
      </c>
      <c r="M254" t="s" s="2">
        <v>20</v>
      </c>
    </row>
    <row r="255" ht="13.55" customHeight="1">
      <c r="A255" s="3">
        <v>20598</v>
      </c>
      <c r="B255" t="s" s="2">
        <v>13</v>
      </c>
      <c r="C255" t="s" s="2">
        <v>13</v>
      </c>
      <c r="D255" s="4">
        <v>100000</v>
      </c>
      <c r="E255" s="3">
        <v>3</v>
      </c>
      <c r="F255" t="s" s="2">
        <v>32</v>
      </c>
      <c r="G255" t="s" s="2">
        <v>23</v>
      </c>
      <c r="H255" t="s" s="2">
        <v>17</v>
      </c>
      <c r="I255" s="3">
        <v>0</v>
      </c>
      <c r="J255" t="s" s="2">
        <v>33</v>
      </c>
      <c r="K255" t="s" s="2">
        <v>19</v>
      </c>
      <c r="L255" s="3">
        <v>59</v>
      </c>
      <c r="M255" t="s" s="2">
        <v>17</v>
      </c>
    </row>
    <row r="256" ht="13.55" customHeight="1">
      <c r="A256" s="3">
        <v>21375</v>
      </c>
      <c r="B256" t="s" s="2">
        <v>25</v>
      </c>
      <c r="C256" t="s" s="2">
        <v>13</v>
      </c>
      <c r="D256" s="4">
        <v>20000</v>
      </c>
      <c r="E256" s="3">
        <v>2</v>
      </c>
      <c r="F256" t="s" s="2">
        <v>32</v>
      </c>
      <c r="G256" t="s" s="2">
        <v>22</v>
      </c>
      <c r="H256" t="s" s="2">
        <v>17</v>
      </c>
      <c r="I256" s="3">
        <v>2</v>
      </c>
      <c r="J256" t="s" s="2">
        <v>26</v>
      </c>
      <c r="K256" t="s" s="2">
        <v>27</v>
      </c>
      <c r="L256" s="3">
        <v>57</v>
      </c>
      <c r="M256" t="s" s="2">
        <v>20</v>
      </c>
    </row>
    <row r="257" ht="13.55" customHeight="1">
      <c r="A257" s="3">
        <v>20839</v>
      </c>
      <c r="B257" t="s" s="2">
        <v>25</v>
      </c>
      <c r="C257" t="s" s="2">
        <v>14</v>
      </c>
      <c r="D257" s="4">
        <v>30000</v>
      </c>
      <c r="E257" s="3">
        <v>3</v>
      </c>
      <c r="F257" t="s" s="2">
        <v>34</v>
      </c>
      <c r="G257" t="s" s="2">
        <v>22</v>
      </c>
      <c r="H257" t="s" s="2">
        <v>17</v>
      </c>
      <c r="I257" s="3">
        <v>0</v>
      </c>
      <c r="J257" t="s" s="2">
        <v>18</v>
      </c>
      <c r="K257" t="s" s="2">
        <v>19</v>
      </c>
      <c r="L257" s="3">
        <v>47</v>
      </c>
      <c r="M257" t="s" s="2">
        <v>17</v>
      </c>
    </row>
    <row r="258" ht="13.55" customHeight="1">
      <c r="A258" s="3">
        <v>21738</v>
      </c>
      <c r="B258" t="s" s="2">
        <v>13</v>
      </c>
      <c r="C258" t="s" s="2">
        <v>13</v>
      </c>
      <c r="D258" s="4">
        <v>20000</v>
      </c>
      <c r="E258" s="3">
        <v>1</v>
      </c>
      <c r="F258" t="s" s="2">
        <v>34</v>
      </c>
      <c r="G258" t="s" s="2">
        <v>22</v>
      </c>
      <c r="H258" t="s" s="2">
        <v>17</v>
      </c>
      <c r="I258" s="3">
        <v>0</v>
      </c>
      <c r="J258" t="s" s="2">
        <v>18</v>
      </c>
      <c r="K258" t="s" s="2">
        <v>19</v>
      </c>
      <c r="L258" s="3">
        <v>43</v>
      </c>
      <c r="M258" t="s" s="2">
        <v>20</v>
      </c>
    </row>
    <row r="259" ht="13.55" customHeight="1">
      <c r="A259" s="3">
        <v>14164</v>
      </c>
      <c r="B259" t="s" s="2">
        <v>25</v>
      </c>
      <c r="C259" t="s" s="2">
        <v>14</v>
      </c>
      <c r="D259" s="4">
        <v>50000</v>
      </c>
      <c r="E259" s="3">
        <v>0</v>
      </c>
      <c r="F259" t="s" s="2">
        <v>34</v>
      </c>
      <c r="G259" t="s" s="2">
        <v>16</v>
      </c>
      <c r="H259" t="s" s="2">
        <v>17</v>
      </c>
      <c r="I259" s="3">
        <v>0</v>
      </c>
      <c r="J259" t="s" s="2">
        <v>18</v>
      </c>
      <c r="K259" t="s" s="2">
        <v>19</v>
      </c>
      <c r="L259" s="3">
        <v>36</v>
      </c>
      <c r="M259" t="s" s="2">
        <v>17</v>
      </c>
    </row>
    <row r="260" ht="13.55" customHeight="1">
      <c r="A260" s="3">
        <v>14193</v>
      </c>
      <c r="B260" t="s" s="2">
        <v>25</v>
      </c>
      <c r="C260" t="s" s="2">
        <v>14</v>
      </c>
      <c r="D260" s="4">
        <v>100000</v>
      </c>
      <c r="E260" s="3">
        <v>3</v>
      </c>
      <c r="F260" t="s" s="2">
        <v>21</v>
      </c>
      <c r="G260" t="s" s="2">
        <v>31</v>
      </c>
      <c r="H260" t="s" s="2">
        <v>17</v>
      </c>
      <c r="I260" s="3">
        <v>4</v>
      </c>
      <c r="J260" t="s" s="2">
        <v>33</v>
      </c>
      <c r="K260" t="s" s="2">
        <v>19</v>
      </c>
      <c r="L260" s="3">
        <v>56</v>
      </c>
      <c r="M260" t="s" s="2">
        <v>20</v>
      </c>
    </row>
    <row r="261" ht="13.55" customHeight="1">
      <c r="A261" s="3">
        <v>12705</v>
      </c>
      <c r="B261" t="s" s="2">
        <v>13</v>
      </c>
      <c r="C261" t="s" s="2">
        <v>13</v>
      </c>
      <c r="D261" s="4">
        <v>150000</v>
      </c>
      <c r="E261" s="3">
        <v>0</v>
      </c>
      <c r="F261" t="s" s="2">
        <v>15</v>
      </c>
      <c r="G261" t="s" s="2">
        <v>31</v>
      </c>
      <c r="H261" t="s" s="2">
        <v>17</v>
      </c>
      <c r="I261" s="3">
        <v>4</v>
      </c>
      <c r="J261" t="s" s="2">
        <v>18</v>
      </c>
      <c r="K261" t="s" s="2">
        <v>27</v>
      </c>
      <c r="L261" s="3">
        <v>37</v>
      </c>
      <c r="M261" t="s" s="2">
        <v>17</v>
      </c>
    </row>
    <row r="262" ht="13.55" customHeight="1">
      <c r="A262" s="3">
        <v>22672</v>
      </c>
      <c r="B262" t="s" s="2">
        <v>25</v>
      </c>
      <c r="C262" t="s" s="2">
        <v>14</v>
      </c>
      <c r="D262" s="4">
        <v>30000</v>
      </c>
      <c r="E262" s="3">
        <v>2</v>
      </c>
      <c r="F262" t="s" s="2">
        <v>21</v>
      </c>
      <c r="G262" t="s" s="2">
        <v>22</v>
      </c>
      <c r="H262" t="s" s="2">
        <v>17</v>
      </c>
      <c r="I262" s="3">
        <v>0</v>
      </c>
      <c r="J262" t="s" s="2">
        <v>18</v>
      </c>
      <c r="K262" t="s" s="2">
        <v>19</v>
      </c>
      <c r="L262" s="3">
        <v>43</v>
      </c>
      <c r="M262" t="s" s="2">
        <v>20</v>
      </c>
    </row>
    <row r="263" ht="13.55" customHeight="1">
      <c r="A263" s="3">
        <v>26219</v>
      </c>
      <c r="B263" t="s" s="2">
        <v>13</v>
      </c>
      <c r="C263" t="s" s="2">
        <v>14</v>
      </c>
      <c r="D263" s="4">
        <v>40000</v>
      </c>
      <c r="E263" s="3">
        <v>1</v>
      </c>
      <c r="F263" t="s" s="2">
        <v>15</v>
      </c>
      <c r="G263" t="s" s="2">
        <v>16</v>
      </c>
      <c r="H263" t="s" s="2">
        <v>17</v>
      </c>
      <c r="I263" s="3">
        <v>1</v>
      </c>
      <c r="J263" t="s" s="2">
        <v>29</v>
      </c>
      <c r="K263" t="s" s="2">
        <v>19</v>
      </c>
      <c r="L263" s="3">
        <v>33</v>
      </c>
      <c r="M263" t="s" s="2">
        <v>17</v>
      </c>
    </row>
    <row r="264" ht="13.55" customHeight="1">
      <c r="A264" s="3">
        <v>28468</v>
      </c>
      <c r="B264" t="s" s="2">
        <v>13</v>
      </c>
      <c r="C264" t="s" s="2">
        <v>14</v>
      </c>
      <c r="D264" s="4">
        <v>10000</v>
      </c>
      <c r="E264" s="3">
        <v>2</v>
      </c>
      <c r="F264" t="s" s="2">
        <v>21</v>
      </c>
      <c r="G264" t="s" s="2">
        <v>28</v>
      </c>
      <c r="H264" t="s" s="2">
        <v>17</v>
      </c>
      <c r="I264" s="3">
        <v>0</v>
      </c>
      <c r="J264" t="s" s="2">
        <v>29</v>
      </c>
      <c r="K264" t="s" s="2">
        <v>19</v>
      </c>
      <c r="L264" s="3">
        <v>51</v>
      </c>
      <c r="M264" t="s" s="2">
        <v>20</v>
      </c>
    </row>
    <row r="265" ht="13.55" customHeight="1">
      <c r="A265" s="3">
        <v>23419</v>
      </c>
      <c r="B265" t="s" s="2">
        <v>25</v>
      </c>
      <c r="C265" t="s" s="2">
        <v>14</v>
      </c>
      <c r="D265" s="4">
        <v>70000</v>
      </c>
      <c r="E265" s="3">
        <v>5</v>
      </c>
      <c r="F265" t="s" s="2">
        <v>15</v>
      </c>
      <c r="G265" t="s" s="2">
        <v>23</v>
      </c>
      <c r="H265" t="s" s="2">
        <v>17</v>
      </c>
      <c r="I265" s="3">
        <v>3</v>
      </c>
      <c r="J265" t="s" s="2">
        <v>33</v>
      </c>
      <c r="K265" t="s" s="2">
        <v>27</v>
      </c>
      <c r="L265" s="3">
        <v>39</v>
      </c>
      <c r="M265" t="s" s="2">
        <v>20</v>
      </c>
    </row>
    <row r="266" ht="13.55" customHeight="1">
      <c r="A266" s="3">
        <v>17964</v>
      </c>
      <c r="B266" t="s" s="2">
        <v>13</v>
      </c>
      <c r="C266" t="s" s="2">
        <v>13</v>
      </c>
      <c r="D266" s="4">
        <v>40000</v>
      </c>
      <c r="E266" s="3">
        <v>0</v>
      </c>
      <c r="F266" t="s" s="2">
        <v>34</v>
      </c>
      <c r="G266" t="s" s="2">
        <v>22</v>
      </c>
      <c r="H266" t="s" s="2">
        <v>17</v>
      </c>
      <c r="I266" s="3">
        <v>0</v>
      </c>
      <c r="J266" t="s" s="2">
        <v>18</v>
      </c>
      <c r="K266" t="s" s="2">
        <v>19</v>
      </c>
      <c r="L266" s="3">
        <v>37</v>
      </c>
      <c r="M266" t="s" s="2">
        <v>17</v>
      </c>
    </row>
    <row r="267" ht="13.55" customHeight="1">
      <c r="A267" s="3">
        <v>20919</v>
      </c>
      <c r="B267" t="s" s="2">
        <v>25</v>
      </c>
      <c r="C267" t="s" s="2">
        <v>14</v>
      </c>
      <c r="D267" s="4">
        <v>30000</v>
      </c>
      <c r="E267" s="3">
        <v>2</v>
      </c>
      <c r="F267" t="s" s="2">
        <v>21</v>
      </c>
      <c r="G267" t="s" s="2">
        <v>22</v>
      </c>
      <c r="H267" t="s" s="2">
        <v>17</v>
      </c>
      <c r="I267" s="3">
        <v>2</v>
      </c>
      <c r="J267" t="s" s="2">
        <v>18</v>
      </c>
      <c r="K267" t="s" s="2">
        <v>19</v>
      </c>
      <c r="L267" s="3">
        <v>42</v>
      </c>
      <c r="M267" t="s" s="2">
        <v>20</v>
      </c>
    </row>
    <row r="268" ht="13.55" customHeight="1">
      <c r="A268" s="3">
        <v>20927</v>
      </c>
      <c r="B268" t="s" s="2">
        <v>25</v>
      </c>
      <c r="C268" t="s" s="2">
        <v>14</v>
      </c>
      <c r="D268" s="4">
        <v>20000</v>
      </c>
      <c r="E268" s="3">
        <v>5</v>
      </c>
      <c r="F268" t="s" s="2">
        <v>30</v>
      </c>
      <c r="G268" t="s" s="2">
        <v>28</v>
      </c>
      <c r="H268" t="s" s="2">
        <v>17</v>
      </c>
      <c r="I268" s="3">
        <v>2</v>
      </c>
      <c r="J268" t="s" s="2">
        <v>18</v>
      </c>
      <c r="K268" t="s" s="2">
        <v>19</v>
      </c>
      <c r="L268" s="3">
        <v>27</v>
      </c>
      <c r="M268" t="s" s="2">
        <v>20</v>
      </c>
    </row>
    <row r="269" ht="13.55" customHeight="1">
      <c r="A269" s="3">
        <v>13133</v>
      </c>
      <c r="B269" t="s" s="2">
        <v>25</v>
      </c>
      <c r="C269" t="s" s="2">
        <v>13</v>
      </c>
      <c r="D269" s="4">
        <v>100000</v>
      </c>
      <c r="E269" s="3">
        <v>5</v>
      </c>
      <c r="F269" t="s" s="2">
        <v>15</v>
      </c>
      <c r="G269" t="s" s="2">
        <v>23</v>
      </c>
      <c r="H269" t="s" s="2">
        <v>17</v>
      </c>
      <c r="I269" s="3">
        <v>1</v>
      </c>
      <c r="J269" t="s" s="2">
        <v>26</v>
      </c>
      <c r="K269" t="s" s="2">
        <v>27</v>
      </c>
      <c r="L269" s="3">
        <v>47</v>
      </c>
      <c r="M269" t="s" s="2">
        <v>17</v>
      </c>
    </row>
    <row r="270" ht="13.55" customHeight="1">
      <c r="A270" s="3">
        <v>19626</v>
      </c>
      <c r="B270" t="s" s="2">
        <v>13</v>
      </c>
      <c r="C270" t="s" s="2">
        <v>13</v>
      </c>
      <c r="D270" s="4">
        <v>70000</v>
      </c>
      <c r="E270" s="3">
        <v>5</v>
      </c>
      <c r="F270" t="s" s="2">
        <v>21</v>
      </c>
      <c r="G270" t="s" s="2">
        <v>16</v>
      </c>
      <c r="H270" t="s" s="2">
        <v>17</v>
      </c>
      <c r="I270" s="3">
        <v>3</v>
      </c>
      <c r="J270" t="s" s="2">
        <v>26</v>
      </c>
      <c r="K270" t="s" s="2">
        <v>27</v>
      </c>
      <c r="L270" s="3">
        <v>45</v>
      </c>
      <c r="M270" t="s" s="2">
        <v>20</v>
      </c>
    </row>
    <row r="271" ht="13.55" customHeight="1">
      <c r="A271" s="3">
        <v>21039</v>
      </c>
      <c r="B271" t="s" s="2">
        <v>25</v>
      </c>
      <c r="C271" t="s" s="2">
        <v>14</v>
      </c>
      <c r="D271" s="4">
        <v>50000</v>
      </c>
      <c r="E271" s="3">
        <v>0</v>
      </c>
      <c r="F271" t="s" s="2">
        <v>34</v>
      </c>
      <c r="G271" t="s" s="2">
        <v>16</v>
      </c>
      <c r="H271" t="s" s="2">
        <v>20</v>
      </c>
      <c r="I271" s="3">
        <v>0</v>
      </c>
      <c r="J271" t="s" s="2">
        <v>18</v>
      </c>
      <c r="K271" t="s" s="2">
        <v>19</v>
      </c>
      <c r="L271" s="3">
        <v>37</v>
      </c>
      <c r="M271" t="s" s="2">
        <v>17</v>
      </c>
    </row>
    <row r="272" ht="13.55" customHeight="1">
      <c r="A272" s="3">
        <v>12231</v>
      </c>
      <c r="B272" t="s" s="2">
        <v>25</v>
      </c>
      <c r="C272" t="s" s="2">
        <v>14</v>
      </c>
      <c r="D272" s="4">
        <v>10000</v>
      </c>
      <c r="E272" s="3">
        <v>2</v>
      </c>
      <c r="F272" t="s" s="2">
        <v>21</v>
      </c>
      <c r="G272" t="s" s="2">
        <v>28</v>
      </c>
      <c r="H272" t="s" s="2">
        <v>17</v>
      </c>
      <c r="I272" s="3">
        <v>0</v>
      </c>
      <c r="J272" t="s" s="2">
        <v>18</v>
      </c>
      <c r="K272" t="s" s="2">
        <v>19</v>
      </c>
      <c r="L272" s="3">
        <v>51</v>
      </c>
      <c r="M272" t="s" s="2">
        <v>17</v>
      </c>
    </row>
    <row r="273" ht="13.55" customHeight="1">
      <c r="A273" s="3">
        <v>25665</v>
      </c>
      <c r="B273" t="s" s="2">
        <v>25</v>
      </c>
      <c r="C273" t="s" s="2">
        <v>14</v>
      </c>
      <c r="D273" s="4">
        <v>20000</v>
      </c>
      <c r="E273" s="3">
        <v>0</v>
      </c>
      <c r="F273" t="s" s="2">
        <v>30</v>
      </c>
      <c r="G273" t="s" s="2">
        <v>28</v>
      </c>
      <c r="H273" t="s" s="2">
        <v>20</v>
      </c>
      <c r="I273" s="3">
        <v>1</v>
      </c>
      <c r="J273" t="s" s="2">
        <v>29</v>
      </c>
      <c r="K273" t="s" s="2">
        <v>19</v>
      </c>
      <c r="L273" s="3">
        <v>28</v>
      </c>
      <c r="M273" t="s" s="2">
        <v>20</v>
      </c>
    </row>
    <row r="274" ht="13.55" customHeight="1">
      <c r="A274" s="3">
        <v>24061</v>
      </c>
      <c r="B274" t="s" s="2">
        <v>13</v>
      </c>
      <c r="C274" t="s" s="2">
        <v>13</v>
      </c>
      <c r="D274" s="4">
        <v>10000</v>
      </c>
      <c r="E274" s="3">
        <v>4</v>
      </c>
      <c r="F274" t="s" s="2">
        <v>32</v>
      </c>
      <c r="G274" t="s" s="2">
        <v>28</v>
      </c>
      <c r="H274" t="s" s="2">
        <v>17</v>
      </c>
      <c r="I274" s="3">
        <v>1</v>
      </c>
      <c r="J274" t="s" s="2">
        <v>18</v>
      </c>
      <c r="K274" t="s" s="2">
        <v>19</v>
      </c>
      <c r="L274" s="3">
        <v>40</v>
      </c>
      <c r="M274" t="s" s="2">
        <v>17</v>
      </c>
    </row>
    <row r="275" ht="13.55" customHeight="1">
      <c r="A275" s="3">
        <v>26879</v>
      </c>
      <c r="B275" t="s" s="2">
        <v>25</v>
      </c>
      <c r="C275" t="s" s="2">
        <v>14</v>
      </c>
      <c r="D275" s="4">
        <v>20000</v>
      </c>
      <c r="E275" s="3">
        <v>0</v>
      </c>
      <c r="F275" t="s" s="2">
        <v>30</v>
      </c>
      <c r="G275" t="s" s="2">
        <v>28</v>
      </c>
      <c r="H275" t="s" s="2">
        <v>20</v>
      </c>
      <c r="I275" s="3">
        <v>1</v>
      </c>
      <c r="J275" t="s" s="2">
        <v>24</v>
      </c>
      <c r="K275" t="s" s="2">
        <v>19</v>
      </c>
      <c r="L275" s="3">
        <v>30</v>
      </c>
      <c r="M275" t="s" s="2">
        <v>20</v>
      </c>
    </row>
    <row r="276" ht="13.55" customHeight="1">
      <c r="A276" s="3">
        <v>12284</v>
      </c>
      <c r="B276" t="s" s="2">
        <v>13</v>
      </c>
      <c r="C276" t="s" s="2">
        <v>14</v>
      </c>
      <c r="D276" s="4">
        <v>30000</v>
      </c>
      <c r="E276" s="3">
        <v>0</v>
      </c>
      <c r="F276" t="s" s="2">
        <v>15</v>
      </c>
      <c r="G276" t="s" s="2">
        <v>22</v>
      </c>
      <c r="H276" t="s" s="2">
        <v>20</v>
      </c>
      <c r="I276" s="3">
        <v>0</v>
      </c>
      <c r="J276" t="s" s="2">
        <v>18</v>
      </c>
      <c r="K276" t="s" s="2">
        <v>19</v>
      </c>
      <c r="L276" s="3">
        <v>36</v>
      </c>
      <c r="M276" t="s" s="2">
        <v>17</v>
      </c>
    </row>
    <row r="277" ht="13.55" customHeight="1">
      <c r="A277" s="3">
        <v>26654</v>
      </c>
      <c r="B277" t="s" s="2">
        <v>13</v>
      </c>
      <c r="C277" t="s" s="2">
        <v>14</v>
      </c>
      <c r="D277" s="4">
        <v>90000</v>
      </c>
      <c r="E277" s="3">
        <v>1</v>
      </c>
      <c r="F277" t="s" s="2">
        <v>34</v>
      </c>
      <c r="G277" t="s" s="2">
        <v>31</v>
      </c>
      <c r="H277" t="s" s="2">
        <v>17</v>
      </c>
      <c r="I277" s="3">
        <v>0</v>
      </c>
      <c r="J277" t="s" s="2">
        <v>18</v>
      </c>
      <c r="K277" t="s" s="2">
        <v>27</v>
      </c>
      <c r="L277" s="3">
        <v>37</v>
      </c>
      <c r="M277" t="s" s="2">
        <v>17</v>
      </c>
    </row>
    <row r="278" ht="13.55" customHeight="1">
      <c r="A278" s="3">
        <v>14545</v>
      </c>
      <c r="B278" t="s" s="2">
        <v>13</v>
      </c>
      <c r="C278" t="s" s="2">
        <v>14</v>
      </c>
      <c r="D278" s="4">
        <v>10000</v>
      </c>
      <c r="E278" s="3">
        <v>2</v>
      </c>
      <c r="F278" t="s" s="2">
        <v>21</v>
      </c>
      <c r="G278" t="s" s="2">
        <v>28</v>
      </c>
      <c r="H278" t="s" s="2">
        <v>17</v>
      </c>
      <c r="I278" s="3">
        <v>0</v>
      </c>
      <c r="J278" t="s" s="2">
        <v>29</v>
      </c>
      <c r="K278" t="s" s="2">
        <v>19</v>
      </c>
      <c r="L278" s="3">
        <v>49</v>
      </c>
      <c r="M278" t="s" s="2">
        <v>20</v>
      </c>
    </row>
    <row r="279" ht="13.55" customHeight="1">
      <c r="A279" s="3">
        <v>24201</v>
      </c>
      <c r="B279" t="s" s="2">
        <v>13</v>
      </c>
      <c r="C279" t="s" s="2">
        <v>14</v>
      </c>
      <c r="D279" s="4">
        <v>10000</v>
      </c>
      <c r="E279" s="3">
        <v>2</v>
      </c>
      <c r="F279" t="s" s="2">
        <v>30</v>
      </c>
      <c r="G279" t="s" s="2">
        <v>28</v>
      </c>
      <c r="H279" t="s" s="2">
        <v>17</v>
      </c>
      <c r="I279" s="3">
        <v>0</v>
      </c>
      <c r="J279" t="s" s="2">
        <v>18</v>
      </c>
      <c r="K279" t="s" s="2">
        <v>19</v>
      </c>
      <c r="L279" s="3">
        <v>37</v>
      </c>
      <c r="M279" t="s" s="2">
        <v>17</v>
      </c>
    </row>
    <row r="280" ht="13.55" customHeight="1">
      <c r="A280" s="3">
        <v>20625</v>
      </c>
      <c r="B280" t="s" s="2">
        <v>13</v>
      </c>
      <c r="C280" t="s" s="2">
        <v>13</v>
      </c>
      <c r="D280" s="4">
        <v>100000</v>
      </c>
      <c r="E280" s="3">
        <v>0</v>
      </c>
      <c r="F280" t="s" s="2">
        <v>30</v>
      </c>
      <c r="G280" t="s" s="2">
        <v>31</v>
      </c>
      <c r="H280" t="s" s="2">
        <v>17</v>
      </c>
      <c r="I280" s="3">
        <v>3</v>
      </c>
      <c r="J280" t="s" s="2">
        <v>33</v>
      </c>
      <c r="K280" t="s" s="2">
        <v>27</v>
      </c>
      <c r="L280" s="3">
        <v>35</v>
      </c>
      <c r="M280" t="s" s="2">
        <v>17</v>
      </c>
    </row>
    <row r="281" ht="13.55" customHeight="1">
      <c r="A281" s="3">
        <v>16390</v>
      </c>
      <c r="B281" t="s" s="2">
        <v>25</v>
      </c>
      <c r="C281" t="s" s="2">
        <v>13</v>
      </c>
      <c r="D281" s="4">
        <v>30000</v>
      </c>
      <c r="E281" s="3">
        <v>1</v>
      </c>
      <c r="F281" t="s" s="2">
        <v>15</v>
      </c>
      <c r="G281" t="s" s="2">
        <v>22</v>
      </c>
      <c r="H281" t="s" s="2">
        <v>20</v>
      </c>
      <c r="I281" s="3">
        <v>0</v>
      </c>
      <c r="J281" t="s" s="2">
        <v>18</v>
      </c>
      <c r="K281" t="s" s="2">
        <v>19</v>
      </c>
      <c r="L281" s="3">
        <v>38</v>
      </c>
      <c r="M281" t="s" s="2">
        <v>17</v>
      </c>
    </row>
    <row r="282" ht="13.55" customHeight="1">
      <c r="A282" s="3">
        <v>14804</v>
      </c>
      <c r="B282" t="s" s="2">
        <v>25</v>
      </c>
      <c r="C282" t="s" s="2">
        <v>14</v>
      </c>
      <c r="D282" s="4">
        <v>10000</v>
      </c>
      <c r="E282" s="3">
        <v>3</v>
      </c>
      <c r="F282" t="s" s="2">
        <v>32</v>
      </c>
      <c r="G282" t="s" s="2">
        <v>28</v>
      </c>
      <c r="H282" t="s" s="2">
        <v>17</v>
      </c>
      <c r="I282" s="3">
        <v>2</v>
      </c>
      <c r="J282" t="s" s="2">
        <v>18</v>
      </c>
      <c r="K282" t="s" s="2">
        <v>19</v>
      </c>
      <c r="L282" s="3">
        <v>43</v>
      </c>
      <c r="M282" t="s" s="2">
        <v>20</v>
      </c>
    </row>
    <row r="283" ht="13.55" customHeight="1">
      <c r="A283" s="3">
        <v>12629</v>
      </c>
      <c r="B283" t="s" s="2">
        <v>25</v>
      </c>
      <c r="C283" t="s" s="2">
        <v>13</v>
      </c>
      <c r="D283" s="4">
        <v>20000</v>
      </c>
      <c r="E283" s="3">
        <v>1</v>
      </c>
      <c r="F283" t="s" s="2">
        <v>21</v>
      </c>
      <c r="G283" t="s" s="2">
        <v>28</v>
      </c>
      <c r="H283" t="s" s="2">
        <v>20</v>
      </c>
      <c r="I283" s="3">
        <v>0</v>
      </c>
      <c r="J283" t="s" s="2">
        <v>18</v>
      </c>
      <c r="K283" t="s" s="2">
        <v>19</v>
      </c>
      <c r="L283" s="3">
        <v>37</v>
      </c>
      <c r="M283" t="s" s="2">
        <v>20</v>
      </c>
    </row>
    <row r="284" ht="13.55" customHeight="1">
      <c r="A284" s="3">
        <v>14696</v>
      </c>
      <c r="B284" t="s" s="2">
        <v>25</v>
      </c>
      <c r="C284" t="s" s="2">
        <v>13</v>
      </c>
      <c r="D284" s="4">
        <v>10000</v>
      </c>
      <c r="E284" s="3">
        <v>0</v>
      </c>
      <c r="F284" t="s" s="2">
        <v>32</v>
      </c>
      <c r="G284" t="s" s="2">
        <v>28</v>
      </c>
      <c r="H284" t="s" s="2">
        <v>20</v>
      </c>
      <c r="I284" s="3">
        <v>2</v>
      </c>
      <c r="J284" t="s" s="2">
        <v>18</v>
      </c>
      <c r="K284" t="s" s="2">
        <v>19</v>
      </c>
      <c r="L284" s="3">
        <v>34</v>
      </c>
      <c r="M284" t="s" s="2">
        <v>20</v>
      </c>
    </row>
    <row r="285" ht="13.55" customHeight="1">
      <c r="A285" s="3">
        <v>22005</v>
      </c>
      <c r="B285" t="s" s="2">
        <v>13</v>
      </c>
      <c r="C285" t="s" s="2">
        <v>14</v>
      </c>
      <c r="D285" s="4">
        <v>70000</v>
      </c>
      <c r="E285" s="3">
        <v>5</v>
      </c>
      <c r="F285" t="s" s="2">
        <v>21</v>
      </c>
      <c r="G285" t="s" s="2">
        <v>16</v>
      </c>
      <c r="H285" t="s" s="2">
        <v>20</v>
      </c>
      <c r="I285" s="3">
        <v>3</v>
      </c>
      <c r="J285" t="s" s="2">
        <v>26</v>
      </c>
      <c r="K285" t="s" s="2">
        <v>27</v>
      </c>
      <c r="L285" s="3">
        <v>46</v>
      </c>
      <c r="M285" t="s" s="2">
        <v>20</v>
      </c>
    </row>
    <row r="286" ht="13.55" customHeight="1">
      <c r="A286" s="3">
        <v>14544</v>
      </c>
      <c r="B286" t="s" s="2">
        <v>25</v>
      </c>
      <c r="C286" t="s" s="2">
        <v>13</v>
      </c>
      <c r="D286" s="4">
        <v>10000</v>
      </c>
      <c r="E286" s="3">
        <v>1</v>
      </c>
      <c r="F286" t="s" s="2">
        <v>21</v>
      </c>
      <c r="G286" t="s" s="2">
        <v>28</v>
      </c>
      <c r="H286" t="s" s="2">
        <v>17</v>
      </c>
      <c r="I286" s="3">
        <v>0</v>
      </c>
      <c r="J286" t="s" s="2">
        <v>18</v>
      </c>
      <c r="K286" t="s" s="2">
        <v>19</v>
      </c>
      <c r="L286" s="3">
        <v>49</v>
      </c>
      <c r="M286" t="s" s="2">
        <v>20</v>
      </c>
    </row>
    <row r="287" ht="13.55" customHeight="1">
      <c r="A287" s="3">
        <v>14312</v>
      </c>
      <c r="B287" t="s" s="2">
        <v>13</v>
      </c>
      <c r="C287" t="s" s="2">
        <v>14</v>
      </c>
      <c r="D287" s="4">
        <v>60000</v>
      </c>
      <c r="E287" s="3">
        <v>1</v>
      </c>
      <c r="F287" t="s" s="2">
        <v>21</v>
      </c>
      <c r="G287" t="s" s="2">
        <v>16</v>
      </c>
      <c r="H287" t="s" s="2">
        <v>17</v>
      </c>
      <c r="I287" s="3">
        <v>1</v>
      </c>
      <c r="J287" t="s" s="2">
        <v>26</v>
      </c>
      <c r="K287" t="s" s="2">
        <v>27</v>
      </c>
      <c r="L287" s="3">
        <v>45</v>
      </c>
      <c r="M287" t="s" s="2">
        <v>20</v>
      </c>
    </row>
    <row r="288" ht="13.55" customHeight="1">
      <c r="A288" s="3">
        <v>29120</v>
      </c>
      <c r="B288" t="s" s="2">
        <v>25</v>
      </c>
      <c r="C288" t="s" s="2">
        <v>14</v>
      </c>
      <c r="D288" s="4">
        <v>100000</v>
      </c>
      <c r="E288" s="3">
        <v>1</v>
      </c>
      <c r="F288" t="s" s="2">
        <v>15</v>
      </c>
      <c r="G288" t="s" s="2">
        <v>31</v>
      </c>
      <c r="H288" t="s" s="2">
        <v>17</v>
      </c>
      <c r="I288" s="3">
        <v>4</v>
      </c>
      <c r="J288" t="s" s="2">
        <v>24</v>
      </c>
      <c r="K288" t="s" s="2">
        <v>27</v>
      </c>
      <c r="L288" s="3">
        <v>48</v>
      </c>
      <c r="M288" t="s" s="2">
        <v>20</v>
      </c>
    </row>
    <row r="289" ht="13.55" customHeight="1">
      <c r="A289" s="3">
        <v>24187</v>
      </c>
      <c r="B289" t="s" s="2">
        <v>25</v>
      </c>
      <c r="C289" t="s" s="2">
        <v>14</v>
      </c>
      <c r="D289" s="4">
        <v>30000</v>
      </c>
      <c r="E289" s="3">
        <v>3</v>
      </c>
      <c r="F289" t="s" s="2">
        <v>34</v>
      </c>
      <c r="G289" t="s" s="2">
        <v>22</v>
      </c>
      <c r="H289" t="s" s="2">
        <v>20</v>
      </c>
      <c r="I289" s="3">
        <v>0</v>
      </c>
      <c r="J289" t="s" s="2">
        <v>18</v>
      </c>
      <c r="K289" t="s" s="2">
        <v>19</v>
      </c>
      <c r="L289" s="3">
        <v>46</v>
      </c>
      <c r="M289" t="s" s="2">
        <v>17</v>
      </c>
    </row>
    <row r="290" ht="13.55" customHeight="1">
      <c r="A290" s="3">
        <v>15758</v>
      </c>
      <c r="B290" t="s" s="2">
        <v>13</v>
      </c>
      <c r="C290" t="s" s="2">
        <v>13</v>
      </c>
      <c r="D290" s="4">
        <v>130000</v>
      </c>
      <c r="E290" s="3">
        <v>0</v>
      </c>
      <c r="F290" t="s" s="2">
        <v>34</v>
      </c>
      <c r="G290" t="s" s="2">
        <v>31</v>
      </c>
      <c r="H290" t="s" s="2">
        <v>17</v>
      </c>
      <c r="I290" s="3">
        <v>0</v>
      </c>
      <c r="J290" t="s" s="2">
        <v>26</v>
      </c>
      <c r="K290" t="s" s="2">
        <v>27</v>
      </c>
      <c r="L290" s="3">
        <v>48</v>
      </c>
      <c r="M290" t="s" s="2">
        <v>20</v>
      </c>
    </row>
    <row r="291" ht="13.55" customHeight="1">
      <c r="A291" s="3">
        <v>29094</v>
      </c>
      <c r="B291" t="s" s="2">
        <v>13</v>
      </c>
      <c r="C291" t="s" s="2">
        <v>13</v>
      </c>
      <c r="D291" s="4">
        <v>30000</v>
      </c>
      <c r="E291" s="3">
        <v>3</v>
      </c>
      <c r="F291" t="s" s="2">
        <v>30</v>
      </c>
      <c r="G291" t="s" s="2">
        <v>16</v>
      </c>
      <c r="H291" t="s" s="2">
        <v>17</v>
      </c>
      <c r="I291" s="3">
        <v>2</v>
      </c>
      <c r="J291" t="s" s="2">
        <v>26</v>
      </c>
      <c r="K291" t="s" s="2">
        <v>27</v>
      </c>
      <c r="L291" s="3">
        <v>54</v>
      </c>
      <c r="M291" t="s" s="2">
        <v>17</v>
      </c>
    </row>
    <row r="292" ht="13.55" customHeight="1">
      <c r="A292" s="3">
        <v>28319</v>
      </c>
      <c r="B292" t="s" s="2">
        <v>25</v>
      </c>
      <c r="C292" t="s" s="2">
        <v>14</v>
      </c>
      <c r="D292" s="4">
        <v>60000</v>
      </c>
      <c r="E292" s="3">
        <v>1</v>
      </c>
      <c r="F292" t="s" s="2">
        <v>21</v>
      </c>
      <c r="G292" t="s" s="2">
        <v>16</v>
      </c>
      <c r="H292" t="s" s="2">
        <v>20</v>
      </c>
      <c r="I292" s="3">
        <v>1</v>
      </c>
      <c r="J292" t="s" s="2">
        <v>18</v>
      </c>
      <c r="K292" t="s" s="2">
        <v>27</v>
      </c>
      <c r="L292" s="3">
        <v>46</v>
      </c>
      <c r="M292" t="s" s="2">
        <v>17</v>
      </c>
    </row>
    <row r="293" ht="13.55" customHeight="1">
      <c r="A293" s="3">
        <v>16406</v>
      </c>
      <c r="B293" t="s" s="2">
        <v>13</v>
      </c>
      <c r="C293" t="s" s="2">
        <v>13</v>
      </c>
      <c r="D293" s="4">
        <v>40000</v>
      </c>
      <c r="E293" s="3">
        <v>0</v>
      </c>
      <c r="F293" t="s" s="2">
        <v>15</v>
      </c>
      <c r="G293" t="s" s="2">
        <v>22</v>
      </c>
      <c r="H293" t="s" s="2">
        <v>20</v>
      </c>
      <c r="I293" s="3">
        <v>0</v>
      </c>
      <c r="J293" t="s" s="2">
        <v>18</v>
      </c>
      <c r="K293" t="s" s="2">
        <v>19</v>
      </c>
      <c r="L293" s="3">
        <v>38</v>
      </c>
      <c r="M293" t="s" s="2">
        <v>17</v>
      </c>
    </row>
    <row r="294" ht="13.55" customHeight="1">
      <c r="A294" s="3">
        <v>20923</v>
      </c>
      <c r="B294" t="s" s="2">
        <v>13</v>
      </c>
      <c r="C294" t="s" s="2">
        <v>14</v>
      </c>
      <c r="D294" s="4">
        <v>40000</v>
      </c>
      <c r="E294" s="3">
        <v>1</v>
      </c>
      <c r="F294" t="s" s="2">
        <v>15</v>
      </c>
      <c r="G294" t="s" s="2">
        <v>16</v>
      </c>
      <c r="H294" t="s" s="2">
        <v>17</v>
      </c>
      <c r="I294" s="3">
        <v>0</v>
      </c>
      <c r="J294" t="s" s="2">
        <v>18</v>
      </c>
      <c r="K294" t="s" s="2">
        <v>19</v>
      </c>
      <c r="L294" s="3">
        <v>42</v>
      </c>
      <c r="M294" t="s" s="2">
        <v>17</v>
      </c>
    </row>
    <row r="295" ht="13.55" customHeight="1">
      <c r="A295" s="3">
        <v>11378</v>
      </c>
      <c r="B295" t="s" s="2">
        <v>25</v>
      </c>
      <c r="C295" t="s" s="2">
        <v>14</v>
      </c>
      <c r="D295" s="4">
        <v>10000</v>
      </c>
      <c r="E295" s="3">
        <v>1</v>
      </c>
      <c r="F295" t="s" s="2">
        <v>30</v>
      </c>
      <c r="G295" t="s" s="2">
        <v>28</v>
      </c>
      <c r="H295" t="s" s="2">
        <v>20</v>
      </c>
      <c r="I295" s="3">
        <v>1</v>
      </c>
      <c r="J295" t="s" s="2">
        <v>24</v>
      </c>
      <c r="K295" t="s" s="2">
        <v>19</v>
      </c>
      <c r="L295" s="3">
        <v>46</v>
      </c>
      <c r="M295" t="s" s="2">
        <v>17</v>
      </c>
    </row>
    <row r="296" ht="13.55" customHeight="1">
      <c r="A296" s="3">
        <v>20851</v>
      </c>
      <c r="B296" t="s" s="2">
        <v>25</v>
      </c>
      <c r="C296" t="s" s="2">
        <v>13</v>
      </c>
      <c r="D296" s="4">
        <v>20000</v>
      </c>
      <c r="E296" s="3">
        <v>0</v>
      </c>
      <c r="F296" t="s" s="2">
        <v>21</v>
      </c>
      <c r="G296" t="s" s="2">
        <v>28</v>
      </c>
      <c r="H296" t="s" s="2">
        <v>20</v>
      </c>
      <c r="I296" s="3">
        <v>1</v>
      </c>
      <c r="J296" t="s" s="2">
        <v>24</v>
      </c>
      <c r="K296" t="s" s="2">
        <v>19</v>
      </c>
      <c r="L296" s="3">
        <v>36</v>
      </c>
      <c r="M296" t="s" s="2">
        <v>17</v>
      </c>
    </row>
    <row r="297" ht="13.55" customHeight="1">
      <c r="A297" s="3">
        <v>21557</v>
      </c>
      <c r="B297" t="s" s="2">
        <v>25</v>
      </c>
      <c r="C297" t="s" s="2">
        <v>14</v>
      </c>
      <c r="D297" s="4">
        <v>110000</v>
      </c>
      <c r="E297" s="3">
        <v>0</v>
      </c>
      <c r="F297" t="s" s="2">
        <v>21</v>
      </c>
      <c r="G297" t="s" s="2">
        <v>31</v>
      </c>
      <c r="H297" t="s" s="2">
        <v>17</v>
      </c>
      <c r="I297" s="3">
        <v>3</v>
      </c>
      <c r="J297" t="s" s="2">
        <v>33</v>
      </c>
      <c r="K297" t="s" s="2">
        <v>27</v>
      </c>
      <c r="L297" s="3">
        <v>32</v>
      </c>
      <c r="M297" t="s" s="2">
        <v>17</v>
      </c>
    </row>
    <row r="298" ht="13.55" customHeight="1">
      <c r="A298" s="3">
        <v>26663</v>
      </c>
      <c r="B298" t="s" s="2">
        <v>25</v>
      </c>
      <c r="C298" t="s" s="2">
        <v>14</v>
      </c>
      <c r="D298" s="4">
        <v>60000</v>
      </c>
      <c r="E298" s="3">
        <v>2</v>
      </c>
      <c r="F298" t="s" s="2">
        <v>15</v>
      </c>
      <c r="G298" t="s" s="2">
        <v>23</v>
      </c>
      <c r="H298" t="s" s="2">
        <v>20</v>
      </c>
      <c r="I298" s="3">
        <v>1</v>
      </c>
      <c r="J298" t="s" s="2">
        <v>18</v>
      </c>
      <c r="K298" t="s" s="2">
        <v>27</v>
      </c>
      <c r="L298" s="3">
        <v>39</v>
      </c>
      <c r="M298" t="s" s="2">
        <v>17</v>
      </c>
    </row>
    <row r="299" ht="13.55" customHeight="1">
      <c r="A299" s="3">
        <v>11896</v>
      </c>
      <c r="B299" t="s" s="2">
        <v>13</v>
      </c>
      <c r="C299" t="s" s="2">
        <v>13</v>
      </c>
      <c r="D299" s="4">
        <v>100000</v>
      </c>
      <c r="E299" s="3">
        <v>1</v>
      </c>
      <c r="F299" t="s" s="2">
        <v>34</v>
      </c>
      <c r="G299" t="s" s="2">
        <v>31</v>
      </c>
      <c r="H299" t="s" s="2">
        <v>17</v>
      </c>
      <c r="I299" s="3">
        <v>0</v>
      </c>
      <c r="J299" t="s" s="2">
        <v>24</v>
      </c>
      <c r="K299" t="s" s="2">
        <v>27</v>
      </c>
      <c r="L299" s="3">
        <v>36</v>
      </c>
      <c r="M299" t="s" s="2">
        <v>17</v>
      </c>
    </row>
    <row r="300" ht="13.55" customHeight="1">
      <c r="A300" s="3">
        <v>14189</v>
      </c>
      <c r="B300" t="s" s="2">
        <v>13</v>
      </c>
      <c r="C300" t="s" s="2">
        <v>14</v>
      </c>
      <c r="D300" s="4">
        <v>90000</v>
      </c>
      <c r="E300" s="3">
        <v>4</v>
      </c>
      <c r="F300" t="s" s="2">
        <v>30</v>
      </c>
      <c r="G300" t="s" s="2">
        <v>23</v>
      </c>
      <c r="H300" t="s" s="2">
        <v>20</v>
      </c>
      <c r="I300" s="3">
        <v>2</v>
      </c>
      <c r="J300" t="s" s="2">
        <v>24</v>
      </c>
      <c r="K300" t="s" s="2">
        <v>19</v>
      </c>
      <c r="L300" s="3">
        <v>54</v>
      </c>
      <c r="M300" t="s" s="2">
        <v>17</v>
      </c>
    </row>
    <row r="301" ht="13.55" customHeight="1">
      <c r="A301" s="3">
        <v>13136</v>
      </c>
      <c r="B301" t="s" s="2">
        <v>13</v>
      </c>
      <c r="C301" t="s" s="2">
        <v>14</v>
      </c>
      <c r="D301" s="4">
        <v>30000</v>
      </c>
      <c r="E301" s="3">
        <v>2</v>
      </c>
      <c r="F301" t="s" s="2">
        <v>21</v>
      </c>
      <c r="G301" t="s" s="2">
        <v>22</v>
      </c>
      <c r="H301" t="s" s="2">
        <v>20</v>
      </c>
      <c r="I301" s="3">
        <v>2</v>
      </c>
      <c r="J301" t="s" s="2">
        <v>26</v>
      </c>
      <c r="K301" t="s" s="2">
        <v>27</v>
      </c>
      <c r="L301" s="3">
        <v>69</v>
      </c>
      <c r="M301" t="s" s="2">
        <v>20</v>
      </c>
    </row>
    <row r="302" ht="13.55" customHeight="1">
      <c r="A302" s="3">
        <v>25906</v>
      </c>
      <c r="B302" t="s" s="2">
        <v>25</v>
      </c>
      <c r="C302" t="s" s="2">
        <v>14</v>
      </c>
      <c r="D302" s="4">
        <v>10000</v>
      </c>
      <c r="E302" s="3">
        <v>5</v>
      </c>
      <c r="F302" t="s" s="2">
        <v>30</v>
      </c>
      <c r="G302" t="s" s="2">
        <v>16</v>
      </c>
      <c r="H302" t="s" s="2">
        <v>20</v>
      </c>
      <c r="I302" s="3">
        <v>2</v>
      </c>
      <c r="J302" t="s" s="2">
        <v>29</v>
      </c>
      <c r="K302" t="s" s="2">
        <v>27</v>
      </c>
      <c r="L302" s="3">
        <v>62</v>
      </c>
      <c r="M302" t="s" s="2">
        <v>20</v>
      </c>
    </row>
    <row r="303" ht="13.55" customHeight="1">
      <c r="A303" s="3">
        <v>17926</v>
      </c>
      <c r="B303" t="s" s="2">
        <v>25</v>
      </c>
      <c r="C303" t="s" s="2">
        <v>14</v>
      </c>
      <c r="D303" s="4">
        <v>40000</v>
      </c>
      <c r="E303" s="3">
        <v>0</v>
      </c>
      <c r="F303" t="s" s="2">
        <v>15</v>
      </c>
      <c r="G303" t="s" s="2">
        <v>22</v>
      </c>
      <c r="H303" t="s" s="2">
        <v>20</v>
      </c>
      <c r="I303" s="3">
        <v>0</v>
      </c>
      <c r="J303" t="s" s="2">
        <v>18</v>
      </c>
      <c r="K303" t="s" s="2">
        <v>27</v>
      </c>
      <c r="L303" s="3">
        <v>28</v>
      </c>
      <c r="M303" t="s" s="2">
        <v>17</v>
      </c>
    </row>
    <row r="304" ht="13.55" customHeight="1">
      <c r="A304" s="3">
        <v>26928</v>
      </c>
      <c r="B304" t="s" s="2">
        <v>25</v>
      </c>
      <c r="C304" t="s" s="2">
        <v>13</v>
      </c>
      <c r="D304" s="4">
        <v>30000</v>
      </c>
      <c r="E304" s="3">
        <v>1</v>
      </c>
      <c r="F304" t="s" s="2">
        <v>15</v>
      </c>
      <c r="G304" t="s" s="2">
        <v>22</v>
      </c>
      <c r="H304" t="s" s="2">
        <v>17</v>
      </c>
      <c r="I304" s="3">
        <v>0</v>
      </c>
      <c r="J304" t="s" s="2">
        <v>18</v>
      </c>
      <c r="K304" t="s" s="2">
        <v>19</v>
      </c>
      <c r="L304" s="3">
        <v>62</v>
      </c>
      <c r="M304" t="s" s="2">
        <v>17</v>
      </c>
    </row>
    <row r="305" ht="13.55" customHeight="1">
      <c r="A305" s="3">
        <v>20897</v>
      </c>
      <c r="B305" t="s" s="2">
        <v>13</v>
      </c>
      <c r="C305" t="s" s="2">
        <v>14</v>
      </c>
      <c r="D305" s="4">
        <v>30000</v>
      </c>
      <c r="E305" s="3">
        <v>1</v>
      </c>
      <c r="F305" t="s" s="2">
        <v>15</v>
      </c>
      <c r="G305" t="s" s="2">
        <v>16</v>
      </c>
      <c r="H305" t="s" s="2">
        <v>17</v>
      </c>
      <c r="I305" s="3">
        <v>2</v>
      </c>
      <c r="J305" t="s" s="2">
        <v>18</v>
      </c>
      <c r="K305" t="s" s="2">
        <v>19</v>
      </c>
      <c r="L305" s="3">
        <v>40</v>
      </c>
      <c r="M305" t="s" s="2">
        <v>20</v>
      </c>
    </row>
    <row r="306" ht="13.55" customHeight="1">
      <c r="A306" s="3">
        <v>28207</v>
      </c>
      <c r="B306" t="s" s="2">
        <v>13</v>
      </c>
      <c r="C306" t="s" s="2">
        <v>13</v>
      </c>
      <c r="D306" s="4">
        <v>80000</v>
      </c>
      <c r="E306" s="3">
        <v>4</v>
      </c>
      <c r="F306" t="s" s="2">
        <v>34</v>
      </c>
      <c r="G306" t="s" s="2">
        <v>31</v>
      </c>
      <c r="H306" t="s" s="2">
        <v>17</v>
      </c>
      <c r="I306" s="3">
        <v>1</v>
      </c>
      <c r="J306" t="s" s="2">
        <v>18</v>
      </c>
      <c r="K306" t="s" s="2">
        <v>27</v>
      </c>
      <c r="L306" s="3">
        <v>36</v>
      </c>
      <c r="M306" t="s" s="2">
        <v>17</v>
      </c>
    </row>
    <row r="307" ht="13.55" customHeight="1">
      <c r="A307" s="3">
        <v>25923</v>
      </c>
      <c r="B307" t="s" s="2">
        <v>25</v>
      </c>
      <c r="C307" t="s" s="2">
        <v>13</v>
      </c>
      <c r="D307" s="4">
        <v>10000</v>
      </c>
      <c r="E307" s="3">
        <v>2</v>
      </c>
      <c r="F307" t="s" s="2">
        <v>32</v>
      </c>
      <c r="G307" t="s" s="2">
        <v>22</v>
      </c>
      <c r="H307" t="s" s="2">
        <v>17</v>
      </c>
      <c r="I307" s="3">
        <v>2</v>
      </c>
      <c r="J307" t="s" s="2">
        <v>26</v>
      </c>
      <c r="K307" t="s" s="2">
        <v>27</v>
      </c>
      <c r="L307" s="3">
        <v>58</v>
      </c>
      <c r="M307" t="s" s="2">
        <v>20</v>
      </c>
    </row>
    <row r="308" ht="13.55" customHeight="1">
      <c r="A308" s="3">
        <v>11000</v>
      </c>
      <c r="B308" t="s" s="2">
        <v>13</v>
      </c>
      <c r="C308" t="s" s="2">
        <v>13</v>
      </c>
      <c r="D308" s="4">
        <v>90000</v>
      </c>
      <c r="E308" s="3">
        <v>2</v>
      </c>
      <c r="F308" t="s" s="2">
        <v>15</v>
      </c>
      <c r="G308" t="s" s="2">
        <v>23</v>
      </c>
      <c r="H308" t="s" s="2">
        <v>17</v>
      </c>
      <c r="I308" s="3">
        <v>0</v>
      </c>
      <c r="J308" t="s" s="2">
        <v>29</v>
      </c>
      <c r="K308" t="s" s="2">
        <v>27</v>
      </c>
      <c r="L308" s="3">
        <v>40</v>
      </c>
      <c r="M308" t="s" s="2">
        <v>17</v>
      </c>
    </row>
    <row r="309" ht="13.55" customHeight="1">
      <c r="A309" s="3">
        <v>20974</v>
      </c>
      <c r="B309" t="s" s="2">
        <v>13</v>
      </c>
      <c r="C309" t="s" s="2">
        <v>13</v>
      </c>
      <c r="D309" s="4">
        <v>10000</v>
      </c>
      <c r="E309" s="3">
        <v>2</v>
      </c>
      <c r="F309" t="s" s="2">
        <v>15</v>
      </c>
      <c r="G309" t="s" s="2">
        <v>22</v>
      </c>
      <c r="H309" t="s" s="2">
        <v>17</v>
      </c>
      <c r="I309" s="3">
        <v>1</v>
      </c>
      <c r="J309" t="s" s="2">
        <v>18</v>
      </c>
      <c r="K309" t="s" s="2">
        <v>19</v>
      </c>
      <c r="L309" s="3">
        <v>66</v>
      </c>
      <c r="M309" t="s" s="2">
        <v>20</v>
      </c>
    </row>
    <row r="310" ht="13.55" customHeight="1">
      <c r="A310" s="3">
        <v>28758</v>
      </c>
      <c r="B310" t="s" s="2">
        <v>13</v>
      </c>
      <c r="C310" t="s" s="2">
        <v>13</v>
      </c>
      <c r="D310" s="4">
        <v>40000</v>
      </c>
      <c r="E310" s="3">
        <v>2</v>
      </c>
      <c r="F310" t="s" s="2">
        <v>21</v>
      </c>
      <c r="G310" t="s" s="2">
        <v>22</v>
      </c>
      <c r="H310" t="s" s="2">
        <v>17</v>
      </c>
      <c r="I310" s="3">
        <v>1</v>
      </c>
      <c r="J310" t="s" s="2">
        <v>29</v>
      </c>
      <c r="K310" t="s" s="2">
        <v>19</v>
      </c>
      <c r="L310" s="3">
        <v>35</v>
      </c>
      <c r="M310" t="s" s="2">
        <v>17</v>
      </c>
    </row>
    <row r="311" ht="13.55" customHeight="1">
      <c r="A311" s="3">
        <v>11381</v>
      </c>
      <c r="B311" t="s" s="2">
        <v>13</v>
      </c>
      <c r="C311" t="s" s="2">
        <v>14</v>
      </c>
      <c r="D311" s="4">
        <v>20000</v>
      </c>
      <c r="E311" s="3">
        <v>2</v>
      </c>
      <c r="F311" t="s" s="2">
        <v>21</v>
      </c>
      <c r="G311" t="s" s="2">
        <v>28</v>
      </c>
      <c r="H311" t="s" s="2">
        <v>17</v>
      </c>
      <c r="I311" s="3">
        <v>1</v>
      </c>
      <c r="J311" t="s" s="2">
        <v>24</v>
      </c>
      <c r="K311" t="s" s="2">
        <v>19</v>
      </c>
      <c r="L311" s="3">
        <v>47</v>
      </c>
      <c r="M311" t="s" s="2">
        <v>17</v>
      </c>
    </row>
    <row r="312" ht="13.55" customHeight="1">
      <c r="A312" s="3">
        <v>17522</v>
      </c>
      <c r="B312" t="s" s="2">
        <v>13</v>
      </c>
      <c r="C312" t="s" s="2">
        <v>13</v>
      </c>
      <c r="D312" s="4">
        <v>120000</v>
      </c>
      <c r="E312" s="3">
        <v>4</v>
      </c>
      <c r="F312" t="s" s="2">
        <v>15</v>
      </c>
      <c r="G312" t="s" s="2">
        <v>31</v>
      </c>
      <c r="H312" t="s" s="2">
        <v>17</v>
      </c>
      <c r="I312" s="3">
        <v>1</v>
      </c>
      <c r="J312" t="s" s="2">
        <v>24</v>
      </c>
      <c r="K312" t="s" s="2">
        <v>27</v>
      </c>
      <c r="L312" s="3">
        <v>47</v>
      </c>
      <c r="M312" t="s" s="2">
        <v>20</v>
      </c>
    </row>
    <row r="313" ht="13.55" customHeight="1">
      <c r="A313" s="3">
        <v>21207</v>
      </c>
      <c r="B313" t="s" s="2">
        <v>13</v>
      </c>
      <c r="C313" t="s" s="2">
        <v>13</v>
      </c>
      <c r="D313" s="4">
        <v>60000</v>
      </c>
      <c r="E313" s="3">
        <v>1</v>
      </c>
      <c r="F313" t="s" s="2">
        <v>21</v>
      </c>
      <c r="G313" t="s" s="2">
        <v>16</v>
      </c>
      <c r="H313" t="s" s="2">
        <v>17</v>
      </c>
      <c r="I313" s="3">
        <v>1</v>
      </c>
      <c r="J313" t="s" s="2">
        <v>26</v>
      </c>
      <c r="K313" t="s" s="2">
        <v>27</v>
      </c>
      <c r="L313" s="3">
        <v>46</v>
      </c>
      <c r="M313" t="s" s="2">
        <v>20</v>
      </c>
    </row>
    <row r="314" ht="13.55" customHeight="1">
      <c r="A314" s="3">
        <v>28102</v>
      </c>
      <c r="B314" t="s" s="2">
        <v>13</v>
      </c>
      <c r="C314" t="s" s="2">
        <v>13</v>
      </c>
      <c r="D314" s="4">
        <v>20000</v>
      </c>
      <c r="E314" s="3">
        <v>4</v>
      </c>
      <c r="F314" t="s" s="2">
        <v>30</v>
      </c>
      <c r="G314" t="s" s="2">
        <v>16</v>
      </c>
      <c r="H314" t="s" s="2">
        <v>17</v>
      </c>
      <c r="I314" s="3">
        <v>2</v>
      </c>
      <c r="J314" t="s" s="2">
        <v>26</v>
      </c>
      <c r="K314" t="s" s="2">
        <v>27</v>
      </c>
      <c r="L314" s="3">
        <v>58</v>
      </c>
      <c r="M314" t="s" s="2">
        <v>17</v>
      </c>
    </row>
    <row r="315" ht="13.55" customHeight="1">
      <c r="A315" s="3">
        <v>23105</v>
      </c>
      <c r="B315" t="s" s="2">
        <v>25</v>
      </c>
      <c r="C315" t="s" s="2">
        <v>13</v>
      </c>
      <c r="D315" s="4">
        <v>40000</v>
      </c>
      <c r="E315" s="3">
        <v>3</v>
      </c>
      <c r="F315" t="s" s="2">
        <v>32</v>
      </c>
      <c r="G315" t="s" s="2">
        <v>22</v>
      </c>
      <c r="H315" t="s" s="2">
        <v>20</v>
      </c>
      <c r="I315" s="3">
        <v>2</v>
      </c>
      <c r="J315" t="s" s="2">
        <v>26</v>
      </c>
      <c r="K315" t="s" s="2">
        <v>27</v>
      </c>
      <c r="L315" s="3">
        <v>52</v>
      </c>
      <c r="M315" t="s" s="2">
        <v>17</v>
      </c>
    </row>
    <row r="316" ht="13.55" customHeight="1">
      <c r="A316" s="3">
        <v>18740</v>
      </c>
      <c r="B316" t="s" s="2">
        <v>13</v>
      </c>
      <c r="C316" t="s" s="2">
        <v>13</v>
      </c>
      <c r="D316" s="4">
        <v>80000</v>
      </c>
      <c r="E316" s="3">
        <v>5</v>
      </c>
      <c r="F316" t="s" s="2">
        <v>15</v>
      </c>
      <c r="G316" t="s" s="2">
        <v>23</v>
      </c>
      <c r="H316" t="s" s="2">
        <v>20</v>
      </c>
      <c r="I316" s="3">
        <v>1</v>
      </c>
      <c r="J316" t="s" s="2">
        <v>18</v>
      </c>
      <c r="K316" t="s" s="2">
        <v>27</v>
      </c>
      <c r="L316" s="3">
        <v>47</v>
      </c>
      <c r="M316" t="s" s="2">
        <v>17</v>
      </c>
    </row>
    <row r="317" ht="13.55" customHeight="1">
      <c r="A317" s="3">
        <v>21213</v>
      </c>
      <c r="B317" t="s" s="2">
        <v>25</v>
      </c>
      <c r="C317" t="s" s="2">
        <v>13</v>
      </c>
      <c r="D317" s="4">
        <v>70000</v>
      </c>
      <c r="E317" s="3">
        <v>0</v>
      </c>
      <c r="F317" t="s" s="2">
        <v>15</v>
      </c>
      <c r="G317" t="s" s="2">
        <v>23</v>
      </c>
      <c r="H317" t="s" s="2">
        <v>20</v>
      </c>
      <c r="I317" s="3">
        <v>1</v>
      </c>
      <c r="J317" t="s" s="2">
        <v>26</v>
      </c>
      <c r="K317" t="s" s="2">
        <v>27</v>
      </c>
      <c r="L317" s="3">
        <v>41</v>
      </c>
      <c r="M317" t="s" s="2">
        <v>20</v>
      </c>
    </row>
    <row r="318" ht="13.55" customHeight="1">
      <c r="A318" s="3">
        <v>17352</v>
      </c>
      <c r="B318" t="s" s="2">
        <v>13</v>
      </c>
      <c r="C318" t="s" s="2">
        <v>13</v>
      </c>
      <c r="D318" s="4">
        <v>50000</v>
      </c>
      <c r="E318" s="3">
        <v>2</v>
      </c>
      <c r="F318" t="s" s="2">
        <v>34</v>
      </c>
      <c r="G318" t="s" s="2">
        <v>31</v>
      </c>
      <c r="H318" t="s" s="2">
        <v>17</v>
      </c>
      <c r="I318" s="3">
        <v>1</v>
      </c>
      <c r="J318" t="s" s="2">
        <v>26</v>
      </c>
      <c r="K318" t="s" s="2">
        <v>27</v>
      </c>
      <c r="L318" s="3">
        <v>64</v>
      </c>
      <c r="M318" t="s" s="2">
        <v>17</v>
      </c>
    </row>
    <row r="319" ht="13.55" customHeight="1">
      <c r="A319" s="3">
        <v>14154</v>
      </c>
      <c r="B319" t="s" s="2">
        <v>13</v>
      </c>
      <c r="C319" t="s" s="2">
        <v>13</v>
      </c>
      <c r="D319" s="4">
        <v>30000</v>
      </c>
      <c r="E319" s="3">
        <v>0</v>
      </c>
      <c r="F319" t="s" s="2">
        <v>15</v>
      </c>
      <c r="G319" t="s" s="2">
        <v>22</v>
      </c>
      <c r="H319" t="s" s="2">
        <v>17</v>
      </c>
      <c r="I319" s="3">
        <v>0</v>
      </c>
      <c r="J319" t="s" s="2">
        <v>18</v>
      </c>
      <c r="K319" t="s" s="2">
        <v>19</v>
      </c>
      <c r="L319" s="3">
        <v>35</v>
      </c>
      <c r="M319" t="s" s="2">
        <v>17</v>
      </c>
    </row>
    <row r="320" ht="13.55" customHeight="1">
      <c r="A320" s="3">
        <v>19066</v>
      </c>
      <c r="B320" t="s" s="2">
        <v>13</v>
      </c>
      <c r="C320" t="s" s="2">
        <v>13</v>
      </c>
      <c r="D320" s="4">
        <v>130000</v>
      </c>
      <c r="E320" s="3">
        <v>4</v>
      </c>
      <c r="F320" t="s" s="2">
        <v>21</v>
      </c>
      <c r="G320" t="s" s="2">
        <v>23</v>
      </c>
      <c r="H320" t="s" s="2">
        <v>20</v>
      </c>
      <c r="I320" s="3">
        <v>3</v>
      </c>
      <c r="J320" t="s" s="2">
        <v>33</v>
      </c>
      <c r="K320" t="s" s="2">
        <v>19</v>
      </c>
      <c r="L320" s="3">
        <v>54</v>
      </c>
      <c r="M320" t="s" s="2">
        <v>20</v>
      </c>
    </row>
    <row r="321" ht="13.55" customHeight="1">
      <c r="A321" s="3">
        <v>11386</v>
      </c>
      <c r="B321" t="s" s="2">
        <v>13</v>
      </c>
      <c r="C321" t="s" s="2">
        <v>14</v>
      </c>
      <c r="D321" s="4">
        <v>30000</v>
      </c>
      <c r="E321" s="3">
        <v>3</v>
      </c>
      <c r="F321" t="s" s="2">
        <v>15</v>
      </c>
      <c r="G321" t="s" s="2">
        <v>22</v>
      </c>
      <c r="H321" t="s" s="2">
        <v>17</v>
      </c>
      <c r="I321" s="3">
        <v>0</v>
      </c>
      <c r="J321" t="s" s="2">
        <v>18</v>
      </c>
      <c r="K321" t="s" s="2">
        <v>19</v>
      </c>
      <c r="L321" s="3">
        <v>45</v>
      </c>
      <c r="M321" t="s" s="2">
        <v>20</v>
      </c>
    </row>
    <row r="322" ht="13.55" customHeight="1">
      <c r="A322" s="3">
        <v>20228</v>
      </c>
      <c r="B322" t="s" s="2">
        <v>13</v>
      </c>
      <c r="C322" t="s" s="2">
        <v>13</v>
      </c>
      <c r="D322" s="4">
        <v>100000</v>
      </c>
      <c r="E322" s="3">
        <v>0</v>
      </c>
      <c r="F322" t="s" s="2">
        <v>34</v>
      </c>
      <c r="G322" t="s" s="2">
        <v>31</v>
      </c>
      <c r="H322" t="s" s="2">
        <v>17</v>
      </c>
      <c r="I322" s="3">
        <v>0</v>
      </c>
      <c r="J322" t="s" s="2">
        <v>24</v>
      </c>
      <c r="K322" t="s" s="2">
        <v>27</v>
      </c>
      <c r="L322" s="3">
        <v>40</v>
      </c>
      <c r="M322" t="s" s="2">
        <v>17</v>
      </c>
    </row>
    <row r="323" ht="13.55" customHeight="1">
      <c r="A323" s="3">
        <v>16675</v>
      </c>
      <c r="B323" t="s" s="2">
        <v>25</v>
      </c>
      <c r="C323" t="s" s="2">
        <v>14</v>
      </c>
      <c r="D323" s="4">
        <v>160000</v>
      </c>
      <c r="E323" s="3">
        <v>0</v>
      </c>
      <c r="F323" t="s" s="2">
        <v>34</v>
      </c>
      <c r="G323" t="s" s="2">
        <v>31</v>
      </c>
      <c r="H323" t="s" s="2">
        <v>20</v>
      </c>
      <c r="I323" s="3">
        <v>3</v>
      </c>
      <c r="J323" t="s" s="2">
        <v>18</v>
      </c>
      <c r="K323" t="s" s="2">
        <v>27</v>
      </c>
      <c r="L323" s="3">
        <v>47</v>
      </c>
      <c r="M323" t="s" s="2">
        <v>17</v>
      </c>
    </row>
    <row r="324" ht="13.55" customHeight="1">
      <c r="A324" s="3">
        <v>16410</v>
      </c>
      <c r="B324" t="s" s="2">
        <v>25</v>
      </c>
      <c r="C324" t="s" s="2">
        <v>14</v>
      </c>
      <c r="D324" s="4">
        <v>10000</v>
      </c>
      <c r="E324" s="3">
        <v>4</v>
      </c>
      <c r="F324" t="s" s="2">
        <v>32</v>
      </c>
      <c r="G324" t="s" s="2">
        <v>28</v>
      </c>
      <c r="H324" t="s" s="2">
        <v>17</v>
      </c>
      <c r="I324" s="3">
        <v>2</v>
      </c>
      <c r="J324" t="s" s="2">
        <v>18</v>
      </c>
      <c r="K324" t="s" s="2">
        <v>19</v>
      </c>
      <c r="L324" s="3">
        <v>41</v>
      </c>
      <c r="M324" t="s" s="2">
        <v>17</v>
      </c>
    </row>
    <row r="325" ht="13.55" customHeight="1">
      <c r="A325" s="3">
        <v>27760</v>
      </c>
      <c r="B325" t="s" s="2">
        <v>25</v>
      </c>
      <c r="C325" t="s" s="2">
        <v>14</v>
      </c>
      <c r="D325" s="4">
        <v>40000</v>
      </c>
      <c r="E325" s="3">
        <v>0</v>
      </c>
      <c r="F325" t="s" s="2">
        <v>34</v>
      </c>
      <c r="G325" t="s" s="2">
        <v>22</v>
      </c>
      <c r="H325" t="s" s="2">
        <v>20</v>
      </c>
      <c r="I325" s="3">
        <v>0</v>
      </c>
      <c r="J325" t="s" s="2">
        <v>18</v>
      </c>
      <c r="K325" t="s" s="2">
        <v>19</v>
      </c>
      <c r="L325" s="3">
        <v>37</v>
      </c>
      <c r="M325" t="s" s="2">
        <v>17</v>
      </c>
    </row>
    <row r="326" ht="13.55" customHeight="1">
      <c r="A326" s="3">
        <v>22930</v>
      </c>
      <c r="B326" t="s" s="2">
        <v>13</v>
      </c>
      <c r="C326" t="s" s="2">
        <v>13</v>
      </c>
      <c r="D326" s="4">
        <v>90000</v>
      </c>
      <c r="E326" s="3">
        <v>4</v>
      </c>
      <c r="F326" t="s" s="2">
        <v>15</v>
      </c>
      <c r="G326" t="s" s="2">
        <v>23</v>
      </c>
      <c r="H326" t="s" s="2">
        <v>17</v>
      </c>
      <c r="I326" s="3">
        <v>0</v>
      </c>
      <c r="J326" t="s" s="2">
        <v>29</v>
      </c>
      <c r="K326" t="s" s="2">
        <v>27</v>
      </c>
      <c r="L326" s="3">
        <v>38</v>
      </c>
      <c r="M326" t="s" s="2">
        <v>17</v>
      </c>
    </row>
    <row r="327" ht="13.55" customHeight="1">
      <c r="A327" s="3">
        <v>23780</v>
      </c>
      <c r="B327" t="s" s="2">
        <v>25</v>
      </c>
      <c r="C327" t="s" s="2">
        <v>13</v>
      </c>
      <c r="D327" s="4">
        <v>40000</v>
      </c>
      <c r="E327" s="3">
        <v>2</v>
      </c>
      <c r="F327" t="s" s="2">
        <v>21</v>
      </c>
      <c r="G327" t="s" s="2">
        <v>22</v>
      </c>
      <c r="H327" t="s" s="2">
        <v>20</v>
      </c>
      <c r="I327" s="3">
        <v>2</v>
      </c>
      <c r="J327" t="s" s="2">
        <v>18</v>
      </c>
      <c r="K327" t="s" s="2">
        <v>19</v>
      </c>
      <c r="L327" s="3">
        <v>36</v>
      </c>
      <c r="M327" t="s" s="2">
        <v>17</v>
      </c>
    </row>
    <row r="328" ht="13.55" customHeight="1">
      <c r="A328" s="3">
        <v>20994</v>
      </c>
      <c r="B328" t="s" s="2">
        <v>13</v>
      </c>
      <c r="C328" t="s" s="2">
        <v>14</v>
      </c>
      <c r="D328" s="4">
        <v>20000</v>
      </c>
      <c r="E328" s="3">
        <v>0</v>
      </c>
      <c r="F328" t="s" s="2">
        <v>15</v>
      </c>
      <c r="G328" t="s" s="2">
        <v>22</v>
      </c>
      <c r="H328" t="s" s="2">
        <v>20</v>
      </c>
      <c r="I328" s="3">
        <v>0</v>
      </c>
      <c r="J328" t="s" s="2">
        <v>18</v>
      </c>
      <c r="K328" t="s" s="2">
        <v>27</v>
      </c>
      <c r="L328" s="3">
        <v>26</v>
      </c>
      <c r="M328" t="s" s="2">
        <v>17</v>
      </c>
    </row>
    <row r="329" ht="13.55" customHeight="1">
      <c r="A329" s="3">
        <v>28379</v>
      </c>
      <c r="B329" t="s" s="2">
        <v>13</v>
      </c>
      <c r="C329" t="s" s="2">
        <v>13</v>
      </c>
      <c r="D329" s="4">
        <v>30000</v>
      </c>
      <c r="E329" s="3">
        <v>1</v>
      </c>
      <c r="F329" t="s" s="2">
        <v>15</v>
      </c>
      <c r="G329" t="s" s="2">
        <v>16</v>
      </c>
      <c r="H329" t="s" s="2">
        <v>17</v>
      </c>
      <c r="I329" s="3">
        <v>2</v>
      </c>
      <c r="J329" t="s" s="2">
        <v>18</v>
      </c>
      <c r="K329" t="s" s="2">
        <v>19</v>
      </c>
      <c r="L329" s="3">
        <v>40</v>
      </c>
      <c r="M329" t="s" s="2">
        <v>20</v>
      </c>
    </row>
    <row r="330" ht="13.55" customHeight="1">
      <c r="A330" s="3">
        <v>14865</v>
      </c>
      <c r="B330" t="s" s="2">
        <v>25</v>
      </c>
      <c r="C330" t="s" s="2">
        <v>13</v>
      </c>
      <c r="D330" s="4">
        <v>40000</v>
      </c>
      <c r="E330" s="3">
        <v>2</v>
      </c>
      <c r="F330" t="s" s="2">
        <v>21</v>
      </c>
      <c r="G330" t="s" s="2">
        <v>22</v>
      </c>
      <c r="H330" t="s" s="2">
        <v>17</v>
      </c>
      <c r="I330" s="3">
        <v>2</v>
      </c>
      <c r="J330" t="s" s="2">
        <v>29</v>
      </c>
      <c r="K330" t="s" s="2">
        <v>19</v>
      </c>
      <c r="L330" s="3">
        <v>36</v>
      </c>
      <c r="M330" t="s" s="2">
        <v>20</v>
      </c>
    </row>
    <row r="331" ht="13.55" customHeight="1">
      <c r="A331" s="3">
        <v>12663</v>
      </c>
      <c r="B331" t="s" s="2">
        <v>13</v>
      </c>
      <c r="C331" t="s" s="2">
        <v>14</v>
      </c>
      <c r="D331" s="4">
        <v>90000</v>
      </c>
      <c r="E331" s="3">
        <v>5</v>
      </c>
      <c r="F331" t="s" s="2">
        <v>32</v>
      </c>
      <c r="G331" t="s" s="2">
        <v>16</v>
      </c>
      <c r="H331" t="s" s="2">
        <v>17</v>
      </c>
      <c r="I331" s="3">
        <v>2</v>
      </c>
      <c r="J331" t="s" s="2">
        <v>33</v>
      </c>
      <c r="K331" t="s" s="2">
        <v>19</v>
      </c>
      <c r="L331" s="3">
        <v>59</v>
      </c>
      <c r="M331" t="s" s="2">
        <v>20</v>
      </c>
    </row>
    <row r="332" ht="13.55" customHeight="1">
      <c r="A332" s="3">
        <v>24898</v>
      </c>
      <c r="B332" t="s" s="2">
        <v>25</v>
      </c>
      <c r="C332" t="s" s="2">
        <v>14</v>
      </c>
      <c r="D332" s="4">
        <v>80000</v>
      </c>
      <c r="E332" s="3">
        <v>0</v>
      </c>
      <c r="F332" t="s" s="2">
        <v>15</v>
      </c>
      <c r="G332" t="s" s="2">
        <v>23</v>
      </c>
      <c r="H332" t="s" s="2">
        <v>17</v>
      </c>
      <c r="I332" s="3">
        <v>3</v>
      </c>
      <c r="J332" t="s" s="2">
        <v>33</v>
      </c>
      <c r="K332" t="s" s="2">
        <v>27</v>
      </c>
      <c r="L332" s="3">
        <v>32</v>
      </c>
      <c r="M332" t="s" s="2">
        <v>20</v>
      </c>
    </row>
    <row r="333" ht="13.55" customHeight="1">
      <c r="A333" s="3">
        <v>19508</v>
      </c>
      <c r="B333" t="s" s="2">
        <v>13</v>
      </c>
      <c r="C333" t="s" s="2">
        <v>13</v>
      </c>
      <c r="D333" s="4">
        <v>10000</v>
      </c>
      <c r="E333" s="3">
        <v>0</v>
      </c>
      <c r="F333" t="s" s="2">
        <v>32</v>
      </c>
      <c r="G333" t="s" s="2">
        <v>28</v>
      </c>
      <c r="H333" t="s" s="2">
        <v>20</v>
      </c>
      <c r="I333" s="3">
        <v>2</v>
      </c>
      <c r="J333" t="s" s="2">
        <v>18</v>
      </c>
      <c r="K333" t="s" s="2">
        <v>19</v>
      </c>
      <c r="L333" s="3">
        <v>30</v>
      </c>
      <c r="M333" t="s" s="2">
        <v>20</v>
      </c>
    </row>
    <row r="334" ht="13.55" customHeight="1">
      <c r="A334" s="3">
        <v>11489</v>
      </c>
      <c r="B334" t="s" s="2">
        <v>25</v>
      </c>
      <c r="C334" t="s" s="2">
        <v>14</v>
      </c>
      <c r="D334" s="4">
        <v>20000</v>
      </c>
      <c r="E334" s="3">
        <v>0</v>
      </c>
      <c r="F334" t="s" s="2">
        <v>32</v>
      </c>
      <c r="G334" t="s" s="2">
        <v>28</v>
      </c>
      <c r="H334" t="s" s="2">
        <v>20</v>
      </c>
      <c r="I334" s="3">
        <v>2</v>
      </c>
      <c r="J334" t="s" s="2">
        <v>29</v>
      </c>
      <c r="K334" t="s" s="2">
        <v>19</v>
      </c>
      <c r="L334" s="3">
        <v>35</v>
      </c>
      <c r="M334" t="s" s="2">
        <v>17</v>
      </c>
    </row>
    <row r="335" ht="13.55" customHeight="1">
      <c r="A335" s="3">
        <v>18160</v>
      </c>
      <c r="B335" t="s" s="2">
        <v>13</v>
      </c>
      <c r="C335" t="s" s="2">
        <v>13</v>
      </c>
      <c r="D335" s="4">
        <v>130000</v>
      </c>
      <c r="E335" s="3">
        <v>3</v>
      </c>
      <c r="F335" t="s" s="2">
        <v>30</v>
      </c>
      <c r="G335" t="s" s="2">
        <v>23</v>
      </c>
      <c r="H335" t="s" s="2">
        <v>17</v>
      </c>
      <c r="I335" s="3">
        <v>4</v>
      </c>
      <c r="J335" t="s" s="2">
        <v>26</v>
      </c>
      <c r="K335" t="s" s="2">
        <v>19</v>
      </c>
      <c r="L335" s="3">
        <v>51</v>
      </c>
      <c r="M335" t="s" s="2">
        <v>17</v>
      </c>
    </row>
    <row r="336" ht="13.55" customHeight="1">
      <c r="A336" s="3">
        <v>25241</v>
      </c>
      <c r="B336" t="s" s="2">
        <v>13</v>
      </c>
      <c r="C336" t="s" s="2">
        <v>13</v>
      </c>
      <c r="D336" s="4">
        <v>90000</v>
      </c>
      <c r="E336" s="3">
        <v>2</v>
      </c>
      <c r="F336" t="s" s="2">
        <v>15</v>
      </c>
      <c r="G336" t="s" s="2">
        <v>23</v>
      </c>
      <c r="H336" t="s" s="2">
        <v>17</v>
      </c>
      <c r="I336" s="3">
        <v>1</v>
      </c>
      <c r="J336" t="s" s="2">
        <v>26</v>
      </c>
      <c r="K336" t="s" s="2">
        <v>27</v>
      </c>
      <c r="L336" s="3">
        <v>47</v>
      </c>
      <c r="M336" t="s" s="2">
        <v>20</v>
      </c>
    </row>
    <row r="337" ht="13.55" customHeight="1">
      <c r="A337" s="3">
        <v>24369</v>
      </c>
      <c r="B337" t="s" s="2">
        <v>13</v>
      </c>
      <c r="C337" t="s" s="2">
        <v>13</v>
      </c>
      <c r="D337" s="4">
        <v>80000</v>
      </c>
      <c r="E337" s="3">
        <v>5</v>
      </c>
      <c r="F337" t="s" s="2">
        <v>34</v>
      </c>
      <c r="G337" t="s" s="2">
        <v>31</v>
      </c>
      <c r="H337" t="s" s="2">
        <v>20</v>
      </c>
      <c r="I337" s="3">
        <v>2</v>
      </c>
      <c r="J337" t="s" s="2">
        <v>18</v>
      </c>
      <c r="K337" t="s" s="2">
        <v>27</v>
      </c>
      <c r="L337" s="3">
        <v>39</v>
      </c>
      <c r="M337" t="s" s="2">
        <v>20</v>
      </c>
    </row>
    <row r="338" ht="13.55" customHeight="1">
      <c r="A338" s="3">
        <v>27165</v>
      </c>
      <c r="B338" t="s" s="2">
        <v>25</v>
      </c>
      <c r="C338" t="s" s="2">
        <v>13</v>
      </c>
      <c r="D338" s="4">
        <v>20000</v>
      </c>
      <c r="E338" s="3">
        <v>0</v>
      </c>
      <c r="F338" t="s" s="2">
        <v>32</v>
      </c>
      <c r="G338" t="s" s="2">
        <v>28</v>
      </c>
      <c r="H338" t="s" s="2">
        <v>20</v>
      </c>
      <c r="I338" s="3">
        <v>2</v>
      </c>
      <c r="J338" t="s" s="2">
        <v>18</v>
      </c>
      <c r="K338" t="s" s="2">
        <v>19</v>
      </c>
      <c r="L338" s="3">
        <v>34</v>
      </c>
      <c r="M338" t="s" s="2">
        <v>20</v>
      </c>
    </row>
    <row r="339" ht="13.55" customHeight="1">
      <c r="A339" s="3">
        <v>29424</v>
      </c>
      <c r="B339" t="s" s="2">
        <v>13</v>
      </c>
      <c r="C339" t="s" s="2">
        <v>13</v>
      </c>
      <c r="D339" s="4">
        <v>10000</v>
      </c>
      <c r="E339" s="3">
        <v>0</v>
      </c>
      <c r="F339" t="s" s="2">
        <v>32</v>
      </c>
      <c r="G339" t="s" s="2">
        <v>28</v>
      </c>
      <c r="H339" t="s" s="2">
        <v>17</v>
      </c>
      <c r="I339" s="3">
        <v>2</v>
      </c>
      <c r="J339" t="s" s="2">
        <v>18</v>
      </c>
      <c r="K339" t="s" s="2">
        <v>19</v>
      </c>
      <c r="L339" s="3">
        <v>32</v>
      </c>
      <c r="M339" t="s" s="2">
        <v>20</v>
      </c>
    </row>
    <row r="340" ht="13.55" customHeight="1">
      <c r="A340" s="3">
        <v>15926</v>
      </c>
      <c r="B340" t="s" s="2">
        <v>25</v>
      </c>
      <c r="C340" t="s" s="2">
        <v>14</v>
      </c>
      <c r="D340" s="4">
        <v>120000</v>
      </c>
      <c r="E340" s="3">
        <v>3</v>
      </c>
      <c r="F340" t="s" s="2">
        <v>30</v>
      </c>
      <c r="G340" t="s" s="2">
        <v>23</v>
      </c>
      <c r="H340" t="s" s="2">
        <v>17</v>
      </c>
      <c r="I340" s="3">
        <v>4</v>
      </c>
      <c r="J340" t="s" s="2">
        <v>26</v>
      </c>
      <c r="K340" t="s" s="2">
        <v>19</v>
      </c>
      <c r="L340" s="3">
        <v>50</v>
      </c>
      <c r="M340" t="s" s="2">
        <v>17</v>
      </c>
    </row>
    <row r="341" ht="13.55" customHeight="1">
      <c r="A341" s="3">
        <v>14554</v>
      </c>
      <c r="B341" t="s" s="2">
        <v>13</v>
      </c>
      <c r="C341" t="s" s="2">
        <v>13</v>
      </c>
      <c r="D341" s="4">
        <v>20000</v>
      </c>
      <c r="E341" s="3">
        <v>1</v>
      </c>
      <c r="F341" t="s" s="2">
        <v>15</v>
      </c>
      <c r="G341" t="s" s="2">
        <v>22</v>
      </c>
      <c r="H341" t="s" s="2">
        <v>17</v>
      </c>
      <c r="I341" s="3">
        <v>0</v>
      </c>
      <c r="J341" t="s" s="2">
        <v>18</v>
      </c>
      <c r="K341" t="s" s="2">
        <v>19</v>
      </c>
      <c r="L341" s="3">
        <v>66</v>
      </c>
      <c r="M341" t="s" s="2">
        <v>20</v>
      </c>
    </row>
    <row r="342" ht="13.55" customHeight="1">
      <c r="A342" s="3">
        <v>16468</v>
      </c>
      <c r="B342" t="s" s="2">
        <v>25</v>
      </c>
      <c r="C342" t="s" s="2">
        <v>13</v>
      </c>
      <c r="D342" s="4">
        <v>30000</v>
      </c>
      <c r="E342" s="3">
        <v>0</v>
      </c>
      <c r="F342" t="s" s="2">
        <v>21</v>
      </c>
      <c r="G342" t="s" s="2">
        <v>22</v>
      </c>
      <c r="H342" t="s" s="2">
        <v>17</v>
      </c>
      <c r="I342" s="3">
        <v>1</v>
      </c>
      <c r="J342" t="s" s="2">
        <v>24</v>
      </c>
      <c r="K342" t="s" s="2">
        <v>19</v>
      </c>
      <c r="L342" s="3">
        <v>30</v>
      </c>
      <c r="M342" t="s" s="2">
        <v>20</v>
      </c>
    </row>
    <row r="343" ht="13.55" customHeight="1">
      <c r="A343" s="3">
        <v>19174</v>
      </c>
      <c r="B343" t="s" s="2">
        <v>25</v>
      </c>
      <c r="C343" t="s" s="2">
        <v>14</v>
      </c>
      <c r="D343" s="4">
        <v>30000</v>
      </c>
      <c r="E343" s="3">
        <v>0</v>
      </c>
      <c r="F343" t="s" s="2">
        <v>30</v>
      </c>
      <c r="G343" t="s" s="2">
        <v>28</v>
      </c>
      <c r="H343" t="s" s="2">
        <v>20</v>
      </c>
      <c r="I343" s="3">
        <v>1</v>
      </c>
      <c r="J343" t="s" s="2">
        <v>24</v>
      </c>
      <c r="K343" t="s" s="2">
        <v>19</v>
      </c>
      <c r="L343" s="3">
        <v>32</v>
      </c>
      <c r="M343" t="s" s="2">
        <v>17</v>
      </c>
    </row>
    <row r="344" ht="13.55" customHeight="1">
      <c r="A344" s="3">
        <v>19183</v>
      </c>
      <c r="B344" t="s" s="2">
        <v>25</v>
      </c>
      <c r="C344" t="s" s="2">
        <v>13</v>
      </c>
      <c r="D344" s="4">
        <v>10000</v>
      </c>
      <c r="E344" s="3">
        <v>0</v>
      </c>
      <c r="F344" t="s" s="2">
        <v>32</v>
      </c>
      <c r="G344" t="s" s="2">
        <v>28</v>
      </c>
      <c r="H344" t="s" s="2">
        <v>17</v>
      </c>
      <c r="I344" s="3">
        <v>2</v>
      </c>
      <c r="J344" t="s" s="2">
        <v>29</v>
      </c>
      <c r="K344" t="s" s="2">
        <v>19</v>
      </c>
      <c r="L344" s="3">
        <v>35</v>
      </c>
      <c r="M344" t="s" s="2">
        <v>20</v>
      </c>
    </row>
    <row r="345" ht="13.55" customHeight="1">
      <c r="A345" s="3">
        <v>13683</v>
      </c>
      <c r="B345" t="s" s="2">
        <v>25</v>
      </c>
      <c r="C345" t="s" s="2">
        <v>14</v>
      </c>
      <c r="D345" s="4">
        <v>30000</v>
      </c>
      <c r="E345" s="3">
        <v>0</v>
      </c>
      <c r="F345" t="s" s="2">
        <v>30</v>
      </c>
      <c r="G345" t="s" s="2">
        <v>28</v>
      </c>
      <c r="H345" t="s" s="2">
        <v>20</v>
      </c>
      <c r="I345" s="3">
        <v>1</v>
      </c>
      <c r="J345" t="s" s="2">
        <v>24</v>
      </c>
      <c r="K345" t="s" s="2">
        <v>19</v>
      </c>
      <c r="L345" s="3">
        <v>32</v>
      </c>
      <c r="M345" t="s" s="2">
        <v>20</v>
      </c>
    </row>
    <row r="346" ht="13.55" customHeight="1">
      <c r="A346" s="3">
        <v>17848</v>
      </c>
      <c r="B346" t="s" s="2">
        <v>25</v>
      </c>
      <c r="C346" t="s" s="2">
        <v>13</v>
      </c>
      <c r="D346" s="4">
        <v>30000</v>
      </c>
      <c r="E346" s="3">
        <v>0</v>
      </c>
      <c r="F346" t="s" s="2">
        <v>21</v>
      </c>
      <c r="G346" t="s" s="2">
        <v>22</v>
      </c>
      <c r="H346" t="s" s="2">
        <v>20</v>
      </c>
      <c r="I346" s="3">
        <v>1</v>
      </c>
      <c r="J346" t="s" s="2">
        <v>24</v>
      </c>
      <c r="K346" t="s" s="2">
        <v>19</v>
      </c>
      <c r="L346" s="3">
        <v>31</v>
      </c>
      <c r="M346" t="s" s="2">
        <v>17</v>
      </c>
    </row>
    <row r="347" ht="13.55" customHeight="1">
      <c r="A347" s="3">
        <v>17894</v>
      </c>
      <c r="B347" t="s" s="2">
        <v>13</v>
      </c>
      <c r="C347" t="s" s="2">
        <v>14</v>
      </c>
      <c r="D347" s="4">
        <v>20000</v>
      </c>
      <c r="E347" s="3">
        <v>1</v>
      </c>
      <c r="F347" t="s" s="2">
        <v>15</v>
      </c>
      <c r="G347" t="s" s="2">
        <v>22</v>
      </c>
      <c r="H347" t="s" s="2">
        <v>17</v>
      </c>
      <c r="I347" s="3">
        <v>0</v>
      </c>
      <c r="J347" t="s" s="2">
        <v>18</v>
      </c>
      <c r="K347" t="s" s="2">
        <v>19</v>
      </c>
      <c r="L347" s="3">
        <v>50</v>
      </c>
      <c r="M347" t="s" s="2">
        <v>17</v>
      </c>
    </row>
    <row r="348" ht="13.55" customHeight="1">
      <c r="A348" s="3">
        <v>25651</v>
      </c>
      <c r="B348" t="s" s="2">
        <v>13</v>
      </c>
      <c r="C348" t="s" s="2">
        <v>13</v>
      </c>
      <c r="D348" s="4">
        <v>40000</v>
      </c>
      <c r="E348" s="3">
        <v>1</v>
      </c>
      <c r="F348" t="s" s="2">
        <v>15</v>
      </c>
      <c r="G348" t="s" s="2">
        <v>16</v>
      </c>
      <c r="H348" t="s" s="2">
        <v>20</v>
      </c>
      <c r="I348" s="3">
        <v>0</v>
      </c>
      <c r="J348" t="s" s="2">
        <v>18</v>
      </c>
      <c r="K348" t="s" s="2">
        <v>19</v>
      </c>
      <c r="L348" s="3">
        <v>43</v>
      </c>
      <c r="M348" t="s" s="2">
        <v>17</v>
      </c>
    </row>
    <row r="349" ht="13.55" customHeight="1">
      <c r="A349" s="3">
        <v>22936</v>
      </c>
      <c r="B349" t="s" s="2">
        <v>25</v>
      </c>
      <c r="C349" t="s" s="2">
        <v>14</v>
      </c>
      <c r="D349" s="4">
        <v>60000</v>
      </c>
      <c r="E349" s="3">
        <v>1</v>
      </c>
      <c r="F349" t="s" s="2">
        <v>21</v>
      </c>
      <c r="G349" t="s" s="2">
        <v>16</v>
      </c>
      <c r="H349" t="s" s="2">
        <v>20</v>
      </c>
      <c r="I349" s="3">
        <v>1</v>
      </c>
      <c r="J349" t="s" s="2">
        <v>18</v>
      </c>
      <c r="K349" t="s" s="2">
        <v>27</v>
      </c>
      <c r="L349" s="3">
        <v>45</v>
      </c>
      <c r="M349" t="s" s="2">
        <v>17</v>
      </c>
    </row>
    <row r="350" ht="13.55" customHeight="1">
      <c r="A350" s="3">
        <v>23915</v>
      </c>
      <c r="B350" t="s" s="2">
        <v>13</v>
      </c>
      <c r="C350" t="s" s="2">
        <v>13</v>
      </c>
      <c r="D350" s="4">
        <v>20000</v>
      </c>
      <c r="E350" s="3">
        <v>2</v>
      </c>
      <c r="F350" t="s" s="2">
        <v>30</v>
      </c>
      <c r="G350" t="s" s="2">
        <v>28</v>
      </c>
      <c r="H350" t="s" s="2">
        <v>17</v>
      </c>
      <c r="I350" s="3">
        <v>2</v>
      </c>
      <c r="J350" t="s" s="2">
        <v>18</v>
      </c>
      <c r="K350" t="s" s="2">
        <v>19</v>
      </c>
      <c r="L350" s="3">
        <v>42</v>
      </c>
      <c r="M350" t="s" s="2">
        <v>20</v>
      </c>
    </row>
    <row r="351" ht="13.55" customHeight="1">
      <c r="A351" s="3">
        <v>24121</v>
      </c>
      <c r="B351" t="s" s="2">
        <v>25</v>
      </c>
      <c r="C351" t="s" s="2">
        <v>14</v>
      </c>
      <c r="D351" s="4">
        <v>30000</v>
      </c>
      <c r="E351" s="3">
        <v>0</v>
      </c>
      <c r="F351" t="s" s="2">
        <v>21</v>
      </c>
      <c r="G351" t="s" s="2">
        <v>22</v>
      </c>
      <c r="H351" t="s" s="2">
        <v>20</v>
      </c>
      <c r="I351" s="3">
        <v>1</v>
      </c>
      <c r="J351" t="s" s="2">
        <v>18</v>
      </c>
      <c r="K351" t="s" s="2">
        <v>19</v>
      </c>
      <c r="L351" s="3">
        <v>29</v>
      </c>
      <c r="M351" t="s" s="2">
        <v>17</v>
      </c>
    </row>
    <row r="352" ht="13.55" customHeight="1">
      <c r="A352" s="3">
        <v>27878</v>
      </c>
      <c r="B352" t="s" s="2">
        <v>25</v>
      </c>
      <c r="C352" t="s" s="2">
        <v>13</v>
      </c>
      <c r="D352" s="4">
        <v>20000</v>
      </c>
      <c r="E352" s="3">
        <v>0</v>
      </c>
      <c r="F352" t="s" s="2">
        <v>21</v>
      </c>
      <c r="G352" t="s" s="2">
        <v>28</v>
      </c>
      <c r="H352" t="s" s="2">
        <v>20</v>
      </c>
      <c r="I352" s="3">
        <v>0</v>
      </c>
      <c r="J352" t="s" s="2">
        <v>18</v>
      </c>
      <c r="K352" t="s" s="2">
        <v>27</v>
      </c>
      <c r="L352" s="3">
        <v>28</v>
      </c>
      <c r="M352" t="s" s="2">
        <v>17</v>
      </c>
    </row>
    <row r="353" ht="13.55" customHeight="1">
      <c r="A353" s="3">
        <v>13572</v>
      </c>
      <c r="B353" t="s" s="2">
        <v>25</v>
      </c>
      <c r="C353" t="s" s="2">
        <v>13</v>
      </c>
      <c r="D353" s="4">
        <v>10000</v>
      </c>
      <c r="E353" s="3">
        <v>3</v>
      </c>
      <c r="F353" t="s" s="2">
        <v>30</v>
      </c>
      <c r="G353" t="s" s="2">
        <v>28</v>
      </c>
      <c r="H353" t="s" s="2">
        <v>17</v>
      </c>
      <c r="I353" s="3">
        <v>0</v>
      </c>
      <c r="J353" t="s" s="2">
        <v>18</v>
      </c>
      <c r="K353" t="s" s="2">
        <v>19</v>
      </c>
      <c r="L353" s="3">
        <v>37</v>
      </c>
      <c r="M353" t="s" s="2">
        <v>17</v>
      </c>
    </row>
    <row r="354" ht="13.55" customHeight="1">
      <c r="A354" s="3">
        <v>27941</v>
      </c>
      <c r="B354" t="s" s="2">
        <v>13</v>
      </c>
      <c r="C354" t="s" s="2">
        <v>14</v>
      </c>
      <c r="D354" s="4">
        <v>80000</v>
      </c>
      <c r="E354" s="3">
        <v>4</v>
      </c>
      <c r="F354" t="s" s="2">
        <v>21</v>
      </c>
      <c r="G354" t="s" s="2">
        <v>23</v>
      </c>
      <c r="H354" t="s" s="2">
        <v>17</v>
      </c>
      <c r="I354" s="3">
        <v>2</v>
      </c>
      <c r="J354" t="s" s="2">
        <v>24</v>
      </c>
      <c r="K354" t="s" s="2">
        <v>19</v>
      </c>
      <c r="L354" s="3">
        <v>53</v>
      </c>
      <c r="M354" t="s" s="2">
        <v>20</v>
      </c>
    </row>
    <row r="355" ht="13.55" customHeight="1">
      <c r="A355" s="3">
        <v>26354</v>
      </c>
      <c r="B355" t="s" s="2">
        <v>25</v>
      </c>
      <c r="C355" t="s" s="2">
        <v>13</v>
      </c>
      <c r="D355" s="4">
        <v>40000</v>
      </c>
      <c r="E355" s="3">
        <v>0</v>
      </c>
      <c r="F355" t="s" s="2">
        <v>34</v>
      </c>
      <c r="G355" t="s" s="2">
        <v>22</v>
      </c>
      <c r="H355" t="s" s="2">
        <v>20</v>
      </c>
      <c r="I355" s="3">
        <v>0</v>
      </c>
      <c r="J355" t="s" s="2">
        <v>18</v>
      </c>
      <c r="K355" t="s" s="2">
        <v>19</v>
      </c>
      <c r="L355" s="3">
        <v>38</v>
      </c>
      <c r="M355" t="s" s="2">
        <v>17</v>
      </c>
    </row>
    <row r="356" ht="13.55" customHeight="1">
      <c r="A356" s="3">
        <v>14785</v>
      </c>
      <c r="B356" t="s" s="2">
        <v>25</v>
      </c>
      <c r="C356" t="s" s="2">
        <v>13</v>
      </c>
      <c r="D356" s="4">
        <v>30000</v>
      </c>
      <c r="E356" s="3">
        <v>1</v>
      </c>
      <c r="F356" t="s" s="2">
        <v>15</v>
      </c>
      <c r="G356" t="s" s="2">
        <v>22</v>
      </c>
      <c r="H356" t="s" s="2">
        <v>20</v>
      </c>
      <c r="I356" s="3">
        <v>1</v>
      </c>
      <c r="J356" t="s" s="2">
        <v>29</v>
      </c>
      <c r="K356" t="s" s="2">
        <v>19</v>
      </c>
      <c r="L356" s="3">
        <v>39</v>
      </c>
      <c r="M356" t="s" s="2">
        <v>20</v>
      </c>
    </row>
    <row r="357" ht="13.55" customHeight="1">
      <c r="A357" s="3">
        <v>17238</v>
      </c>
      <c r="B357" t="s" s="2">
        <v>25</v>
      </c>
      <c r="C357" t="s" s="2">
        <v>13</v>
      </c>
      <c r="D357" s="4">
        <v>80000</v>
      </c>
      <c r="E357" s="3">
        <v>0</v>
      </c>
      <c r="F357" t="s" s="2">
        <v>15</v>
      </c>
      <c r="G357" t="s" s="2">
        <v>23</v>
      </c>
      <c r="H357" t="s" s="2">
        <v>17</v>
      </c>
      <c r="I357" s="3">
        <v>3</v>
      </c>
      <c r="J357" t="s" s="2">
        <v>33</v>
      </c>
      <c r="K357" t="s" s="2">
        <v>27</v>
      </c>
      <c r="L357" s="3">
        <v>32</v>
      </c>
      <c r="M357" t="s" s="2">
        <v>20</v>
      </c>
    </row>
    <row r="358" ht="13.55" customHeight="1">
      <c r="A358" s="3">
        <v>23608</v>
      </c>
      <c r="B358" t="s" s="2">
        <v>13</v>
      </c>
      <c r="C358" t="s" s="2">
        <v>14</v>
      </c>
      <c r="D358" s="4">
        <v>150000</v>
      </c>
      <c r="E358" s="3">
        <v>3</v>
      </c>
      <c r="F358" t="s" s="2">
        <v>30</v>
      </c>
      <c r="G358" t="s" s="2">
        <v>23</v>
      </c>
      <c r="H358" t="s" s="2">
        <v>17</v>
      </c>
      <c r="I358" s="3">
        <v>3</v>
      </c>
      <c r="J358" t="s" s="2">
        <v>18</v>
      </c>
      <c r="K358" t="s" s="2">
        <v>19</v>
      </c>
      <c r="L358" s="3">
        <v>51</v>
      </c>
      <c r="M358" t="s" s="2">
        <v>17</v>
      </c>
    </row>
    <row r="359" ht="13.55" customHeight="1">
      <c r="A359" s="3">
        <v>22538</v>
      </c>
      <c r="B359" t="s" s="2">
        <v>25</v>
      </c>
      <c r="C359" t="s" s="2">
        <v>14</v>
      </c>
      <c r="D359" s="4">
        <v>10000</v>
      </c>
      <c r="E359" s="3">
        <v>0</v>
      </c>
      <c r="F359" t="s" s="2">
        <v>32</v>
      </c>
      <c r="G359" t="s" s="2">
        <v>28</v>
      </c>
      <c r="H359" t="s" s="2">
        <v>17</v>
      </c>
      <c r="I359" s="3">
        <v>2</v>
      </c>
      <c r="J359" t="s" s="2">
        <v>29</v>
      </c>
      <c r="K359" t="s" s="2">
        <v>19</v>
      </c>
      <c r="L359" s="3">
        <v>33</v>
      </c>
      <c r="M359" t="s" s="2">
        <v>20</v>
      </c>
    </row>
    <row r="360" ht="13.55" customHeight="1">
      <c r="A360" s="3">
        <v>12332</v>
      </c>
      <c r="B360" t="s" s="2">
        <v>13</v>
      </c>
      <c r="C360" t="s" s="2">
        <v>13</v>
      </c>
      <c r="D360" s="4">
        <v>90000</v>
      </c>
      <c r="E360" s="3">
        <v>4</v>
      </c>
      <c r="F360" t="s" s="2">
        <v>30</v>
      </c>
      <c r="G360" t="s" s="2">
        <v>31</v>
      </c>
      <c r="H360" t="s" s="2">
        <v>17</v>
      </c>
      <c r="I360" s="3">
        <v>3</v>
      </c>
      <c r="J360" t="s" s="2">
        <v>26</v>
      </c>
      <c r="K360" t="s" s="2">
        <v>19</v>
      </c>
      <c r="L360" s="3">
        <v>58</v>
      </c>
      <c r="M360" t="s" s="2">
        <v>17</v>
      </c>
    </row>
    <row r="361" ht="13.55" customHeight="1">
      <c r="A361" s="3">
        <v>17230</v>
      </c>
      <c r="B361" t="s" s="2">
        <v>13</v>
      </c>
      <c r="C361" t="s" s="2">
        <v>13</v>
      </c>
      <c r="D361" s="4">
        <v>80000</v>
      </c>
      <c r="E361" s="3">
        <v>0</v>
      </c>
      <c r="F361" t="s" s="2">
        <v>15</v>
      </c>
      <c r="G361" t="s" s="2">
        <v>23</v>
      </c>
      <c r="H361" t="s" s="2">
        <v>17</v>
      </c>
      <c r="I361" s="3">
        <v>3</v>
      </c>
      <c r="J361" t="s" s="2">
        <v>33</v>
      </c>
      <c r="K361" t="s" s="2">
        <v>27</v>
      </c>
      <c r="L361" s="3">
        <v>30</v>
      </c>
      <c r="M361" t="s" s="2">
        <v>20</v>
      </c>
    </row>
    <row r="362" ht="13.55" customHeight="1">
      <c r="A362" s="3">
        <v>13082</v>
      </c>
      <c r="B362" t="s" s="2">
        <v>25</v>
      </c>
      <c r="C362" t="s" s="2">
        <v>13</v>
      </c>
      <c r="D362" s="4">
        <v>130000</v>
      </c>
      <c r="E362" s="3">
        <v>0</v>
      </c>
      <c r="F362" t="s" s="2">
        <v>34</v>
      </c>
      <c r="G362" t="s" s="2">
        <v>31</v>
      </c>
      <c r="H362" t="s" s="2">
        <v>17</v>
      </c>
      <c r="I362" s="3">
        <v>0</v>
      </c>
      <c r="J362" t="s" s="2">
        <v>24</v>
      </c>
      <c r="K362" t="s" s="2">
        <v>27</v>
      </c>
      <c r="L362" s="3">
        <v>48</v>
      </c>
      <c r="M362" t="s" s="2">
        <v>17</v>
      </c>
    </row>
    <row r="363" ht="13.55" customHeight="1">
      <c r="A363" s="3">
        <v>22518</v>
      </c>
      <c r="B363" t="s" s="2">
        <v>25</v>
      </c>
      <c r="C363" t="s" s="2">
        <v>14</v>
      </c>
      <c r="D363" s="4">
        <v>30000</v>
      </c>
      <c r="E363" s="3">
        <v>3</v>
      </c>
      <c r="F363" t="s" s="2">
        <v>21</v>
      </c>
      <c r="G363" t="s" s="2">
        <v>22</v>
      </c>
      <c r="H363" t="s" s="2">
        <v>20</v>
      </c>
      <c r="I363" s="3">
        <v>2</v>
      </c>
      <c r="J363" t="s" s="2">
        <v>18</v>
      </c>
      <c r="K363" t="s" s="2">
        <v>19</v>
      </c>
      <c r="L363" s="3">
        <v>27</v>
      </c>
      <c r="M363" t="s" s="2">
        <v>17</v>
      </c>
    </row>
    <row r="364" ht="13.55" customHeight="1">
      <c r="A364" s="3">
        <v>13687</v>
      </c>
      <c r="B364" t="s" s="2">
        <v>13</v>
      </c>
      <c r="C364" t="s" s="2">
        <v>13</v>
      </c>
      <c r="D364" s="4">
        <v>40000</v>
      </c>
      <c r="E364" s="3">
        <v>1</v>
      </c>
      <c r="F364" t="s" s="2">
        <v>15</v>
      </c>
      <c r="G364" t="s" s="2">
        <v>16</v>
      </c>
      <c r="H364" t="s" s="2">
        <v>17</v>
      </c>
      <c r="I364" s="3">
        <v>1</v>
      </c>
      <c r="J364" t="s" s="2">
        <v>18</v>
      </c>
      <c r="K364" t="s" s="2">
        <v>19</v>
      </c>
      <c r="L364" s="3">
        <v>33</v>
      </c>
      <c r="M364" t="s" s="2">
        <v>17</v>
      </c>
    </row>
    <row r="365" ht="13.55" customHeight="1">
      <c r="A365" s="3">
        <v>23571</v>
      </c>
      <c r="B365" t="s" s="2">
        <v>13</v>
      </c>
      <c r="C365" t="s" s="2">
        <v>14</v>
      </c>
      <c r="D365" s="4">
        <v>40000</v>
      </c>
      <c r="E365" s="3">
        <v>2</v>
      </c>
      <c r="F365" t="s" s="2">
        <v>15</v>
      </c>
      <c r="G365" t="s" s="2">
        <v>31</v>
      </c>
      <c r="H365" t="s" s="2">
        <v>17</v>
      </c>
      <c r="I365" s="3">
        <v>2</v>
      </c>
      <c r="J365" t="s" s="2">
        <v>18</v>
      </c>
      <c r="K365" t="s" s="2">
        <v>27</v>
      </c>
      <c r="L365" s="3">
        <v>66</v>
      </c>
      <c r="M365" t="s" s="2">
        <v>17</v>
      </c>
    </row>
    <row r="366" ht="13.55" customHeight="1">
      <c r="A366" s="3">
        <v>19305</v>
      </c>
      <c r="B366" t="s" s="2">
        <v>25</v>
      </c>
      <c r="C366" t="s" s="2">
        <v>14</v>
      </c>
      <c r="D366" s="4">
        <v>10000</v>
      </c>
      <c r="E366" s="3">
        <v>2</v>
      </c>
      <c r="F366" t="s" s="2">
        <v>30</v>
      </c>
      <c r="G366" t="s" s="2">
        <v>28</v>
      </c>
      <c r="H366" t="s" s="2">
        <v>17</v>
      </c>
      <c r="I366" s="3">
        <v>1</v>
      </c>
      <c r="J366" t="s" s="2">
        <v>18</v>
      </c>
      <c r="K366" t="s" s="2">
        <v>19</v>
      </c>
      <c r="L366" s="3">
        <v>38</v>
      </c>
      <c r="M366" t="s" s="2">
        <v>17</v>
      </c>
    </row>
    <row r="367" ht="13.55" customHeight="1">
      <c r="A367" s="3">
        <v>22636</v>
      </c>
      <c r="B367" t="s" s="2">
        <v>25</v>
      </c>
      <c r="C367" t="s" s="2">
        <v>14</v>
      </c>
      <c r="D367" s="4">
        <v>40000</v>
      </c>
      <c r="E367" s="3">
        <v>0</v>
      </c>
      <c r="F367" t="s" s="2">
        <v>15</v>
      </c>
      <c r="G367" t="s" s="2">
        <v>22</v>
      </c>
      <c r="H367" t="s" s="2">
        <v>20</v>
      </c>
      <c r="I367" s="3">
        <v>0</v>
      </c>
      <c r="J367" t="s" s="2">
        <v>18</v>
      </c>
      <c r="K367" t="s" s="2">
        <v>19</v>
      </c>
      <c r="L367" s="3">
        <v>38</v>
      </c>
      <c r="M367" t="s" s="2">
        <v>17</v>
      </c>
    </row>
    <row r="368" ht="13.55" customHeight="1">
      <c r="A368" s="3">
        <v>17310</v>
      </c>
      <c r="B368" t="s" s="2">
        <v>13</v>
      </c>
      <c r="C368" t="s" s="2">
        <v>13</v>
      </c>
      <c r="D368" s="4">
        <v>60000</v>
      </c>
      <c r="E368" s="3">
        <v>1</v>
      </c>
      <c r="F368" t="s" s="2">
        <v>21</v>
      </c>
      <c r="G368" t="s" s="2">
        <v>16</v>
      </c>
      <c r="H368" t="s" s="2">
        <v>17</v>
      </c>
      <c r="I368" s="3">
        <v>1</v>
      </c>
      <c r="J368" t="s" s="2">
        <v>18</v>
      </c>
      <c r="K368" t="s" s="2">
        <v>27</v>
      </c>
      <c r="L368" s="3">
        <v>45</v>
      </c>
      <c r="M368" t="s" s="2">
        <v>17</v>
      </c>
    </row>
    <row r="369" ht="13.55" customHeight="1">
      <c r="A369" s="3">
        <v>12133</v>
      </c>
      <c r="B369" t="s" s="2">
        <v>13</v>
      </c>
      <c r="C369" t="s" s="2">
        <v>14</v>
      </c>
      <c r="D369" s="4">
        <v>130000</v>
      </c>
      <c r="E369" s="3">
        <v>3</v>
      </c>
      <c r="F369" t="s" s="2">
        <v>21</v>
      </c>
      <c r="G369" t="s" s="2">
        <v>23</v>
      </c>
      <c r="H369" t="s" s="2">
        <v>17</v>
      </c>
      <c r="I369" s="3">
        <v>3</v>
      </c>
      <c r="J369" t="s" s="2">
        <v>26</v>
      </c>
      <c r="K369" t="s" s="2">
        <v>19</v>
      </c>
      <c r="L369" s="3">
        <v>50</v>
      </c>
      <c r="M369" t="s" s="2">
        <v>17</v>
      </c>
    </row>
    <row r="370" ht="13.55" customHeight="1">
      <c r="A370" s="3">
        <v>25918</v>
      </c>
      <c r="B370" t="s" s="2">
        <v>25</v>
      </c>
      <c r="C370" t="s" s="2">
        <v>14</v>
      </c>
      <c r="D370" s="4">
        <v>30000</v>
      </c>
      <c r="E370" s="3">
        <v>2</v>
      </c>
      <c r="F370" t="s" s="2">
        <v>21</v>
      </c>
      <c r="G370" t="s" s="2">
        <v>22</v>
      </c>
      <c r="H370" t="s" s="2">
        <v>20</v>
      </c>
      <c r="I370" s="3">
        <v>2</v>
      </c>
      <c r="J370" t="s" s="2">
        <v>26</v>
      </c>
      <c r="K370" t="s" s="2">
        <v>27</v>
      </c>
      <c r="L370" s="3">
        <v>60</v>
      </c>
      <c r="M370" t="s" s="2">
        <v>17</v>
      </c>
    </row>
    <row r="371" ht="13.55" customHeight="1">
      <c r="A371" s="3">
        <v>25752</v>
      </c>
      <c r="B371" t="s" s="2">
        <v>25</v>
      </c>
      <c r="C371" t="s" s="2">
        <v>14</v>
      </c>
      <c r="D371" s="4">
        <v>20000</v>
      </c>
      <c r="E371" s="3">
        <v>2</v>
      </c>
      <c r="F371" t="s" s="2">
        <v>21</v>
      </c>
      <c r="G371" t="s" s="2">
        <v>28</v>
      </c>
      <c r="H371" t="s" s="2">
        <v>20</v>
      </c>
      <c r="I371" s="3">
        <v>1</v>
      </c>
      <c r="J371" t="s" s="2">
        <v>18</v>
      </c>
      <c r="K371" t="s" s="2">
        <v>19</v>
      </c>
      <c r="L371" s="3">
        <v>53</v>
      </c>
      <c r="M371" t="s" s="2">
        <v>17</v>
      </c>
    </row>
    <row r="372" ht="13.55" customHeight="1">
      <c r="A372" s="3">
        <v>17324</v>
      </c>
      <c r="B372" t="s" s="2">
        <v>13</v>
      </c>
      <c r="C372" t="s" s="2">
        <v>14</v>
      </c>
      <c r="D372" s="4">
        <v>100000</v>
      </c>
      <c r="E372" s="3">
        <v>4</v>
      </c>
      <c r="F372" t="s" s="2">
        <v>15</v>
      </c>
      <c r="G372" t="s" s="2">
        <v>23</v>
      </c>
      <c r="H372" t="s" s="2">
        <v>17</v>
      </c>
      <c r="I372" s="3">
        <v>1</v>
      </c>
      <c r="J372" t="s" s="2">
        <v>33</v>
      </c>
      <c r="K372" t="s" s="2">
        <v>27</v>
      </c>
      <c r="L372" s="3">
        <v>46</v>
      </c>
      <c r="M372" t="s" s="2">
        <v>20</v>
      </c>
    </row>
    <row r="373" ht="13.55" customHeight="1">
      <c r="A373" s="3">
        <v>22918</v>
      </c>
      <c r="B373" t="s" s="2">
        <v>25</v>
      </c>
      <c r="C373" t="s" s="2">
        <v>13</v>
      </c>
      <c r="D373" s="4">
        <v>80000</v>
      </c>
      <c r="E373" s="3">
        <v>5</v>
      </c>
      <c r="F373" t="s" s="2">
        <v>34</v>
      </c>
      <c r="G373" t="s" s="2">
        <v>31</v>
      </c>
      <c r="H373" t="s" s="2">
        <v>17</v>
      </c>
      <c r="I373" s="3">
        <v>3</v>
      </c>
      <c r="J373" t="s" s="2">
        <v>18</v>
      </c>
      <c r="K373" t="s" s="2">
        <v>27</v>
      </c>
      <c r="L373" s="3">
        <v>50</v>
      </c>
      <c r="M373" t="s" s="2">
        <v>20</v>
      </c>
    </row>
    <row r="374" ht="13.55" customHeight="1">
      <c r="A374" s="3">
        <v>12510</v>
      </c>
      <c r="B374" t="s" s="2">
        <v>13</v>
      </c>
      <c r="C374" t="s" s="2">
        <v>13</v>
      </c>
      <c r="D374" s="4">
        <v>40000</v>
      </c>
      <c r="E374" s="3">
        <v>1</v>
      </c>
      <c r="F374" t="s" s="2">
        <v>15</v>
      </c>
      <c r="G374" t="s" s="2">
        <v>16</v>
      </c>
      <c r="H374" t="s" s="2">
        <v>17</v>
      </c>
      <c r="I374" s="3">
        <v>1</v>
      </c>
      <c r="J374" t="s" s="2">
        <v>18</v>
      </c>
      <c r="K374" t="s" s="2">
        <v>19</v>
      </c>
      <c r="L374" s="3">
        <v>43</v>
      </c>
      <c r="M374" t="s" s="2">
        <v>17</v>
      </c>
    </row>
    <row r="375" ht="13.55" customHeight="1">
      <c r="A375" s="3">
        <v>25512</v>
      </c>
      <c r="B375" t="s" s="2">
        <v>25</v>
      </c>
      <c r="C375" t="s" s="2">
        <v>13</v>
      </c>
      <c r="D375" s="4">
        <v>20000</v>
      </c>
      <c r="E375" s="3">
        <v>0</v>
      </c>
      <c r="F375" t="s" s="2">
        <v>30</v>
      </c>
      <c r="G375" t="s" s="2">
        <v>28</v>
      </c>
      <c r="H375" t="s" s="2">
        <v>20</v>
      </c>
      <c r="I375" s="3">
        <v>1</v>
      </c>
      <c r="J375" t="s" s="2">
        <v>24</v>
      </c>
      <c r="K375" t="s" s="2">
        <v>19</v>
      </c>
      <c r="L375" s="3">
        <v>30</v>
      </c>
      <c r="M375" t="s" s="2">
        <v>20</v>
      </c>
    </row>
    <row r="376" ht="13.55" customHeight="1">
      <c r="A376" s="3">
        <v>16179</v>
      </c>
      <c r="B376" t="s" s="2">
        <v>25</v>
      </c>
      <c r="C376" t="s" s="2">
        <v>14</v>
      </c>
      <c r="D376" s="4">
        <v>80000</v>
      </c>
      <c r="E376" s="3">
        <v>5</v>
      </c>
      <c r="F376" t="s" s="2">
        <v>15</v>
      </c>
      <c r="G376" t="s" s="2">
        <v>23</v>
      </c>
      <c r="H376" t="s" s="2">
        <v>17</v>
      </c>
      <c r="I376" s="3">
        <v>4</v>
      </c>
      <c r="J376" t="s" s="2">
        <v>29</v>
      </c>
      <c r="K376" t="s" s="2">
        <v>27</v>
      </c>
      <c r="L376" s="3">
        <v>38</v>
      </c>
      <c r="M376" t="s" s="2">
        <v>20</v>
      </c>
    </row>
    <row r="377" ht="13.55" customHeight="1">
      <c r="A377" s="3">
        <v>15628</v>
      </c>
      <c r="B377" t="s" s="2">
        <v>13</v>
      </c>
      <c r="C377" t="s" s="2">
        <v>14</v>
      </c>
      <c r="D377" s="4">
        <v>40000</v>
      </c>
      <c r="E377" s="3">
        <v>1</v>
      </c>
      <c r="F377" t="s" s="2">
        <v>15</v>
      </c>
      <c r="G377" t="s" s="2">
        <v>16</v>
      </c>
      <c r="H377" t="s" s="2">
        <v>17</v>
      </c>
      <c r="I377" s="3">
        <v>1</v>
      </c>
      <c r="J377" t="s" s="2">
        <v>18</v>
      </c>
      <c r="K377" t="s" s="2">
        <v>19</v>
      </c>
      <c r="L377" s="3">
        <v>89</v>
      </c>
      <c r="M377" t="s" s="2">
        <v>20</v>
      </c>
    </row>
    <row r="378" ht="13.55" customHeight="1">
      <c r="A378" s="3">
        <v>20977</v>
      </c>
      <c r="B378" t="s" s="2">
        <v>13</v>
      </c>
      <c r="C378" t="s" s="2">
        <v>13</v>
      </c>
      <c r="D378" s="4">
        <v>20000</v>
      </c>
      <c r="E378" s="3">
        <v>1</v>
      </c>
      <c r="F378" t="s" s="2">
        <v>15</v>
      </c>
      <c r="G378" t="s" s="2">
        <v>22</v>
      </c>
      <c r="H378" t="s" s="2">
        <v>17</v>
      </c>
      <c r="I378" s="3">
        <v>0</v>
      </c>
      <c r="J378" t="s" s="2">
        <v>18</v>
      </c>
      <c r="K378" t="s" s="2">
        <v>19</v>
      </c>
      <c r="L378" s="3">
        <v>64</v>
      </c>
      <c r="M378" t="s" s="2">
        <v>17</v>
      </c>
    </row>
    <row r="379" ht="13.55" customHeight="1">
      <c r="A379" s="3">
        <v>18140</v>
      </c>
      <c r="B379" t="s" s="2">
        <v>13</v>
      </c>
      <c r="C379" t="s" s="2">
        <v>13</v>
      </c>
      <c r="D379" s="4">
        <v>130000</v>
      </c>
      <c r="E379" s="3">
        <v>3</v>
      </c>
      <c r="F379" t="s" s="2">
        <v>21</v>
      </c>
      <c r="G379" t="s" s="2">
        <v>23</v>
      </c>
      <c r="H379" t="s" s="2">
        <v>20</v>
      </c>
      <c r="I379" s="3">
        <v>3</v>
      </c>
      <c r="J379" t="s" s="2">
        <v>26</v>
      </c>
      <c r="K379" t="s" s="2">
        <v>19</v>
      </c>
      <c r="L379" s="3">
        <v>51</v>
      </c>
      <c r="M379" t="s" s="2">
        <v>17</v>
      </c>
    </row>
    <row r="380" ht="13.55" customHeight="1">
      <c r="A380" s="3">
        <v>20417</v>
      </c>
      <c r="B380" t="s" s="2">
        <v>13</v>
      </c>
      <c r="C380" t="s" s="2">
        <v>13</v>
      </c>
      <c r="D380" s="4">
        <v>30000</v>
      </c>
      <c r="E380" s="3">
        <v>3</v>
      </c>
      <c r="F380" t="s" s="2">
        <v>21</v>
      </c>
      <c r="G380" t="s" s="2">
        <v>22</v>
      </c>
      <c r="H380" t="s" s="2">
        <v>20</v>
      </c>
      <c r="I380" s="3">
        <v>2</v>
      </c>
      <c r="J380" t="s" s="2">
        <v>26</v>
      </c>
      <c r="K380" t="s" s="2">
        <v>27</v>
      </c>
      <c r="L380" s="3">
        <v>56</v>
      </c>
      <c r="M380" t="s" s="2">
        <v>20</v>
      </c>
    </row>
    <row r="381" ht="13.55" customHeight="1">
      <c r="A381" s="3">
        <v>18267</v>
      </c>
      <c r="B381" t="s" s="2">
        <v>13</v>
      </c>
      <c r="C381" t="s" s="2">
        <v>13</v>
      </c>
      <c r="D381" s="4">
        <v>60000</v>
      </c>
      <c r="E381" s="3">
        <v>3</v>
      </c>
      <c r="F381" t="s" s="2">
        <v>15</v>
      </c>
      <c r="G381" t="s" s="2">
        <v>23</v>
      </c>
      <c r="H381" t="s" s="2">
        <v>17</v>
      </c>
      <c r="I381" s="3">
        <v>2</v>
      </c>
      <c r="J381" t="s" s="2">
        <v>26</v>
      </c>
      <c r="K381" t="s" s="2">
        <v>27</v>
      </c>
      <c r="L381" s="3">
        <v>43</v>
      </c>
      <c r="M381" t="s" s="2">
        <v>20</v>
      </c>
    </row>
    <row r="382" ht="13.55" customHeight="1">
      <c r="A382" s="3">
        <v>13620</v>
      </c>
      <c r="B382" t="s" s="2">
        <v>25</v>
      </c>
      <c r="C382" t="s" s="2">
        <v>13</v>
      </c>
      <c r="D382" s="4">
        <v>70000</v>
      </c>
      <c r="E382" s="3">
        <v>0</v>
      </c>
      <c r="F382" t="s" s="2">
        <v>15</v>
      </c>
      <c r="G382" t="s" s="2">
        <v>23</v>
      </c>
      <c r="H382" t="s" s="2">
        <v>20</v>
      </c>
      <c r="I382" s="3">
        <v>3</v>
      </c>
      <c r="J382" t="s" s="2">
        <v>33</v>
      </c>
      <c r="K382" t="s" s="2">
        <v>27</v>
      </c>
      <c r="L382" s="3">
        <v>30</v>
      </c>
      <c r="M382" t="s" s="2">
        <v>17</v>
      </c>
    </row>
    <row r="383" ht="13.55" customHeight="1">
      <c r="A383" s="3">
        <v>22974</v>
      </c>
      <c r="B383" t="s" s="2">
        <v>13</v>
      </c>
      <c r="C383" t="s" s="2">
        <v>14</v>
      </c>
      <c r="D383" s="4">
        <v>30000</v>
      </c>
      <c r="E383" s="3">
        <v>2</v>
      </c>
      <c r="F383" t="s" s="2">
        <v>21</v>
      </c>
      <c r="G383" t="s" s="2">
        <v>22</v>
      </c>
      <c r="H383" t="s" s="2">
        <v>17</v>
      </c>
      <c r="I383" s="3">
        <v>2</v>
      </c>
      <c r="J383" t="s" s="2">
        <v>26</v>
      </c>
      <c r="K383" t="s" s="2">
        <v>27</v>
      </c>
      <c r="L383" s="3">
        <v>69</v>
      </c>
      <c r="M383" t="s" s="2">
        <v>20</v>
      </c>
    </row>
    <row r="384" ht="13.55" customHeight="1">
      <c r="A384" s="3">
        <v>13586</v>
      </c>
      <c r="B384" t="s" s="2">
        <v>13</v>
      </c>
      <c r="C384" t="s" s="2">
        <v>13</v>
      </c>
      <c r="D384" s="4">
        <v>80000</v>
      </c>
      <c r="E384" s="3">
        <v>4</v>
      </c>
      <c r="F384" t="s" s="2">
        <v>21</v>
      </c>
      <c r="G384" t="s" s="2">
        <v>23</v>
      </c>
      <c r="H384" t="s" s="2">
        <v>17</v>
      </c>
      <c r="I384" s="3">
        <v>2</v>
      </c>
      <c r="J384" t="s" s="2">
        <v>33</v>
      </c>
      <c r="K384" t="s" s="2">
        <v>19</v>
      </c>
      <c r="L384" s="3">
        <v>53</v>
      </c>
      <c r="M384" t="s" s="2">
        <v>20</v>
      </c>
    </row>
    <row r="385" ht="13.55" customHeight="1">
      <c r="A385" s="3">
        <v>17978</v>
      </c>
      <c r="B385" t="s" s="2">
        <v>13</v>
      </c>
      <c r="C385" t="s" s="2">
        <v>13</v>
      </c>
      <c r="D385" s="4">
        <v>40000</v>
      </c>
      <c r="E385" s="3">
        <v>0</v>
      </c>
      <c r="F385" t="s" s="2">
        <v>34</v>
      </c>
      <c r="G385" t="s" s="2">
        <v>22</v>
      </c>
      <c r="H385" t="s" s="2">
        <v>17</v>
      </c>
      <c r="I385" s="3">
        <v>0</v>
      </c>
      <c r="J385" t="s" s="2">
        <v>18</v>
      </c>
      <c r="K385" t="s" s="2">
        <v>19</v>
      </c>
      <c r="L385" s="3">
        <v>37</v>
      </c>
      <c r="M385" t="s" s="2">
        <v>17</v>
      </c>
    </row>
    <row r="386" ht="13.55" customHeight="1">
      <c r="A386" s="3">
        <v>12581</v>
      </c>
      <c r="B386" t="s" s="2">
        <v>25</v>
      </c>
      <c r="C386" t="s" s="2">
        <v>14</v>
      </c>
      <c r="D386" s="4">
        <v>10000</v>
      </c>
      <c r="E386" s="3">
        <v>0</v>
      </c>
      <c r="F386" t="s" s="2">
        <v>21</v>
      </c>
      <c r="G386" t="s" s="2">
        <v>28</v>
      </c>
      <c r="H386" t="s" s="2">
        <v>20</v>
      </c>
      <c r="I386" s="3">
        <v>1</v>
      </c>
      <c r="J386" t="s" s="2">
        <v>18</v>
      </c>
      <c r="K386" t="s" s="2">
        <v>27</v>
      </c>
      <c r="L386" s="3">
        <v>28</v>
      </c>
      <c r="M386" t="s" s="2">
        <v>17</v>
      </c>
    </row>
    <row r="387" ht="13.55" customHeight="1">
      <c r="A387" s="3">
        <v>18018</v>
      </c>
      <c r="B387" t="s" s="2">
        <v>25</v>
      </c>
      <c r="C387" t="s" s="2">
        <v>13</v>
      </c>
      <c r="D387" s="4">
        <v>30000</v>
      </c>
      <c r="E387" s="3">
        <v>3</v>
      </c>
      <c r="F387" t="s" s="2">
        <v>21</v>
      </c>
      <c r="G387" t="s" s="2">
        <v>22</v>
      </c>
      <c r="H387" t="s" s="2">
        <v>17</v>
      </c>
      <c r="I387" s="3">
        <v>0</v>
      </c>
      <c r="J387" t="s" s="2">
        <v>18</v>
      </c>
      <c r="K387" t="s" s="2">
        <v>19</v>
      </c>
      <c r="L387" s="3">
        <v>43</v>
      </c>
      <c r="M387" t="s" s="2">
        <v>20</v>
      </c>
    </row>
    <row r="388" ht="13.55" customHeight="1">
      <c r="A388" s="3">
        <v>28957</v>
      </c>
      <c r="B388" t="s" s="2">
        <v>25</v>
      </c>
      <c r="C388" t="s" s="2">
        <v>14</v>
      </c>
      <c r="D388" s="4">
        <v>120000</v>
      </c>
      <c r="E388" s="3">
        <v>0</v>
      </c>
      <c r="F388" t="s" s="2">
        <v>32</v>
      </c>
      <c r="G388" t="s" s="2">
        <v>23</v>
      </c>
      <c r="H388" t="s" s="2">
        <v>17</v>
      </c>
      <c r="I388" s="3">
        <v>4</v>
      </c>
      <c r="J388" t="s" s="2">
        <v>33</v>
      </c>
      <c r="K388" t="s" s="2">
        <v>27</v>
      </c>
      <c r="L388" s="3">
        <v>34</v>
      </c>
      <c r="M388" t="s" s="2">
        <v>17</v>
      </c>
    </row>
    <row r="389" ht="13.55" customHeight="1">
      <c r="A389" s="3">
        <v>13690</v>
      </c>
      <c r="B389" t="s" s="2">
        <v>25</v>
      </c>
      <c r="C389" t="s" s="2">
        <v>14</v>
      </c>
      <c r="D389" s="4">
        <v>20000</v>
      </c>
      <c r="E389" s="3">
        <v>0</v>
      </c>
      <c r="F389" t="s" s="2">
        <v>32</v>
      </c>
      <c r="G389" t="s" s="2">
        <v>28</v>
      </c>
      <c r="H389" t="s" s="2">
        <v>20</v>
      </c>
      <c r="I389" s="3">
        <v>2</v>
      </c>
      <c r="J389" t="s" s="2">
        <v>29</v>
      </c>
      <c r="K389" t="s" s="2">
        <v>19</v>
      </c>
      <c r="L389" s="3">
        <v>34</v>
      </c>
      <c r="M389" t="s" s="2">
        <v>17</v>
      </c>
    </row>
    <row r="390" ht="13.55" customHeight="1">
      <c r="A390" s="3">
        <v>12568</v>
      </c>
      <c r="B390" t="s" s="2">
        <v>13</v>
      </c>
      <c r="C390" t="s" s="2">
        <v>14</v>
      </c>
      <c r="D390" s="4">
        <v>30000</v>
      </c>
      <c r="E390" s="3">
        <v>1</v>
      </c>
      <c r="F390" t="s" s="2">
        <v>15</v>
      </c>
      <c r="G390" t="s" s="2">
        <v>22</v>
      </c>
      <c r="H390" t="s" s="2">
        <v>17</v>
      </c>
      <c r="I390" s="3">
        <v>0</v>
      </c>
      <c r="J390" t="s" s="2">
        <v>18</v>
      </c>
      <c r="K390" t="s" s="2">
        <v>19</v>
      </c>
      <c r="L390" s="3">
        <v>64</v>
      </c>
      <c r="M390" t="s" s="2">
        <v>20</v>
      </c>
    </row>
    <row r="391" ht="13.55" customHeight="1">
      <c r="A391" s="3">
        <v>13122</v>
      </c>
      <c r="B391" t="s" s="2">
        <v>13</v>
      </c>
      <c r="C391" t="s" s="2">
        <v>14</v>
      </c>
      <c r="D391" s="4">
        <v>80000</v>
      </c>
      <c r="E391" s="3">
        <v>0</v>
      </c>
      <c r="F391" t="s" s="2">
        <v>15</v>
      </c>
      <c r="G391" t="s" s="2">
        <v>23</v>
      </c>
      <c r="H391" t="s" s="2">
        <v>17</v>
      </c>
      <c r="I391" s="3">
        <v>1</v>
      </c>
      <c r="J391" t="s" s="2">
        <v>29</v>
      </c>
      <c r="K391" t="s" s="2">
        <v>27</v>
      </c>
      <c r="L391" s="3">
        <v>41</v>
      </c>
      <c r="M391" t="s" s="2">
        <v>17</v>
      </c>
    </row>
    <row r="392" ht="13.55" customHeight="1">
      <c r="A392" s="3">
        <v>21184</v>
      </c>
      <c r="B392" t="s" s="2">
        <v>25</v>
      </c>
      <c r="C392" t="s" s="2">
        <v>13</v>
      </c>
      <c r="D392" s="4">
        <v>70000</v>
      </c>
      <c r="E392" s="3">
        <v>0</v>
      </c>
      <c r="F392" t="s" s="2">
        <v>15</v>
      </c>
      <c r="G392" t="s" s="2">
        <v>23</v>
      </c>
      <c r="H392" t="s" s="2">
        <v>20</v>
      </c>
      <c r="I392" s="3">
        <v>1</v>
      </c>
      <c r="J392" t="s" s="2">
        <v>26</v>
      </c>
      <c r="K392" t="s" s="2">
        <v>27</v>
      </c>
      <c r="L392" s="3">
        <v>38</v>
      </c>
      <c r="M392" t="s" s="2">
        <v>20</v>
      </c>
    </row>
    <row r="393" ht="13.55" customHeight="1">
      <c r="A393" s="3">
        <v>26150</v>
      </c>
      <c r="B393" t="s" s="2">
        <v>25</v>
      </c>
      <c r="C393" t="s" s="2">
        <v>14</v>
      </c>
      <c r="D393" s="4">
        <v>70000</v>
      </c>
      <c r="E393" s="3">
        <v>0</v>
      </c>
      <c r="F393" t="s" s="2">
        <v>15</v>
      </c>
      <c r="G393" t="s" s="2">
        <v>23</v>
      </c>
      <c r="H393" t="s" s="2">
        <v>20</v>
      </c>
      <c r="I393" s="3">
        <v>1</v>
      </c>
      <c r="J393" t="s" s="2">
        <v>18</v>
      </c>
      <c r="K393" t="s" s="2">
        <v>27</v>
      </c>
      <c r="L393" s="3">
        <v>41</v>
      </c>
      <c r="M393" t="s" s="2">
        <v>17</v>
      </c>
    </row>
    <row r="394" ht="13.55" customHeight="1">
      <c r="A394" s="3">
        <v>24151</v>
      </c>
      <c r="B394" t="s" s="2">
        <v>25</v>
      </c>
      <c r="C394" t="s" s="2">
        <v>13</v>
      </c>
      <c r="D394" s="4">
        <v>20000</v>
      </c>
      <c r="E394" s="3">
        <v>1</v>
      </c>
      <c r="F394" t="s" s="2">
        <v>15</v>
      </c>
      <c r="G394" t="s" s="2">
        <v>22</v>
      </c>
      <c r="H394" t="s" s="2">
        <v>20</v>
      </c>
      <c r="I394" s="3">
        <v>0</v>
      </c>
      <c r="J394" t="s" s="2">
        <v>18</v>
      </c>
      <c r="K394" t="s" s="2">
        <v>19</v>
      </c>
      <c r="L394" s="3">
        <v>51</v>
      </c>
      <c r="M394" t="s" s="2">
        <v>20</v>
      </c>
    </row>
    <row r="395" ht="13.55" customHeight="1">
      <c r="A395" s="3">
        <v>23962</v>
      </c>
      <c r="B395" t="s" s="2">
        <v>13</v>
      </c>
      <c r="C395" t="s" s="2">
        <v>14</v>
      </c>
      <c r="D395" s="4">
        <v>10000</v>
      </c>
      <c r="E395" s="3">
        <v>0</v>
      </c>
      <c r="F395" t="s" s="2">
        <v>32</v>
      </c>
      <c r="G395" t="s" s="2">
        <v>28</v>
      </c>
      <c r="H395" t="s" s="2">
        <v>17</v>
      </c>
      <c r="I395" s="3">
        <v>2</v>
      </c>
      <c r="J395" t="s" s="2">
        <v>29</v>
      </c>
      <c r="K395" t="s" s="2">
        <v>19</v>
      </c>
      <c r="L395" s="3">
        <v>32</v>
      </c>
      <c r="M395" t="s" s="2">
        <v>20</v>
      </c>
    </row>
    <row r="396" ht="13.55" customHeight="1">
      <c r="A396" s="3">
        <v>17793</v>
      </c>
      <c r="B396" t="s" s="2">
        <v>13</v>
      </c>
      <c r="C396" t="s" s="2">
        <v>14</v>
      </c>
      <c r="D396" s="4">
        <v>40000</v>
      </c>
      <c r="E396" s="3">
        <v>0</v>
      </c>
      <c r="F396" t="s" s="2">
        <v>15</v>
      </c>
      <c r="G396" t="s" s="2">
        <v>22</v>
      </c>
      <c r="H396" t="s" s="2">
        <v>17</v>
      </c>
      <c r="I396" s="3">
        <v>0</v>
      </c>
      <c r="J396" t="s" s="2">
        <v>18</v>
      </c>
      <c r="K396" t="s" s="2">
        <v>19</v>
      </c>
      <c r="L396" s="3">
        <v>38</v>
      </c>
      <c r="M396" t="s" s="2">
        <v>17</v>
      </c>
    </row>
    <row r="397" ht="13.55" customHeight="1">
      <c r="A397" s="3">
        <v>14926</v>
      </c>
      <c r="B397" t="s" s="2">
        <v>13</v>
      </c>
      <c r="C397" t="s" s="2">
        <v>13</v>
      </c>
      <c r="D397" s="4">
        <v>30000</v>
      </c>
      <c r="E397" s="3">
        <v>1</v>
      </c>
      <c r="F397" t="s" s="2">
        <v>15</v>
      </c>
      <c r="G397" t="s" s="2">
        <v>22</v>
      </c>
      <c r="H397" t="s" s="2">
        <v>17</v>
      </c>
      <c r="I397" s="3">
        <v>0</v>
      </c>
      <c r="J397" t="s" s="2">
        <v>18</v>
      </c>
      <c r="K397" t="s" s="2">
        <v>19</v>
      </c>
      <c r="L397" s="3">
        <v>38</v>
      </c>
      <c r="M397" t="s" s="2">
        <v>17</v>
      </c>
    </row>
    <row r="398" ht="13.55" customHeight="1">
      <c r="A398" s="3">
        <v>16163</v>
      </c>
      <c r="B398" t="s" s="2">
        <v>25</v>
      </c>
      <c r="C398" t="s" s="2">
        <v>13</v>
      </c>
      <c r="D398" s="4">
        <v>60000</v>
      </c>
      <c r="E398" s="3">
        <v>2</v>
      </c>
      <c r="F398" t="s" s="2">
        <v>15</v>
      </c>
      <c r="G398" t="s" s="2">
        <v>23</v>
      </c>
      <c r="H398" t="s" s="2">
        <v>17</v>
      </c>
      <c r="I398" s="3">
        <v>1</v>
      </c>
      <c r="J398" t="s" s="2">
        <v>24</v>
      </c>
      <c r="K398" t="s" s="2">
        <v>27</v>
      </c>
      <c r="L398" s="3">
        <v>38</v>
      </c>
      <c r="M398" t="s" s="2">
        <v>17</v>
      </c>
    </row>
    <row r="399" ht="13.55" customHeight="1">
      <c r="A399" s="3">
        <v>21365</v>
      </c>
      <c r="B399" t="s" s="2">
        <v>13</v>
      </c>
      <c r="C399" t="s" s="2">
        <v>14</v>
      </c>
      <c r="D399" s="4">
        <v>10000</v>
      </c>
      <c r="E399" s="3">
        <v>2</v>
      </c>
      <c r="F399" t="s" s="2">
        <v>32</v>
      </c>
      <c r="G399" t="s" s="2">
        <v>22</v>
      </c>
      <c r="H399" t="s" s="2">
        <v>17</v>
      </c>
      <c r="I399" s="3">
        <v>2</v>
      </c>
      <c r="J399" t="s" s="2">
        <v>26</v>
      </c>
      <c r="K399" t="s" s="2">
        <v>27</v>
      </c>
      <c r="L399" s="3">
        <v>58</v>
      </c>
      <c r="M399" t="s" s="2">
        <v>20</v>
      </c>
    </row>
    <row r="400" ht="13.55" customHeight="1">
      <c r="A400" s="3">
        <v>27771</v>
      </c>
      <c r="B400" t="s" s="2">
        <v>25</v>
      </c>
      <c r="C400" t="s" s="2">
        <v>13</v>
      </c>
      <c r="D400" s="4">
        <v>30000</v>
      </c>
      <c r="E400" s="3">
        <v>1</v>
      </c>
      <c r="F400" t="s" s="2">
        <v>15</v>
      </c>
      <c r="G400" t="s" s="2">
        <v>22</v>
      </c>
      <c r="H400" t="s" s="2">
        <v>17</v>
      </c>
      <c r="I400" s="3">
        <v>1</v>
      </c>
      <c r="J400" t="s" s="2">
        <v>29</v>
      </c>
      <c r="K400" t="s" s="2">
        <v>19</v>
      </c>
      <c r="L400" s="3">
        <v>39</v>
      </c>
      <c r="M400" t="s" s="2">
        <v>17</v>
      </c>
    </row>
    <row r="401" ht="13.55" customHeight="1">
      <c r="A401" s="3">
        <v>26167</v>
      </c>
      <c r="B401" t="s" s="2">
        <v>25</v>
      </c>
      <c r="C401" t="s" s="2">
        <v>14</v>
      </c>
      <c r="D401" s="4">
        <v>40000</v>
      </c>
      <c r="E401" s="3">
        <v>2</v>
      </c>
      <c r="F401" t="s" s="2">
        <v>15</v>
      </c>
      <c r="G401" t="s" s="2">
        <v>31</v>
      </c>
      <c r="H401" t="s" s="2">
        <v>20</v>
      </c>
      <c r="I401" s="3">
        <v>1</v>
      </c>
      <c r="J401" t="s" s="2">
        <v>26</v>
      </c>
      <c r="K401" t="s" s="2">
        <v>27</v>
      </c>
      <c r="L401" s="3">
        <v>53</v>
      </c>
      <c r="M401" t="s" s="2">
        <v>17</v>
      </c>
    </row>
    <row r="402" ht="13.55" customHeight="1">
      <c r="A402" s="3">
        <v>25792</v>
      </c>
      <c r="B402" t="s" s="2">
        <v>25</v>
      </c>
      <c r="C402" t="s" s="2">
        <v>14</v>
      </c>
      <c r="D402" s="4">
        <v>110000</v>
      </c>
      <c r="E402" s="3">
        <v>3</v>
      </c>
      <c r="F402" t="s" s="2">
        <v>15</v>
      </c>
      <c r="G402" t="s" s="2">
        <v>31</v>
      </c>
      <c r="H402" t="s" s="2">
        <v>17</v>
      </c>
      <c r="I402" s="3">
        <v>4</v>
      </c>
      <c r="J402" t="s" s="2">
        <v>33</v>
      </c>
      <c r="K402" t="s" s="2">
        <v>19</v>
      </c>
      <c r="L402" s="3">
        <v>53</v>
      </c>
      <c r="M402" t="s" s="2">
        <v>20</v>
      </c>
    </row>
    <row r="403" ht="13.55" customHeight="1">
      <c r="A403" s="3">
        <v>11555</v>
      </c>
      <c r="B403" t="s" s="2">
        <v>13</v>
      </c>
      <c r="C403" t="s" s="2">
        <v>14</v>
      </c>
      <c r="D403" s="4">
        <v>40000</v>
      </c>
      <c r="E403" s="3">
        <v>1</v>
      </c>
      <c r="F403" t="s" s="2">
        <v>15</v>
      </c>
      <c r="G403" t="s" s="2">
        <v>22</v>
      </c>
      <c r="H403" t="s" s="2">
        <v>17</v>
      </c>
      <c r="I403" s="3">
        <v>0</v>
      </c>
      <c r="J403" t="s" s="2">
        <v>18</v>
      </c>
      <c r="K403" t="s" s="2">
        <v>19</v>
      </c>
      <c r="L403" s="3">
        <v>80</v>
      </c>
      <c r="M403" t="s" s="2">
        <v>20</v>
      </c>
    </row>
    <row r="404" ht="13.55" customHeight="1">
      <c r="A404" s="3">
        <v>22381</v>
      </c>
      <c r="B404" t="s" s="2">
        <v>13</v>
      </c>
      <c r="C404" t="s" s="2">
        <v>13</v>
      </c>
      <c r="D404" s="4">
        <v>10000</v>
      </c>
      <c r="E404" s="3">
        <v>1</v>
      </c>
      <c r="F404" t="s" s="2">
        <v>34</v>
      </c>
      <c r="G404" t="s" s="2">
        <v>28</v>
      </c>
      <c r="H404" t="s" s="2">
        <v>17</v>
      </c>
      <c r="I404" s="3">
        <v>0</v>
      </c>
      <c r="J404" t="s" s="2">
        <v>18</v>
      </c>
      <c r="K404" t="s" s="2">
        <v>19</v>
      </c>
      <c r="L404" s="3">
        <v>44</v>
      </c>
      <c r="M404" t="s" s="2">
        <v>20</v>
      </c>
    </row>
    <row r="405" ht="13.55" customHeight="1">
      <c r="A405" s="3">
        <v>17882</v>
      </c>
      <c r="B405" t="s" s="2">
        <v>13</v>
      </c>
      <c r="C405" t="s" s="2">
        <v>13</v>
      </c>
      <c r="D405" s="4">
        <v>20000</v>
      </c>
      <c r="E405" s="3">
        <v>1</v>
      </c>
      <c r="F405" t="s" s="2">
        <v>34</v>
      </c>
      <c r="G405" t="s" s="2">
        <v>22</v>
      </c>
      <c r="H405" t="s" s="2">
        <v>17</v>
      </c>
      <c r="I405" s="3">
        <v>0</v>
      </c>
      <c r="J405" t="s" s="2">
        <v>18</v>
      </c>
      <c r="K405" t="s" s="2">
        <v>19</v>
      </c>
      <c r="L405" s="3">
        <v>44</v>
      </c>
      <c r="M405" t="s" s="2">
        <v>20</v>
      </c>
    </row>
    <row r="406" ht="13.55" customHeight="1">
      <c r="A406" s="3">
        <v>22174</v>
      </c>
      <c r="B406" t="s" s="2">
        <v>13</v>
      </c>
      <c r="C406" t="s" s="2">
        <v>13</v>
      </c>
      <c r="D406" s="4">
        <v>30000</v>
      </c>
      <c r="E406" s="3">
        <v>3</v>
      </c>
      <c r="F406" t="s" s="2">
        <v>30</v>
      </c>
      <c r="G406" t="s" s="2">
        <v>16</v>
      </c>
      <c r="H406" t="s" s="2">
        <v>17</v>
      </c>
      <c r="I406" s="3">
        <v>2</v>
      </c>
      <c r="J406" t="s" s="2">
        <v>26</v>
      </c>
      <c r="K406" t="s" s="2">
        <v>27</v>
      </c>
      <c r="L406" s="3">
        <v>54</v>
      </c>
      <c r="M406" t="s" s="2">
        <v>17</v>
      </c>
    </row>
    <row r="407" ht="13.55" customHeight="1">
      <c r="A407" s="3">
        <v>22439</v>
      </c>
      <c r="B407" t="s" s="2">
        <v>13</v>
      </c>
      <c r="C407" t="s" s="2">
        <v>14</v>
      </c>
      <c r="D407" s="4">
        <v>30000</v>
      </c>
      <c r="E407" s="3">
        <v>0</v>
      </c>
      <c r="F407" t="s" s="2">
        <v>15</v>
      </c>
      <c r="G407" t="s" s="2">
        <v>22</v>
      </c>
      <c r="H407" t="s" s="2">
        <v>17</v>
      </c>
      <c r="I407" s="3">
        <v>0</v>
      </c>
      <c r="J407" t="s" s="2">
        <v>18</v>
      </c>
      <c r="K407" t="s" s="2">
        <v>19</v>
      </c>
      <c r="L407" s="3">
        <v>37</v>
      </c>
      <c r="M407" t="s" s="2">
        <v>17</v>
      </c>
    </row>
    <row r="408" ht="13.55" customHeight="1">
      <c r="A408" s="3">
        <v>18012</v>
      </c>
      <c r="B408" t="s" s="2">
        <v>13</v>
      </c>
      <c r="C408" t="s" s="2">
        <v>14</v>
      </c>
      <c r="D408" s="4">
        <v>40000</v>
      </c>
      <c r="E408" s="3">
        <v>1</v>
      </c>
      <c r="F408" t="s" s="2">
        <v>15</v>
      </c>
      <c r="G408" t="s" s="2">
        <v>16</v>
      </c>
      <c r="H408" t="s" s="2">
        <v>17</v>
      </c>
      <c r="I408" s="3">
        <v>0</v>
      </c>
      <c r="J408" t="s" s="2">
        <v>18</v>
      </c>
      <c r="K408" t="s" s="2">
        <v>19</v>
      </c>
      <c r="L408" s="3">
        <v>41</v>
      </c>
      <c r="M408" t="s" s="2">
        <v>20</v>
      </c>
    </row>
    <row r="409" ht="13.55" customHeight="1">
      <c r="A409" s="3">
        <v>27582</v>
      </c>
      <c r="B409" t="s" s="2">
        <v>25</v>
      </c>
      <c r="C409" t="s" s="2">
        <v>14</v>
      </c>
      <c r="D409" s="4">
        <v>90000</v>
      </c>
      <c r="E409" s="3">
        <v>2</v>
      </c>
      <c r="F409" t="s" s="2">
        <v>15</v>
      </c>
      <c r="G409" t="s" s="2">
        <v>23</v>
      </c>
      <c r="H409" t="s" s="2">
        <v>20</v>
      </c>
      <c r="I409" s="3">
        <v>0</v>
      </c>
      <c r="J409" t="s" s="2">
        <v>18</v>
      </c>
      <c r="K409" t="s" s="2">
        <v>27</v>
      </c>
      <c r="L409" s="3">
        <v>36</v>
      </c>
      <c r="M409" t="s" s="2">
        <v>17</v>
      </c>
    </row>
    <row r="410" ht="13.55" customHeight="1">
      <c r="A410" s="3">
        <v>12744</v>
      </c>
      <c r="B410" t="s" s="2">
        <v>25</v>
      </c>
      <c r="C410" t="s" s="2">
        <v>14</v>
      </c>
      <c r="D410" s="4">
        <v>40000</v>
      </c>
      <c r="E410" s="3">
        <v>2</v>
      </c>
      <c r="F410" t="s" s="2">
        <v>21</v>
      </c>
      <c r="G410" t="s" s="2">
        <v>22</v>
      </c>
      <c r="H410" t="s" s="2">
        <v>17</v>
      </c>
      <c r="I410" s="3">
        <v>0</v>
      </c>
      <c r="J410" t="s" s="2">
        <v>18</v>
      </c>
      <c r="K410" t="s" s="2">
        <v>19</v>
      </c>
      <c r="L410" s="3">
        <v>33</v>
      </c>
      <c r="M410" t="s" s="2">
        <v>20</v>
      </c>
    </row>
    <row r="411" ht="13.55" customHeight="1">
      <c r="A411" s="3">
        <v>22821</v>
      </c>
      <c r="B411" t="s" s="2">
        <v>13</v>
      </c>
      <c r="C411" t="s" s="2">
        <v>14</v>
      </c>
      <c r="D411" s="4">
        <v>130000</v>
      </c>
      <c r="E411" s="3">
        <v>3</v>
      </c>
      <c r="F411" t="s" s="2">
        <v>21</v>
      </c>
      <c r="G411" t="s" s="2">
        <v>23</v>
      </c>
      <c r="H411" t="s" s="2">
        <v>17</v>
      </c>
      <c r="I411" s="3">
        <v>4</v>
      </c>
      <c r="J411" t="s" s="2">
        <v>18</v>
      </c>
      <c r="K411" t="s" s="2">
        <v>19</v>
      </c>
      <c r="L411" s="3">
        <v>52</v>
      </c>
      <c r="M411" t="s" s="2">
        <v>20</v>
      </c>
    </row>
    <row r="412" ht="13.55" customHeight="1">
      <c r="A412" s="3">
        <v>20171</v>
      </c>
      <c r="B412" t="s" s="2">
        <v>13</v>
      </c>
      <c r="C412" t="s" s="2">
        <v>14</v>
      </c>
      <c r="D412" s="4">
        <v>20000</v>
      </c>
      <c r="E412" s="3">
        <v>2</v>
      </c>
      <c r="F412" t="s" s="2">
        <v>21</v>
      </c>
      <c r="G412" t="s" s="2">
        <v>28</v>
      </c>
      <c r="H412" t="s" s="2">
        <v>17</v>
      </c>
      <c r="I412" s="3">
        <v>1</v>
      </c>
      <c r="J412" t="s" s="2">
        <v>18</v>
      </c>
      <c r="K412" t="s" s="2">
        <v>19</v>
      </c>
      <c r="L412" s="3">
        <v>46</v>
      </c>
      <c r="M412" t="s" s="2">
        <v>17</v>
      </c>
    </row>
    <row r="413" ht="13.55" customHeight="1">
      <c r="A413" s="3">
        <v>11116</v>
      </c>
      <c r="B413" t="s" s="2">
        <v>13</v>
      </c>
      <c r="C413" t="s" s="2">
        <v>13</v>
      </c>
      <c r="D413" s="4">
        <v>70000</v>
      </c>
      <c r="E413" s="3">
        <v>5</v>
      </c>
      <c r="F413" t="s" s="2">
        <v>21</v>
      </c>
      <c r="G413" t="s" s="2">
        <v>16</v>
      </c>
      <c r="H413" t="s" s="2">
        <v>17</v>
      </c>
      <c r="I413" s="3">
        <v>2</v>
      </c>
      <c r="J413" t="s" s="2">
        <v>26</v>
      </c>
      <c r="K413" t="s" s="2">
        <v>27</v>
      </c>
      <c r="L413" s="3">
        <v>43</v>
      </c>
      <c r="M413" t="s" s="2">
        <v>20</v>
      </c>
    </row>
    <row r="414" ht="13.55" customHeight="1">
      <c r="A414" s="3">
        <v>20053</v>
      </c>
      <c r="B414" t="s" s="2">
        <v>25</v>
      </c>
      <c r="C414" t="s" s="2">
        <v>13</v>
      </c>
      <c r="D414" s="4">
        <v>40000</v>
      </c>
      <c r="E414" s="3">
        <v>2</v>
      </c>
      <c r="F414" t="s" s="2">
        <v>21</v>
      </c>
      <c r="G414" t="s" s="2">
        <v>22</v>
      </c>
      <c r="H414" t="s" s="2">
        <v>17</v>
      </c>
      <c r="I414" s="3">
        <v>0</v>
      </c>
      <c r="J414" t="s" s="2">
        <v>18</v>
      </c>
      <c r="K414" t="s" s="2">
        <v>19</v>
      </c>
      <c r="L414" s="3">
        <v>34</v>
      </c>
      <c r="M414" t="s" s="2">
        <v>20</v>
      </c>
    </row>
    <row r="415" ht="13.55" customHeight="1">
      <c r="A415" s="3">
        <v>25266</v>
      </c>
      <c r="B415" t="s" s="2">
        <v>25</v>
      </c>
      <c r="C415" t="s" s="2">
        <v>14</v>
      </c>
      <c r="D415" s="4">
        <v>30000</v>
      </c>
      <c r="E415" s="3">
        <v>2</v>
      </c>
      <c r="F415" t="s" s="2">
        <v>21</v>
      </c>
      <c r="G415" t="s" s="2">
        <v>22</v>
      </c>
      <c r="H415" t="s" s="2">
        <v>20</v>
      </c>
      <c r="I415" s="3">
        <v>2</v>
      </c>
      <c r="J415" t="s" s="2">
        <v>26</v>
      </c>
      <c r="K415" t="s" s="2">
        <v>27</v>
      </c>
      <c r="L415" s="3">
        <v>67</v>
      </c>
      <c r="M415" t="s" s="2">
        <v>20</v>
      </c>
    </row>
    <row r="416" ht="13.55" customHeight="1">
      <c r="A416" s="3">
        <v>17960</v>
      </c>
      <c r="B416" t="s" s="2">
        <v>13</v>
      </c>
      <c r="C416" t="s" s="2">
        <v>14</v>
      </c>
      <c r="D416" s="4">
        <v>40000</v>
      </c>
      <c r="E416" s="3">
        <v>0</v>
      </c>
      <c r="F416" t="s" s="2">
        <v>34</v>
      </c>
      <c r="G416" t="s" s="2">
        <v>22</v>
      </c>
      <c r="H416" t="s" s="2">
        <v>17</v>
      </c>
      <c r="I416" s="3">
        <v>0</v>
      </c>
      <c r="J416" t="s" s="2">
        <v>18</v>
      </c>
      <c r="K416" t="s" s="2">
        <v>19</v>
      </c>
      <c r="L416" s="3">
        <v>35</v>
      </c>
      <c r="M416" t="s" s="2">
        <v>17</v>
      </c>
    </row>
    <row r="417" ht="13.55" customHeight="1">
      <c r="A417" s="3">
        <v>13961</v>
      </c>
      <c r="B417" t="s" s="2">
        <v>13</v>
      </c>
      <c r="C417" t="s" s="2">
        <v>14</v>
      </c>
      <c r="D417" s="4">
        <v>80000</v>
      </c>
      <c r="E417" s="3">
        <v>5</v>
      </c>
      <c r="F417" t="s" s="2">
        <v>34</v>
      </c>
      <c r="G417" t="s" s="2">
        <v>31</v>
      </c>
      <c r="H417" t="s" s="2">
        <v>17</v>
      </c>
      <c r="I417" s="3">
        <v>3</v>
      </c>
      <c r="J417" t="s" s="2">
        <v>18</v>
      </c>
      <c r="K417" t="s" s="2">
        <v>27</v>
      </c>
      <c r="L417" s="3">
        <v>40</v>
      </c>
      <c r="M417" t="s" s="2">
        <v>20</v>
      </c>
    </row>
    <row r="418" ht="13.55" customHeight="1">
      <c r="A418" s="3">
        <v>11897</v>
      </c>
      <c r="B418" t="s" s="2">
        <v>25</v>
      </c>
      <c r="C418" t="s" s="2">
        <v>13</v>
      </c>
      <c r="D418" s="4">
        <v>60000</v>
      </c>
      <c r="E418" s="3">
        <v>2</v>
      </c>
      <c r="F418" t="s" s="2">
        <v>15</v>
      </c>
      <c r="G418" t="s" s="2">
        <v>23</v>
      </c>
      <c r="H418" t="s" s="2">
        <v>20</v>
      </c>
      <c r="I418" s="3">
        <v>1</v>
      </c>
      <c r="J418" t="s" s="2">
        <v>18</v>
      </c>
      <c r="K418" t="s" s="2">
        <v>27</v>
      </c>
      <c r="L418" s="3">
        <v>37</v>
      </c>
      <c r="M418" t="s" s="2">
        <v>17</v>
      </c>
    </row>
    <row r="419" ht="13.55" customHeight="1">
      <c r="A419" s="3">
        <v>11139</v>
      </c>
      <c r="B419" t="s" s="2">
        <v>25</v>
      </c>
      <c r="C419" t="s" s="2">
        <v>14</v>
      </c>
      <c r="D419" s="4">
        <v>30000</v>
      </c>
      <c r="E419" s="3">
        <v>2</v>
      </c>
      <c r="F419" t="s" s="2">
        <v>21</v>
      </c>
      <c r="G419" t="s" s="2">
        <v>22</v>
      </c>
      <c r="H419" t="s" s="2">
        <v>20</v>
      </c>
      <c r="I419" s="3">
        <v>2</v>
      </c>
      <c r="J419" t="s" s="2">
        <v>26</v>
      </c>
      <c r="K419" t="s" s="2">
        <v>27</v>
      </c>
      <c r="L419" s="3">
        <v>67</v>
      </c>
      <c r="M419" t="s" s="2">
        <v>20</v>
      </c>
    </row>
    <row r="420" ht="13.55" customHeight="1">
      <c r="A420" s="3">
        <v>11576</v>
      </c>
      <c r="B420" t="s" s="2">
        <v>13</v>
      </c>
      <c r="C420" t="s" s="2">
        <v>13</v>
      </c>
      <c r="D420" s="4">
        <v>30000</v>
      </c>
      <c r="E420" s="3">
        <v>1</v>
      </c>
      <c r="F420" t="s" s="2">
        <v>15</v>
      </c>
      <c r="G420" t="s" s="2">
        <v>16</v>
      </c>
      <c r="H420" t="s" s="2">
        <v>17</v>
      </c>
      <c r="I420" s="3">
        <v>2</v>
      </c>
      <c r="J420" t="s" s="2">
        <v>18</v>
      </c>
      <c r="K420" t="s" s="2">
        <v>19</v>
      </c>
      <c r="L420" s="3">
        <v>41</v>
      </c>
      <c r="M420" t="s" s="2">
        <v>17</v>
      </c>
    </row>
    <row r="421" ht="13.55" customHeight="1">
      <c r="A421" s="3">
        <v>19255</v>
      </c>
      <c r="B421" t="s" s="2">
        <v>25</v>
      </c>
      <c r="C421" t="s" s="2">
        <v>13</v>
      </c>
      <c r="D421" s="4">
        <v>10000</v>
      </c>
      <c r="E421" s="3">
        <v>2</v>
      </c>
      <c r="F421" t="s" s="2">
        <v>21</v>
      </c>
      <c r="G421" t="s" s="2">
        <v>28</v>
      </c>
      <c r="H421" t="s" s="2">
        <v>17</v>
      </c>
      <c r="I421" s="3">
        <v>1</v>
      </c>
      <c r="J421" t="s" s="2">
        <v>18</v>
      </c>
      <c r="K421" t="s" s="2">
        <v>19</v>
      </c>
      <c r="L421" s="3">
        <v>51</v>
      </c>
      <c r="M421" t="s" s="2">
        <v>17</v>
      </c>
    </row>
    <row r="422" ht="13.55" customHeight="1">
      <c r="A422" s="3">
        <v>18153</v>
      </c>
      <c r="B422" t="s" s="2">
        <v>13</v>
      </c>
      <c r="C422" t="s" s="2">
        <v>14</v>
      </c>
      <c r="D422" s="4">
        <v>100000</v>
      </c>
      <c r="E422" s="3">
        <v>2</v>
      </c>
      <c r="F422" t="s" s="2">
        <v>15</v>
      </c>
      <c r="G422" t="s" s="2">
        <v>31</v>
      </c>
      <c r="H422" t="s" s="2">
        <v>17</v>
      </c>
      <c r="I422" s="3">
        <v>4</v>
      </c>
      <c r="J422" t="s" s="2">
        <v>33</v>
      </c>
      <c r="K422" t="s" s="2">
        <v>19</v>
      </c>
      <c r="L422" s="3">
        <v>59</v>
      </c>
      <c r="M422" t="s" s="2">
        <v>20</v>
      </c>
    </row>
    <row r="423" ht="13.55" customHeight="1">
      <c r="A423" s="3">
        <v>14547</v>
      </c>
      <c r="B423" t="s" s="2">
        <v>13</v>
      </c>
      <c r="C423" t="s" s="2">
        <v>13</v>
      </c>
      <c r="D423" s="4">
        <v>10000</v>
      </c>
      <c r="E423" s="3">
        <v>2</v>
      </c>
      <c r="F423" t="s" s="2">
        <v>21</v>
      </c>
      <c r="G423" t="s" s="2">
        <v>28</v>
      </c>
      <c r="H423" t="s" s="2">
        <v>17</v>
      </c>
      <c r="I423" s="3">
        <v>0</v>
      </c>
      <c r="J423" t="s" s="2">
        <v>29</v>
      </c>
      <c r="K423" t="s" s="2">
        <v>19</v>
      </c>
      <c r="L423" s="3">
        <v>51</v>
      </c>
      <c r="M423" t="s" s="2">
        <v>20</v>
      </c>
    </row>
    <row r="424" ht="13.55" customHeight="1">
      <c r="A424" s="3">
        <v>24901</v>
      </c>
      <c r="B424" t="s" s="2">
        <v>25</v>
      </c>
      <c r="C424" t="s" s="2">
        <v>13</v>
      </c>
      <c r="D424" s="4">
        <v>110000</v>
      </c>
      <c r="E424" s="3">
        <v>0</v>
      </c>
      <c r="F424" t="s" s="2">
        <v>21</v>
      </c>
      <c r="G424" t="s" s="2">
        <v>31</v>
      </c>
      <c r="H424" t="s" s="2">
        <v>20</v>
      </c>
      <c r="I424" s="3">
        <v>3</v>
      </c>
      <c r="J424" t="s" s="2">
        <v>33</v>
      </c>
      <c r="K424" t="s" s="2">
        <v>27</v>
      </c>
      <c r="L424" s="3">
        <v>32</v>
      </c>
      <c r="M424" t="s" s="2">
        <v>17</v>
      </c>
    </row>
    <row r="425" ht="13.55" customHeight="1">
      <c r="A425" s="3">
        <v>27169</v>
      </c>
      <c r="B425" t="s" s="2">
        <v>25</v>
      </c>
      <c r="C425" t="s" s="2">
        <v>13</v>
      </c>
      <c r="D425" s="4">
        <v>30000</v>
      </c>
      <c r="E425" s="3">
        <v>0</v>
      </c>
      <c r="F425" t="s" s="2">
        <v>30</v>
      </c>
      <c r="G425" t="s" s="2">
        <v>28</v>
      </c>
      <c r="H425" t="s" s="2">
        <v>17</v>
      </c>
      <c r="I425" s="3">
        <v>1</v>
      </c>
      <c r="J425" t="s" s="2">
        <v>24</v>
      </c>
      <c r="K425" t="s" s="2">
        <v>19</v>
      </c>
      <c r="L425" s="3">
        <v>34</v>
      </c>
      <c r="M425" t="s" s="2">
        <v>17</v>
      </c>
    </row>
    <row r="426" ht="13.55" customHeight="1">
      <c r="A426" s="3">
        <v>14805</v>
      </c>
      <c r="B426" t="s" s="2">
        <v>25</v>
      </c>
      <c r="C426" t="s" s="2">
        <v>14</v>
      </c>
      <c r="D426" s="4">
        <v>10000</v>
      </c>
      <c r="E426" s="3">
        <v>3</v>
      </c>
      <c r="F426" t="s" s="2">
        <v>32</v>
      </c>
      <c r="G426" t="s" s="2">
        <v>28</v>
      </c>
      <c r="H426" t="s" s="2">
        <v>17</v>
      </c>
      <c r="I426" s="3">
        <v>2</v>
      </c>
      <c r="J426" t="s" s="2">
        <v>18</v>
      </c>
      <c r="K426" t="s" s="2">
        <v>19</v>
      </c>
      <c r="L426" s="3">
        <v>43</v>
      </c>
      <c r="M426" t="s" s="2">
        <v>20</v>
      </c>
    </row>
    <row r="427" ht="13.55" customHeight="1">
      <c r="A427" s="3">
        <v>15822</v>
      </c>
      <c r="B427" t="s" s="2">
        <v>13</v>
      </c>
      <c r="C427" t="s" s="2">
        <v>13</v>
      </c>
      <c r="D427" s="4">
        <v>40000</v>
      </c>
      <c r="E427" s="3">
        <v>2</v>
      </c>
      <c r="F427" t="s" s="2">
        <v>15</v>
      </c>
      <c r="G427" t="s" s="2">
        <v>31</v>
      </c>
      <c r="H427" t="s" s="2">
        <v>17</v>
      </c>
      <c r="I427" s="3">
        <v>2</v>
      </c>
      <c r="J427" t="s" s="2">
        <v>18</v>
      </c>
      <c r="K427" t="s" s="2">
        <v>27</v>
      </c>
      <c r="L427" s="3">
        <v>67</v>
      </c>
      <c r="M427" t="s" s="2">
        <v>20</v>
      </c>
    </row>
    <row r="428" ht="13.55" customHeight="1">
      <c r="A428" s="3">
        <v>19389</v>
      </c>
      <c r="B428" t="s" s="2">
        <v>25</v>
      </c>
      <c r="C428" t="s" s="2">
        <v>13</v>
      </c>
      <c r="D428" s="4">
        <v>30000</v>
      </c>
      <c r="E428" s="3">
        <v>0</v>
      </c>
      <c r="F428" t="s" s="2">
        <v>21</v>
      </c>
      <c r="G428" t="s" s="2">
        <v>22</v>
      </c>
      <c r="H428" t="s" s="2">
        <v>20</v>
      </c>
      <c r="I428" s="3">
        <v>1</v>
      </c>
      <c r="J428" t="s" s="2">
        <v>24</v>
      </c>
      <c r="K428" t="s" s="2">
        <v>19</v>
      </c>
      <c r="L428" s="3">
        <v>28</v>
      </c>
      <c r="M428" t="s" s="2">
        <v>20</v>
      </c>
    </row>
    <row r="429" ht="13.55" customHeight="1">
      <c r="A429" s="3">
        <v>17048</v>
      </c>
      <c r="B429" t="s" s="2">
        <v>25</v>
      </c>
      <c r="C429" t="s" s="2">
        <v>14</v>
      </c>
      <c r="D429" s="4">
        <v>90000</v>
      </c>
      <c r="E429" s="3">
        <v>1</v>
      </c>
      <c r="F429" t="s" s="2">
        <v>34</v>
      </c>
      <c r="G429" t="s" s="2">
        <v>31</v>
      </c>
      <c r="H429" t="s" s="2">
        <v>17</v>
      </c>
      <c r="I429" s="3">
        <v>0</v>
      </c>
      <c r="J429" t="s" s="2">
        <v>18</v>
      </c>
      <c r="K429" t="s" s="2">
        <v>27</v>
      </c>
      <c r="L429" s="3">
        <v>36</v>
      </c>
      <c r="M429" t="s" s="2">
        <v>17</v>
      </c>
    </row>
    <row r="430" ht="13.55" customHeight="1">
      <c r="A430" s="3">
        <v>22204</v>
      </c>
      <c r="B430" t="s" s="2">
        <v>13</v>
      </c>
      <c r="C430" t="s" s="2">
        <v>13</v>
      </c>
      <c r="D430" s="4">
        <v>110000</v>
      </c>
      <c r="E430" s="3">
        <v>4</v>
      </c>
      <c r="F430" t="s" s="2">
        <v>15</v>
      </c>
      <c r="G430" t="s" s="2">
        <v>31</v>
      </c>
      <c r="H430" t="s" s="2">
        <v>17</v>
      </c>
      <c r="I430" s="3">
        <v>3</v>
      </c>
      <c r="J430" t="s" s="2">
        <v>24</v>
      </c>
      <c r="K430" t="s" s="2">
        <v>27</v>
      </c>
      <c r="L430" s="3">
        <v>48</v>
      </c>
      <c r="M430" t="s" s="2">
        <v>20</v>
      </c>
    </row>
    <row r="431" ht="13.55" customHeight="1">
      <c r="A431" s="3">
        <v>12718</v>
      </c>
      <c r="B431" t="s" s="2">
        <v>25</v>
      </c>
      <c r="C431" t="s" s="2">
        <v>14</v>
      </c>
      <c r="D431" s="4">
        <v>30000</v>
      </c>
      <c r="E431" s="3">
        <v>0</v>
      </c>
      <c r="F431" t="s" s="2">
        <v>21</v>
      </c>
      <c r="G431" t="s" s="2">
        <v>22</v>
      </c>
      <c r="H431" t="s" s="2">
        <v>17</v>
      </c>
      <c r="I431" s="3">
        <v>1</v>
      </c>
      <c r="J431" t="s" s="2">
        <v>24</v>
      </c>
      <c r="K431" t="s" s="2">
        <v>19</v>
      </c>
      <c r="L431" s="3">
        <v>31</v>
      </c>
      <c r="M431" t="s" s="2">
        <v>20</v>
      </c>
    </row>
    <row r="432" ht="13.55" customHeight="1">
      <c r="A432" s="3">
        <v>15019</v>
      </c>
      <c r="B432" t="s" s="2">
        <v>25</v>
      </c>
      <c r="C432" t="s" s="2">
        <v>14</v>
      </c>
      <c r="D432" s="4">
        <v>30000</v>
      </c>
      <c r="E432" s="3">
        <v>3</v>
      </c>
      <c r="F432" t="s" s="2">
        <v>30</v>
      </c>
      <c r="G432" t="s" s="2">
        <v>16</v>
      </c>
      <c r="H432" t="s" s="2">
        <v>17</v>
      </c>
      <c r="I432" s="3">
        <v>2</v>
      </c>
      <c r="J432" t="s" s="2">
        <v>26</v>
      </c>
      <c r="K432" t="s" s="2">
        <v>27</v>
      </c>
      <c r="L432" s="3">
        <v>55</v>
      </c>
      <c r="M432" t="s" s="2">
        <v>20</v>
      </c>
    </row>
    <row r="433" ht="13.55" customHeight="1">
      <c r="A433" s="3">
        <v>28488</v>
      </c>
      <c r="B433" t="s" s="2">
        <v>25</v>
      </c>
      <c r="C433" t="s" s="2">
        <v>13</v>
      </c>
      <c r="D433" s="4">
        <v>20000</v>
      </c>
      <c r="E433" s="3">
        <v>0</v>
      </c>
      <c r="F433" t="s" s="2">
        <v>21</v>
      </c>
      <c r="G433" t="s" s="2">
        <v>28</v>
      </c>
      <c r="H433" t="s" s="2">
        <v>17</v>
      </c>
      <c r="I433" s="3">
        <v>0</v>
      </c>
      <c r="J433" t="s" s="2">
        <v>18</v>
      </c>
      <c r="K433" t="s" s="2">
        <v>27</v>
      </c>
      <c r="L433" s="3">
        <v>28</v>
      </c>
      <c r="M433" t="s" s="2">
        <v>17</v>
      </c>
    </row>
    <row r="434" ht="13.55" customHeight="1">
      <c r="A434" s="3">
        <v>21891</v>
      </c>
      <c r="B434" t="s" s="2">
        <v>13</v>
      </c>
      <c r="C434" t="s" s="2">
        <v>14</v>
      </c>
      <c r="D434" s="4">
        <v>110000</v>
      </c>
      <c r="E434" s="3">
        <v>0</v>
      </c>
      <c r="F434" t="s" s="2">
        <v>30</v>
      </c>
      <c r="G434" t="s" s="2">
        <v>31</v>
      </c>
      <c r="H434" t="s" s="2">
        <v>17</v>
      </c>
      <c r="I434" s="3">
        <v>3</v>
      </c>
      <c r="J434" t="s" s="2">
        <v>33</v>
      </c>
      <c r="K434" t="s" s="2">
        <v>27</v>
      </c>
      <c r="L434" s="3">
        <v>34</v>
      </c>
      <c r="M434" t="s" s="2">
        <v>17</v>
      </c>
    </row>
    <row r="435" ht="13.55" customHeight="1">
      <c r="A435" s="3">
        <v>27814</v>
      </c>
      <c r="B435" t="s" s="2">
        <v>25</v>
      </c>
      <c r="C435" t="s" s="2">
        <v>14</v>
      </c>
      <c r="D435" s="4">
        <v>30000</v>
      </c>
      <c r="E435" s="3">
        <v>3</v>
      </c>
      <c r="F435" t="s" s="2">
        <v>21</v>
      </c>
      <c r="G435" t="s" s="2">
        <v>22</v>
      </c>
      <c r="H435" t="s" s="2">
        <v>20</v>
      </c>
      <c r="I435" s="3">
        <v>1</v>
      </c>
      <c r="J435" t="s" s="2">
        <v>18</v>
      </c>
      <c r="K435" t="s" s="2">
        <v>19</v>
      </c>
      <c r="L435" s="3">
        <v>26</v>
      </c>
      <c r="M435" t="s" s="2">
        <v>20</v>
      </c>
    </row>
    <row r="436" ht="13.55" customHeight="1">
      <c r="A436" s="3">
        <v>22175</v>
      </c>
      <c r="B436" t="s" s="2">
        <v>13</v>
      </c>
      <c r="C436" t="s" s="2">
        <v>14</v>
      </c>
      <c r="D436" s="4">
        <v>30000</v>
      </c>
      <c r="E436" s="3">
        <v>3</v>
      </c>
      <c r="F436" t="s" s="2">
        <v>30</v>
      </c>
      <c r="G436" t="s" s="2">
        <v>16</v>
      </c>
      <c r="H436" t="s" s="2">
        <v>17</v>
      </c>
      <c r="I436" s="3">
        <v>2</v>
      </c>
      <c r="J436" t="s" s="2">
        <v>26</v>
      </c>
      <c r="K436" t="s" s="2">
        <v>27</v>
      </c>
      <c r="L436" s="3">
        <v>53</v>
      </c>
      <c r="M436" t="s" s="2">
        <v>17</v>
      </c>
    </row>
    <row r="437" ht="13.55" customHeight="1">
      <c r="A437" s="3">
        <v>29447</v>
      </c>
      <c r="B437" t="s" s="2">
        <v>25</v>
      </c>
      <c r="C437" t="s" s="2">
        <v>14</v>
      </c>
      <c r="D437" s="4">
        <v>10000</v>
      </c>
      <c r="E437" s="3">
        <v>2</v>
      </c>
      <c r="F437" t="s" s="2">
        <v>15</v>
      </c>
      <c r="G437" t="s" s="2">
        <v>22</v>
      </c>
      <c r="H437" t="s" s="2">
        <v>20</v>
      </c>
      <c r="I437" s="3">
        <v>1</v>
      </c>
      <c r="J437" t="s" s="2">
        <v>24</v>
      </c>
      <c r="K437" t="s" s="2">
        <v>19</v>
      </c>
      <c r="L437" s="3">
        <v>68</v>
      </c>
      <c r="M437" t="s" s="2">
        <v>20</v>
      </c>
    </row>
    <row r="438" ht="13.55" customHeight="1">
      <c r="A438" s="3">
        <v>19784</v>
      </c>
      <c r="B438" t="s" s="2">
        <v>13</v>
      </c>
      <c r="C438" t="s" s="2">
        <v>14</v>
      </c>
      <c r="D438" s="4">
        <v>80000</v>
      </c>
      <c r="E438" s="3">
        <v>2</v>
      </c>
      <c r="F438" t="s" s="2">
        <v>30</v>
      </c>
      <c r="G438" t="s" s="2">
        <v>16</v>
      </c>
      <c r="H438" t="s" s="2">
        <v>17</v>
      </c>
      <c r="I438" s="3">
        <v>2</v>
      </c>
      <c r="J438" t="s" s="2">
        <v>26</v>
      </c>
      <c r="K438" t="s" s="2">
        <v>27</v>
      </c>
      <c r="L438" s="3">
        <v>50</v>
      </c>
      <c r="M438" t="s" s="2">
        <v>17</v>
      </c>
    </row>
    <row r="439" ht="13.55" customHeight="1">
      <c r="A439" s="3">
        <v>27824</v>
      </c>
      <c r="B439" t="s" s="2">
        <v>25</v>
      </c>
      <c r="C439" t="s" s="2">
        <v>14</v>
      </c>
      <c r="D439" s="4">
        <v>30000</v>
      </c>
      <c r="E439" s="3">
        <v>3</v>
      </c>
      <c r="F439" t="s" s="2">
        <v>21</v>
      </c>
      <c r="G439" t="s" s="2">
        <v>22</v>
      </c>
      <c r="H439" t="s" s="2">
        <v>17</v>
      </c>
      <c r="I439" s="3">
        <v>2</v>
      </c>
      <c r="J439" t="s" s="2">
        <v>18</v>
      </c>
      <c r="K439" t="s" s="2">
        <v>19</v>
      </c>
      <c r="L439" s="3">
        <v>28</v>
      </c>
      <c r="M439" t="s" s="2">
        <v>17</v>
      </c>
    </row>
    <row r="440" ht="13.55" customHeight="1">
      <c r="A440" s="3">
        <v>24093</v>
      </c>
      <c r="B440" t="s" s="2">
        <v>25</v>
      </c>
      <c r="C440" t="s" s="2">
        <v>14</v>
      </c>
      <c r="D440" s="4">
        <v>80000</v>
      </c>
      <c r="E440" s="3">
        <v>0</v>
      </c>
      <c r="F440" t="s" s="2">
        <v>34</v>
      </c>
      <c r="G440" t="s" s="2">
        <v>16</v>
      </c>
      <c r="H440" t="s" s="2">
        <v>20</v>
      </c>
      <c r="I440" s="3">
        <v>0</v>
      </c>
      <c r="J440" t="s" s="2">
        <v>18</v>
      </c>
      <c r="K440" t="s" s="2">
        <v>19</v>
      </c>
      <c r="L440" s="3">
        <v>40</v>
      </c>
      <c r="M440" t="s" s="2">
        <v>17</v>
      </c>
    </row>
    <row r="441" ht="13.55" customHeight="1">
      <c r="A441" s="3">
        <v>19618</v>
      </c>
      <c r="B441" t="s" s="2">
        <v>13</v>
      </c>
      <c r="C441" t="s" s="2">
        <v>13</v>
      </c>
      <c r="D441" s="4">
        <v>70000</v>
      </c>
      <c r="E441" s="3">
        <v>5</v>
      </c>
      <c r="F441" t="s" s="2">
        <v>21</v>
      </c>
      <c r="G441" t="s" s="2">
        <v>16</v>
      </c>
      <c r="H441" t="s" s="2">
        <v>17</v>
      </c>
      <c r="I441" s="3">
        <v>2</v>
      </c>
      <c r="J441" t="s" s="2">
        <v>18</v>
      </c>
      <c r="K441" t="s" s="2">
        <v>27</v>
      </c>
      <c r="L441" s="3">
        <v>44</v>
      </c>
      <c r="M441" t="s" s="2">
        <v>20</v>
      </c>
    </row>
    <row r="442" ht="13.55" customHeight="1">
      <c r="A442" s="3">
        <v>21561</v>
      </c>
      <c r="B442" t="s" s="2">
        <v>25</v>
      </c>
      <c r="C442" t="s" s="2">
        <v>13</v>
      </c>
      <c r="D442" s="4">
        <v>90000</v>
      </c>
      <c r="E442" s="3">
        <v>0</v>
      </c>
      <c r="F442" t="s" s="2">
        <v>15</v>
      </c>
      <c r="G442" t="s" s="2">
        <v>23</v>
      </c>
      <c r="H442" t="s" s="2">
        <v>20</v>
      </c>
      <c r="I442" s="3">
        <v>3</v>
      </c>
      <c r="J442" t="s" s="2">
        <v>33</v>
      </c>
      <c r="K442" t="s" s="2">
        <v>27</v>
      </c>
      <c r="L442" s="3">
        <v>34</v>
      </c>
      <c r="M442" t="s" s="2">
        <v>17</v>
      </c>
    </row>
    <row r="443" ht="13.55" customHeight="1">
      <c r="A443" s="3">
        <v>11061</v>
      </c>
      <c r="B443" t="s" s="2">
        <v>13</v>
      </c>
      <c r="C443" t="s" s="2">
        <v>13</v>
      </c>
      <c r="D443" s="4">
        <v>70000</v>
      </c>
      <c r="E443" s="3">
        <v>2</v>
      </c>
      <c r="F443" t="s" s="2">
        <v>21</v>
      </c>
      <c r="G443" t="s" s="2">
        <v>16</v>
      </c>
      <c r="H443" t="s" s="2">
        <v>17</v>
      </c>
      <c r="I443" s="3">
        <v>2</v>
      </c>
      <c r="J443" t="s" s="2">
        <v>26</v>
      </c>
      <c r="K443" t="s" s="2">
        <v>27</v>
      </c>
      <c r="L443" s="3">
        <v>52</v>
      </c>
      <c r="M443" t="s" s="2">
        <v>17</v>
      </c>
    </row>
    <row r="444" ht="13.55" customHeight="1">
      <c r="A444" s="3">
        <v>26651</v>
      </c>
      <c r="B444" t="s" s="2">
        <v>25</v>
      </c>
      <c r="C444" t="s" s="2">
        <v>13</v>
      </c>
      <c r="D444" s="4">
        <v>80000</v>
      </c>
      <c r="E444" s="3">
        <v>4</v>
      </c>
      <c r="F444" t="s" s="2">
        <v>34</v>
      </c>
      <c r="G444" t="s" s="2">
        <v>31</v>
      </c>
      <c r="H444" t="s" s="2">
        <v>17</v>
      </c>
      <c r="I444" s="3">
        <v>0</v>
      </c>
      <c r="J444" t="s" s="2">
        <v>18</v>
      </c>
      <c r="K444" t="s" s="2">
        <v>27</v>
      </c>
      <c r="L444" s="3">
        <v>36</v>
      </c>
      <c r="M444" t="s" s="2">
        <v>17</v>
      </c>
    </row>
    <row r="445" ht="13.55" customHeight="1">
      <c r="A445" s="3">
        <v>21108</v>
      </c>
      <c r="B445" t="s" s="2">
        <v>13</v>
      </c>
      <c r="C445" t="s" s="2">
        <v>14</v>
      </c>
      <c r="D445" s="4">
        <v>40000</v>
      </c>
      <c r="E445" s="3">
        <v>1</v>
      </c>
      <c r="F445" t="s" s="2">
        <v>15</v>
      </c>
      <c r="G445" t="s" s="2">
        <v>16</v>
      </c>
      <c r="H445" t="s" s="2">
        <v>17</v>
      </c>
      <c r="I445" s="3">
        <v>1</v>
      </c>
      <c r="J445" t="s" s="2">
        <v>18</v>
      </c>
      <c r="K445" t="s" s="2">
        <v>19</v>
      </c>
      <c r="L445" s="3">
        <v>43</v>
      </c>
      <c r="M445" t="s" s="2">
        <v>17</v>
      </c>
    </row>
    <row r="446" ht="13.55" customHeight="1">
      <c r="A446" s="3">
        <v>12731</v>
      </c>
      <c r="B446" t="s" s="2">
        <v>25</v>
      </c>
      <c r="C446" t="s" s="2">
        <v>13</v>
      </c>
      <c r="D446" s="4">
        <v>30000</v>
      </c>
      <c r="E446" s="3">
        <v>0</v>
      </c>
      <c r="F446" t="s" s="2">
        <v>30</v>
      </c>
      <c r="G446" t="s" s="2">
        <v>28</v>
      </c>
      <c r="H446" t="s" s="2">
        <v>20</v>
      </c>
      <c r="I446" s="3">
        <v>1</v>
      </c>
      <c r="J446" t="s" s="2">
        <v>29</v>
      </c>
      <c r="K446" t="s" s="2">
        <v>19</v>
      </c>
      <c r="L446" s="3">
        <v>32</v>
      </c>
      <c r="M446" t="s" s="2">
        <v>20</v>
      </c>
    </row>
    <row r="447" ht="13.55" customHeight="1">
      <c r="A447" s="3">
        <v>25307</v>
      </c>
      <c r="B447" t="s" s="2">
        <v>13</v>
      </c>
      <c r="C447" t="s" s="2">
        <v>14</v>
      </c>
      <c r="D447" s="4">
        <v>40000</v>
      </c>
      <c r="E447" s="3">
        <v>1</v>
      </c>
      <c r="F447" t="s" s="2">
        <v>15</v>
      </c>
      <c r="G447" t="s" s="2">
        <v>16</v>
      </c>
      <c r="H447" t="s" s="2">
        <v>17</v>
      </c>
      <c r="I447" s="3">
        <v>1</v>
      </c>
      <c r="J447" t="s" s="2">
        <v>29</v>
      </c>
      <c r="K447" t="s" s="2">
        <v>19</v>
      </c>
      <c r="L447" s="3">
        <v>32</v>
      </c>
      <c r="M447" t="s" s="2">
        <v>17</v>
      </c>
    </row>
    <row r="448" ht="13.55" customHeight="1">
      <c r="A448" s="3">
        <v>14278</v>
      </c>
      <c r="B448" t="s" s="2">
        <v>13</v>
      </c>
      <c r="C448" t="s" s="2">
        <v>14</v>
      </c>
      <c r="D448" s="4">
        <v>130000</v>
      </c>
      <c r="E448" s="3">
        <v>0</v>
      </c>
      <c r="F448" t="s" s="2">
        <v>34</v>
      </c>
      <c r="G448" t="s" s="2">
        <v>31</v>
      </c>
      <c r="H448" t="s" s="2">
        <v>17</v>
      </c>
      <c r="I448" s="3">
        <v>1</v>
      </c>
      <c r="J448" t="s" s="2">
        <v>33</v>
      </c>
      <c r="K448" t="s" s="2">
        <v>27</v>
      </c>
      <c r="L448" s="3">
        <v>48</v>
      </c>
      <c r="M448" t="s" s="2">
        <v>20</v>
      </c>
    </row>
    <row r="449" ht="13.55" customHeight="1">
      <c r="A449" s="3">
        <v>20711</v>
      </c>
      <c r="B449" t="s" s="2">
        <v>13</v>
      </c>
      <c r="C449" t="s" s="2">
        <v>14</v>
      </c>
      <c r="D449" s="4">
        <v>40000</v>
      </c>
      <c r="E449" s="3">
        <v>1</v>
      </c>
      <c r="F449" t="s" s="2">
        <v>15</v>
      </c>
      <c r="G449" t="s" s="2">
        <v>16</v>
      </c>
      <c r="H449" t="s" s="2">
        <v>17</v>
      </c>
      <c r="I449" s="3">
        <v>0</v>
      </c>
      <c r="J449" t="s" s="2">
        <v>29</v>
      </c>
      <c r="K449" t="s" s="2">
        <v>19</v>
      </c>
      <c r="L449" s="3">
        <v>32</v>
      </c>
      <c r="M449" t="s" s="2">
        <v>17</v>
      </c>
    </row>
    <row r="450" ht="13.55" customHeight="1">
      <c r="A450" s="3">
        <v>11383</v>
      </c>
      <c r="B450" t="s" s="2">
        <v>13</v>
      </c>
      <c r="C450" t="s" s="2">
        <v>14</v>
      </c>
      <c r="D450" s="4">
        <v>30000</v>
      </c>
      <c r="E450" s="3">
        <v>3</v>
      </c>
      <c r="F450" t="s" s="2">
        <v>34</v>
      </c>
      <c r="G450" t="s" s="2">
        <v>22</v>
      </c>
      <c r="H450" t="s" s="2">
        <v>17</v>
      </c>
      <c r="I450" s="3">
        <v>0</v>
      </c>
      <c r="J450" t="s" s="2">
        <v>18</v>
      </c>
      <c r="K450" t="s" s="2">
        <v>19</v>
      </c>
      <c r="L450" s="3">
        <v>46</v>
      </c>
      <c r="M450" t="s" s="2">
        <v>20</v>
      </c>
    </row>
    <row r="451" ht="13.55" customHeight="1">
      <c r="A451" s="3">
        <v>12497</v>
      </c>
      <c r="B451" t="s" s="2">
        <v>13</v>
      </c>
      <c r="C451" t="s" s="2">
        <v>14</v>
      </c>
      <c r="D451" s="4">
        <v>40000</v>
      </c>
      <c r="E451" s="3">
        <v>1</v>
      </c>
      <c r="F451" t="s" s="2">
        <v>15</v>
      </c>
      <c r="G451" t="s" s="2">
        <v>16</v>
      </c>
      <c r="H451" t="s" s="2">
        <v>17</v>
      </c>
      <c r="I451" s="3">
        <v>0</v>
      </c>
      <c r="J451" t="s" s="2">
        <v>18</v>
      </c>
      <c r="K451" t="s" s="2">
        <v>19</v>
      </c>
      <c r="L451" s="3">
        <v>42</v>
      </c>
      <c r="M451" t="s" s="2">
        <v>20</v>
      </c>
    </row>
    <row r="452" ht="13.55" customHeight="1">
      <c r="A452" s="3">
        <v>16559</v>
      </c>
      <c r="B452" t="s" s="2">
        <v>25</v>
      </c>
      <c r="C452" t="s" s="2">
        <v>14</v>
      </c>
      <c r="D452" s="4">
        <v>10000</v>
      </c>
      <c r="E452" s="3">
        <v>2</v>
      </c>
      <c r="F452" t="s" s="2">
        <v>30</v>
      </c>
      <c r="G452" t="s" s="2">
        <v>28</v>
      </c>
      <c r="H452" t="s" s="2">
        <v>17</v>
      </c>
      <c r="I452" s="3">
        <v>0</v>
      </c>
      <c r="J452" t="s" s="2">
        <v>18</v>
      </c>
      <c r="K452" t="s" s="2">
        <v>19</v>
      </c>
      <c r="L452" s="3">
        <v>36</v>
      </c>
      <c r="M452" t="s" s="2">
        <v>17</v>
      </c>
    </row>
    <row r="453" ht="13.55" customHeight="1">
      <c r="A453" s="3">
        <v>11585</v>
      </c>
      <c r="B453" t="s" s="2">
        <v>13</v>
      </c>
      <c r="C453" t="s" s="2">
        <v>14</v>
      </c>
      <c r="D453" s="4">
        <v>40000</v>
      </c>
      <c r="E453" s="3">
        <v>1</v>
      </c>
      <c r="F453" t="s" s="2">
        <v>15</v>
      </c>
      <c r="G453" t="s" s="2">
        <v>16</v>
      </c>
      <c r="H453" t="s" s="2">
        <v>17</v>
      </c>
      <c r="I453" s="3">
        <v>0</v>
      </c>
      <c r="J453" t="s" s="2">
        <v>18</v>
      </c>
      <c r="K453" t="s" s="2">
        <v>19</v>
      </c>
      <c r="L453" s="3">
        <v>41</v>
      </c>
      <c r="M453" t="s" s="2">
        <v>20</v>
      </c>
    </row>
    <row r="454" ht="13.55" customHeight="1">
      <c r="A454" s="3">
        <v>20277</v>
      </c>
      <c r="B454" t="s" s="2">
        <v>13</v>
      </c>
      <c r="C454" t="s" s="2">
        <v>14</v>
      </c>
      <c r="D454" s="4">
        <v>30000</v>
      </c>
      <c r="E454" s="3">
        <v>2</v>
      </c>
      <c r="F454" t="s" s="2">
        <v>21</v>
      </c>
      <c r="G454" t="s" s="2">
        <v>22</v>
      </c>
      <c r="H454" t="s" s="2">
        <v>20</v>
      </c>
      <c r="I454" s="3">
        <v>2</v>
      </c>
      <c r="J454" t="s" s="2">
        <v>18</v>
      </c>
      <c r="K454" t="s" s="2">
        <v>27</v>
      </c>
      <c r="L454" s="3">
        <v>69</v>
      </c>
      <c r="M454" t="s" s="2">
        <v>20</v>
      </c>
    </row>
    <row r="455" ht="13.55" customHeight="1">
      <c r="A455" s="3">
        <v>26765</v>
      </c>
      <c r="B455" t="s" s="2">
        <v>25</v>
      </c>
      <c r="C455" t="s" s="2">
        <v>14</v>
      </c>
      <c r="D455" s="4">
        <v>70000</v>
      </c>
      <c r="E455" s="3">
        <v>5</v>
      </c>
      <c r="F455" t="s" s="2">
        <v>21</v>
      </c>
      <c r="G455" t="s" s="2">
        <v>16</v>
      </c>
      <c r="H455" t="s" s="2">
        <v>17</v>
      </c>
      <c r="I455" s="3">
        <v>2</v>
      </c>
      <c r="J455" t="s" s="2">
        <v>26</v>
      </c>
      <c r="K455" t="s" s="2">
        <v>27</v>
      </c>
      <c r="L455" s="3">
        <v>45</v>
      </c>
      <c r="M455" t="s" s="2">
        <v>20</v>
      </c>
    </row>
    <row r="456" ht="13.55" customHeight="1">
      <c r="A456" s="3">
        <v>12389</v>
      </c>
      <c r="B456" t="s" s="2">
        <v>25</v>
      </c>
      <c r="C456" t="s" s="2">
        <v>13</v>
      </c>
      <c r="D456" s="4">
        <v>30000</v>
      </c>
      <c r="E456" s="3">
        <v>0</v>
      </c>
      <c r="F456" t="s" s="2">
        <v>30</v>
      </c>
      <c r="G456" t="s" s="2">
        <v>28</v>
      </c>
      <c r="H456" t="s" s="2">
        <v>20</v>
      </c>
      <c r="I456" s="3">
        <v>1</v>
      </c>
      <c r="J456" t="s" s="2">
        <v>24</v>
      </c>
      <c r="K456" t="s" s="2">
        <v>19</v>
      </c>
      <c r="L456" s="3">
        <v>34</v>
      </c>
      <c r="M456" t="s" s="2">
        <v>20</v>
      </c>
    </row>
    <row r="457" ht="13.55" customHeight="1">
      <c r="A457" s="3">
        <v>13585</v>
      </c>
      <c r="B457" t="s" s="2">
        <v>13</v>
      </c>
      <c r="C457" t="s" s="2">
        <v>14</v>
      </c>
      <c r="D457" s="4">
        <v>80000</v>
      </c>
      <c r="E457" s="3">
        <v>4</v>
      </c>
      <c r="F457" t="s" s="2">
        <v>21</v>
      </c>
      <c r="G457" t="s" s="2">
        <v>23</v>
      </c>
      <c r="H457" t="s" s="2">
        <v>20</v>
      </c>
      <c r="I457" s="3">
        <v>1</v>
      </c>
      <c r="J457" t="s" s="2">
        <v>24</v>
      </c>
      <c r="K457" t="s" s="2">
        <v>19</v>
      </c>
      <c r="L457" s="3">
        <v>53</v>
      </c>
      <c r="M457" t="s" s="2">
        <v>17</v>
      </c>
    </row>
    <row r="458" ht="13.55" customHeight="1">
      <c r="A458" s="3">
        <v>26385</v>
      </c>
      <c r="B458" t="s" s="2">
        <v>25</v>
      </c>
      <c r="C458" t="s" s="2">
        <v>13</v>
      </c>
      <c r="D458" s="4">
        <v>120000</v>
      </c>
      <c r="E458" s="3">
        <v>3</v>
      </c>
      <c r="F458" t="s" s="2">
        <v>30</v>
      </c>
      <c r="G458" t="s" s="2">
        <v>23</v>
      </c>
      <c r="H458" t="s" s="2">
        <v>20</v>
      </c>
      <c r="I458" s="3">
        <v>4</v>
      </c>
      <c r="J458" t="s" s="2">
        <v>26</v>
      </c>
      <c r="K458" t="s" s="2">
        <v>19</v>
      </c>
      <c r="L458" s="3">
        <v>50</v>
      </c>
      <c r="M458" t="s" s="2">
        <v>20</v>
      </c>
    </row>
    <row r="459" ht="13.55" customHeight="1">
      <c r="A459" s="3">
        <v>12236</v>
      </c>
      <c r="B459" t="s" s="2">
        <v>13</v>
      </c>
      <c r="C459" t="s" s="2">
        <v>14</v>
      </c>
      <c r="D459" s="4">
        <v>20000</v>
      </c>
      <c r="E459" s="3">
        <v>1</v>
      </c>
      <c r="F459" t="s" s="2">
        <v>21</v>
      </c>
      <c r="G459" t="s" s="2">
        <v>28</v>
      </c>
      <c r="H459" t="s" s="2">
        <v>17</v>
      </c>
      <c r="I459" s="3">
        <v>0</v>
      </c>
      <c r="J459" t="s" s="2">
        <v>18</v>
      </c>
      <c r="K459" t="s" s="2">
        <v>19</v>
      </c>
      <c r="L459" s="3">
        <v>65</v>
      </c>
      <c r="M459" t="s" s="2">
        <v>20</v>
      </c>
    </row>
    <row r="460" ht="13.55" customHeight="1">
      <c r="A460" s="3">
        <v>21560</v>
      </c>
      <c r="B460" t="s" s="2">
        <v>13</v>
      </c>
      <c r="C460" t="s" s="2">
        <v>13</v>
      </c>
      <c r="D460" s="4">
        <v>120000</v>
      </c>
      <c r="E460" s="3">
        <v>0</v>
      </c>
      <c r="F460" t="s" s="2">
        <v>32</v>
      </c>
      <c r="G460" t="s" s="2">
        <v>23</v>
      </c>
      <c r="H460" t="s" s="2">
        <v>17</v>
      </c>
      <c r="I460" s="3">
        <v>4</v>
      </c>
      <c r="J460" t="s" s="2">
        <v>33</v>
      </c>
      <c r="K460" t="s" s="2">
        <v>27</v>
      </c>
      <c r="L460" s="3">
        <v>32</v>
      </c>
      <c r="M460" t="s" s="2">
        <v>17</v>
      </c>
    </row>
    <row r="461" ht="13.55" customHeight="1">
      <c r="A461" s="3">
        <v>21554</v>
      </c>
      <c r="B461" t="s" s="2">
        <v>25</v>
      </c>
      <c r="C461" t="s" s="2">
        <v>14</v>
      </c>
      <c r="D461" s="4">
        <v>80000</v>
      </c>
      <c r="E461" s="3">
        <v>0</v>
      </c>
      <c r="F461" t="s" s="2">
        <v>15</v>
      </c>
      <c r="G461" t="s" s="2">
        <v>23</v>
      </c>
      <c r="H461" t="s" s="2">
        <v>20</v>
      </c>
      <c r="I461" s="3">
        <v>3</v>
      </c>
      <c r="J461" t="s" s="2">
        <v>33</v>
      </c>
      <c r="K461" t="s" s="2">
        <v>27</v>
      </c>
      <c r="L461" s="3">
        <v>33</v>
      </c>
      <c r="M461" t="s" s="2">
        <v>20</v>
      </c>
    </row>
    <row r="462" ht="13.55" customHeight="1">
      <c r="A462" s="3">
        <v>13662</v>
      </c>
      <c r="B462" t="s" s="2">
        <v>25</v>
      </c>
      <c r="C462" t="s" s="2">
        <v>13</v>
      </c>
      <c r="D462" s="4">
        <v>20000</v>
      </c>
      <c r="E462" s="3">
        <v>0</v>
      </c>
      <c r="F462" t="s" s="2">
        <v>32</v>
      </c>
      <c r="G462" t="s" s="2">
        <v>28</v>
      </c>
      <c r="H462" t="s" s="2">
        <v>17</v>
      </c>
      <c r="I462" s="3">
        <v>2</v>
      </c>
      <c r="J462" t="s" s="2">
        <v>29</v>
      </c>
      <c r="K462" t="s" s="2">
        <v>19</v>
      </c>
      <c r="L462" s="3">
        <v>31</v>
      </c>
      <c r="M462" t="s" s="2">
        <v>17</v>
      </c>
    </row>
    <row r="463" ht="13.55" customHeight="1">
      <c r="A463" s="3">
        <v>13089</v>
      </c>
      <c r="B463" t="s" s="2">
        <v>13</v>
      </c>
      <c r="C463" t="s" s="2">
        <v>14</v>
      </c>
      <c r="D463" s="4">
        <v>120000</v>
      </c>
      <c r="E463" s="3">
        <v>1</v>
      </c>
      <c r="F463" t="s" s="2">
        <v>15</v>
      </c>
      <c r="G463" t="s" s="2">
        <v>31</v>
      </c>
      <c r="H463" t="s" s="2">
        <v>17</v>
      </c>
      <c r="I463" s="3">
        <v>2</v>
      </c>
      <c r="J463" t="s" s="2">
        <v>18</v>
      </c>
      <c r="K463" t="s" s="2">
        <v>27</v>
      </c>
      <c r="L463" s="3">
        <v>46</v>
      </c>
      <c r="M463" t="s" s="2">
        <v>17</v>
      </c>
    </row>
    <row r="464" ht="13.55" customHeight="1">
      <c r="A464" s="3">
        <v>14791</v>
      </c>
      <c r="B464" t="s" s="2">
        <v>13</v>
      </c>
      <c r="C464" t="s" s="2">
        <v>14</v>
      </c>
      <c r="D464" s="4">
        <v>40000</v>
      </c>
      <c r="E464" s="3">
        <v>0</v>
      </c>
      <c r="F464" t="s" s="2">
        <v>15</v>
      </c>
      <c r="G464" t="s" s="2">
        <v>22</v>
      </c>
      <c r="H464" t="s" s="2">
        <v>17</v>
      </c>
      <c r="I464" s="3">
        <v>0</v>
      </c>
      <c r="J464" t="s" s="2">
        <v>18</v>
      </c>
      <c r="K464" t="s" s="2">
        <v>19</v>
      </c>
      <c r="L464" s="3">
        <v>39</v>
      </c>
      <c r="M464" t="s" s="2">
        <v>17</v>
      </c>
    </row>
    <row r="465" ht="13.55" customHeight="1">
      <c r="A465" s="3">
        <v>19331</v>
      </c>
      <c r="B465" t="s" s="2">
        <v>25</v>
      </c>
      <c r="C465" t="s" s="2">
        <v>13</v>
      </c>
      <c r="D465" s="4">
        <v>20000</v>
      </c>
      <c r="E465" s="3">
        <v>2</v>
      </c>
      <c r="F465" t="s" s="2">
        <v>30</v>
      </c>
      <c r="G465" t="s" s="2">
        <v>28</v>
      </c>
      <c r="H465" t="s" s="2">
        <v>17</v>
      </c>
      <c r="I465" s="3">
        <v>1</v>
      </c>
      <c r="J465" t="s" s="2">
        <v>18</v>
      </c>
      <c r="K465" t="s" s="2">
        <v>19</v>
      </c>
      <c r="L465" s="3">
        <v>40</v>
      </c>
      <c r="M465" t="s" s="2">
        <v>20</v>
      </c>
    </row>
    <row r="466" ht="13.55" customHeight="1">
      <c r="A466" s="3">
        <v>17754</v>
      </c>
      <c r="B466" t="s" s="2">
        <v>25</v>
      </c>
      <c r="C466" t="s" s="2">
        <v>14</v>
      </c>
      <c r="D466" s="4">
        <v>30000</v>
      </c>
      <c r="E466" s="3">
        <v>3</v>
      </c>
      <c r="F466" t="s" s="2">
        <v>15</v>
      </c>
      <c r="G466" t="s" s="2">
        <v>22</v>
      </c>
      <c r="H466" t="s" s="2">
        <v>17</v>
      </c>
      <c r="I466" s="3">
        <v>0</v>
      </c>
      <c r="J466" t="s" s="2">
        <v>18</v>
      </c>
      <c r="K466" t="s" s="2">
        <v>19</v>
      </c>
      <c r="L466" s="3">
        <v>46</v>
      </c>
      <c r="M466" t="s" s="2">
        <v>17</v>
      </c>
    </row>
    <row r="467" ht="13.55" customHeight="1">
      <c r="A467" s="3">
        <v>11149</v>
      </c>
      <c r="B467" t="s" s="2">
        <v>13</v>
      </c>
      <c r="C467" t="s" s="2">
        <v>13</v>
      </c>
      <c r="D467" s="4">
        <v>40000</v>
      </c>
      <c r="E467" s="3">
        <v>2</v>
      </c>
      <c r="F467" t="s" s="2">
        <v>15</v>
      </c>
      <c r="G467" t="s" s="2">
        <v>31</v>
      </c>
      <c r="H467" t="s" s="2">
        <v>17</v>
      </c>
      <c r="I467" s="3">
        <v>2</v>
      </c>
      <c r="J467" t="s" s="2">
        <v>18</v>
      </c>
      <c r="K467" t="s" s="2">
        <v>27</v>
      </c>
      <c r="L467" s="3">
        <v>65</v>
      </c>
      <c r="M467" t="s" s="2">
        <v>20</v>
      </c>
    </row>
    <row r="468" ht="13.55" customHeight="1">
      <c r="A468" s="3">
        <v>16549</v>
      </c>
      <c r="B468" t="s" s="2">
        <v>25</v>
      </c>
      <c r="C468" t="s" s="2">
        <v>14</v>
      </c>
      <c r="D468" s="4">
        <v>30000</v>
      </c>
      <c r="E468" s="3">
        <v>3</v>
      </c>
      <c r="F468" t="s" s="2">
        <v>15</v>
      </c>
      <c r="G468" t="s" s="2">
        <v>22</v>
      </c>
      <c r="H468" t="s" s="2">
        <v>17</v>
      </c>
      <c r="I468" s="3">
        <v>0</v>
      </c>
      <c r="J468" t="s" s="2">
        <v>18</v>
      </c>
      <c r="K468" t="s" s="2">
        <v>19</v>
      </c>
      <c r="L468" s="3">
        <v>47</v>
      </c>
      <c r="M468" t="s" s="2">
        <v>17</v>
      </c>
    </row>
    <row r="469" ht="13.55" customHeight="1">
      <c r="A469" s="3">
        <v>24305</v>
      </c>
      <c r="B469" t="s" s="2">
        <v>25</v>
      </c>
      <c r="C469" t="s" s="2">
        <v>13</v>
      </c>
      <c r="D469" s="4">
        <v>100000</v>
      </c>
      <c r="E469" s="3">
        <v>1</v>
      </c>
      <c r="F469" t="s" s="2">
        <v>15</v>
      </c>
      <c r="G469" t="s" s="2">
        <v>31</v>
      </c>
      <c r="H469" t="s" s="2">
        <v>20</v>
      </c>
      <c r="I469" s="3">
        <v>3</v>
      </c>
      <c r="J469" t="s" s="2">
        <v>18</v>
      </c>
      <c r="K469" t="s" s="2">
        <v>27</v>
      </c>
      <c r="L469" s="3">
        <v>46</v>
      </c>
      <c r="M469" t="s" s="2">
        <v>17</v>
      </c>
    </row>
    <row r="470" ht="13.55" customHeight="1">
      <c r="A470" s="3">
        <v>18253</v>
      </c>
      <c r="B470" t="s" s="2">
        <v>13</v>
      </c>
      <c r="C470" t="s" s="2">
        <v>14</v>
      </c>
      <c r="D470" s="4">
        <v>80000</v>
      </c>
      <c r="E470" s="3">
        <v>5</v>
      </c>
      <c r="F470" t="s" s="2">
        <v>34</v>
      </c>
      <c r="G470" t="s" s="2">
        <v>31</v>
      </c>
      <c r="H470" t="s" s="2">
        <v>17</v>
      </c>
      <c r="I470" s="3">
        <v>3</v>
      </c>
      <c r="J470" t="s" s="2">
        <v>18</v>
      </c>
      <c r="K470" t="s" s="2">
        <v>27</v>
      </c>
      <c r="L470" s="3">
        <v>40</v>
      </c>
      <c r="M470" t="s" s="2">
        <v>20</v>
      </c>
    </row>
    <row r="471" ht="13.55" customHeight="1">
      <c r="A471" s="3">
        <v>20147</v>
      </c>
      <c r="B471" t="s" s="2">
        <v>13</v>
      </c>
      <c r="C471" t="s" s="2">
        <v>14</v>
      </c>
      <c r="D471" s="4">
        <v>30000</v>
      </c>
      <c r="E471" s="3">
        <v>1</v>
      </c>
      <c r="F471" t="s" s="2">
        <v>15</v>
      </c>
      <c r="G471" t="s" s="2">
        <v>22</v>
      </c>
      <c r="H471" t="s" s="2">
        <v>17</v>
      </c>
      <c r="I471" s="3">
        <v>0</v>
      </c>
      <c r="J471" t="s" s="2">
        <v>18</v>
      </c>
      <c r="K471" t="s" s="2">
        <v>19</v>
      </c>
      <c r="L471" s="3">
        <v>65</v>
      </c>
      <c r="M471" t="s" s="2">
        <v>20</v>
      </c>
    </row>
    <row r="472" ht="13.55" customHeight="1">
      <c r="A472" s="3">
        <v>15612</v>
      </c>
      <c r="B472" t="s" s="2">
        <v>25</v>
      </c>
      <c r="C472" t="s" s="2">
        <v>13</v>
      </c>
      <c r="D472" s="4">
        <v>30000</v>
      </c>
      <c r="E472" s="3">
        <v>0</v>
      </c>
      <c r="F472" t="s" s="2">
        <v>30</v>
      </c>
      <c r="G472" t="s" s="2">
        <v>28</v>
      </c>
      <c r="H472" t="s" s="2">
        <v>20</v>
      </c>
      <c r="I472" s="3">
        <v>1</v>
      </c>
      <c r="J472" t="s" s="2">
        <v>29</v>
      </c>
      <c r="K472" t="s" s="2">
        <v>19</v>
      </c>
      <c r="L472" s="3">
        <v>28</v>
      </c>
      <c r="M472" t="s" s="2">
        <v>20</v>
      </c>
    </row>
    <row r="473" ht="13.55" customHeight="1">
      <c r="A473" s="3">
        <v>28323</v>
      </c>
      <c r="B473" t="s" s="2">
        <v>25</v>
      </c>
      <c r="C473" t="s" s="2">
        <v>13</v>
      </c>
      <c r="D473" s="4">
        <v>70000</v>
      </c>
      <c r="E473" s="3">
        <v>0</v>
      </c>
      <c r="F473" t="s" s="2">
        <v>15</v>
      </c>
      <c r="G473" t="s" s="2">
        <v>23</v>
      </c>
      <c r="H473" t="s" s="2">
        <v>20</v>
      </c>
      <c r="I473" s="3">
        <v>2</v>
      </c>
      <c r="J473" t="s" s="2">
        <v>26</v>
      </c>
      <c r="K473" t="s" s="2">
        <v>27</v>
      </c>
      <c r="L473" s="3">
        <v>43</v>
      </c>
      <c r="M473" t="s" s="2">
        <v>17</v>
      </c>
    </row>
    <row r="474" ht="13.55" customHeight="1">
      <c r="A474" s="3">
        <v>22634</v>
      </c>
      <c r="B474" t="s" s="2">
        <v>25</v>
      </c>
      <c r="C474" t="s" s="2">
        <v>14</v>
      </c>
      <c r="D474" s="4">
        <v>40000</v>
      </c>
      <c r="E474" s="3">
        <v>0</v>
      </c>
      <c r="F474" t="s" s="2">
        <v>34</v>
      </c>
      <c r="G474" t="s" s="2">
        <v>22</v>
      </c>
      <c r="H474" t="s" s="2">
        <v>17</v>
      </c>
      <c r="I474" s="3">
        <v>0</v>
      </c>
      <c r="J474" t="s" s="2">
        <v>18</v>
      </c>
      <c r="K474" t="s" s="2">
        <v>19</v>
      </c>
      <c r="L474" s="3">
        <v>38</v>
      </c>
      <c r="M474" t="s" s="2">
        <v>17</v>
      </c>
    </row>
    <row r="475" ht="13.55" customHeight="1">
      <c r="A475" s="3">
        <v>15665</v>
      </c>
      <c r="B475" t="s" s="2">
        <v>13</v>
      </c>
      <c r="C475" t="s" s="2">
        <v>14</v>
      </c>
      <c r="D475" s="4">
        <v>30000</v>
      </c>
      <c r="E475" s="3">
        <v>0</v>
      </c>
      <c r="F475" t="s" s="2">
        <v>15</v>
      </c>
      <c r="G475" t="s" s="2">
        <v>22</v>
      </c>
      <c r="H475" t="s" s="2">
        <v>17</v>
      </c>
      <c r="I475" s="3">
        <v>0</v>
      </c>
      <c r="J475" t="s" s="2">
        <v>18</v>
      </c>
      <c r="K475" t="s" s="2">
        <v>19</v>
      </c>
      <c r="L475" s="3">
        <v>47</v>
      </c>
      <c r="M475" t="s" s="2">
        <v>17</v>
      </c>
    </row>
    <row r="476" ht="13.55" customHeight="1">
      <c r="A476" s="3">
        <v>27585</v>
      </c>
      <c r="B476" t="s" s="2">
        <v>13</v>
      </c>
      <c r="C476" t="s" s="2">
        <v>14</v>
      </c>
      <c r="D476" s="4">
        <v>90000</v>
      </c>
      <c r="E476" s="3">
        <v>2</v>
      </c>
      <c r="F476" t="s" s="2">
        <v>15</v>
      </c>
      <c r="G476" t="s" s="2">
        <v>23</v>
      </c>
      <c r="H476" t="s" s="2">
        <v>20</v>
      </c>
      <c r="I476" s="3">
        <v>0</v>
      </c>
      <c r="J476" t="s" s="2">
        <v>18</v>
      </c>
      <c r="K476" t="s" s="2">
        <v>27</v>
      </c>
      <c r="L476" s="3">
        <v>36</v>
      </c>
      <c r="M476" t="s" s="2">
        <v>17</v>
      </c>
    </row>
    <row r="477" ht="13.55" customHeight="1">
      <c r="A477" s="3">
        <v>19748</v>
      </c>
      <c r="B477" t="s" s="2">
        <v>13</v>
      </c>
      <c r="C477" t="s" s="2">
        <v>13</v>
      </c>
      <c r="D477" s="4">
        <v>20000</v>
      </c>
      <c r="E477" s="3">
        <v>4</v>
      </c>
      <c r="F477" t="s" s="2">
        <v>30</v>
      </c>
      <c r="G477" t="s" s="2">
        <v>16</v>
      </c>
      <c r="H477" t="s" s="2">
        <v>20</v>
      </c>
      <c r="I477" s="3">
        <v>2</v>
      </c>
      <c r="J477" t="s" s="2">
        <v>29</v>
      </c>
      <c r="K477" t="s" s="2">
        <v>27</v>
      </c>
      <c r="L477" s="3">
        <v>60</v>
      </c>
      <c r="M477" t="s" s="2">
        <v>20</v>
      </c>
    </row>
    <row r="478" ht="13.55" customHeight="1">
      <c r="A478" s="3">
        <v>21974</v>
      </c>
      <c r="B478" t="s" s="2">
        <v>25</v>
      </c>
      <c r="C478" t="s" s="2">
        <v>14</v>
      </c>
      <c r="D478" s="4">
        <v>70000</v>
      </c>
      <c r="E478" s="3">
        <v>0</v>
      </c>
      <c r="F478" t="s" s="2">
        <v>15</v>
      </c>
      <c r="G478" t="s" s="2">
        <v>23</v>
      </c>
      <c r="H478" t="s" s="2">
        <v>17</v>
      </c>
      <c r="I478" s="3">
        <v>1</v>
      </c>
      <c r="J478" t="s" s="2">
        <v>26</v>
      </c>
      <c r="K478" t="s" s="2">
        <v>27</v>
      </c>
      <c r="L478" s="3">
        <v>42</v>
      </c>
      <c r="M478" t="s" s="2">
        <v>17</v>
      </c>
    </row>
    <row r="479" ht="13.55" customHeight="1">
      <c r="A479" s="3">
        <v>14032</v>
      </c>
      <c r="B479" t="s" s="2">
        <v>13</v>
      </c>
      <c r="C479" t="s" s="2">
        <v>13</v>
      </c>
      <c r="D479" s="4">
        <v>70000</v>
      </c>
      <c r="E479" s="3">
        <v>2</v>
      </c>
      <c r="F479" t="s" s="2">
        <v>30</v>
      </c>
      <c r="G479" t="s" s="2">
        <v>16</v>
      </c>
      <c r="H479" t="s" s="2">
        <v>20</v>
      </c>
      <c r="I479" s="3">
        <v>2</v>
      </c>
      <c r="J479" t="s" s="2">
        <v>29</v>
      </c>
      <c r="K479" t="s" s="2">
        <v>27</v>
      </c>
      <c r="L479" s="3">
        <v>50</v>
      </c>
      <c r="M479" t="s" s="2">
        <v>17</v>
      </c>
    </row>
    <row r="480" ht="13.55" customHeight="1">
      <c r="A480" s="3">
        <v>22610</v>
      </c>
      <c r="B480" t="s" s="2">
        <v>13</v>
      </c>
      <c r="C480" t="s" s="2">
        <v>13</v>
      </c>
      <c r="D480" s="4">
        <v>30000</v>
      </c>
      <c r="E480" s="3">
        <v>0</v>
      </c>
      <c r="F480" t="s" s="2">
        <v>15</v>
      </c>
      <c r="G480" t="s" s="2">
        <v>22</v>
      </c>
      <c r="H480" t="s" s="2">
        <v>17</v>
      </c>
      <c r="I480" s="3">
        <v>0</v>
      </c>
      <c r="J480" t="s" s="2">
        <v>18</v>
      </c>
      <c r="K480" t="s" s="2">
        <v>19</v>
      </c>
      <c r="L480" s="3">
        <v>35</v>
      </c>
      <c r="M480" t="s" s="2">
        <v>17</v>
      </c>
    </row>
    <row r="481" ht="13.55" customHeight="1">
      <c r="A481" s="3">
        <v>26984</v>
      </c>
      <c r="B481" t="s" s="2">
        <v>13</v>
      </c>
      <c r="C481" t="s" s="2">
        <v>13</v>
      </c>
      <c r="D481" s="4">
        <v>40000</v>
      </c>
      <c r="E481" s="3">
        <v>1</v>
      </c>
      <c r="F481" t="s" s="2">
        <v>15</v>
      </c>
      <c r="G481" t="s" s="2">
        <v>16</v>
      </c>
      <c r="H481" t="s" s="2">
        <v>17</v>
      </c>
      <c r="I481" s="3">
        <v>1</v>
      </c>
      <c r="J481" t="s" s="2">
        <v>18</v>
      </c>
      <c r="K481" t="s" s="2">
        <v>19</v>
      </c>
      <c r="L481" s="3">
        <v>32</v>
      </c>
      <c r="M481" t="s" s="2">
        <v>17</v>
      </c>
    </row>
    <row r="482" ht="13.55" customHeight="1">
      <c r="A482" s="3">
        <v>18294</v>
      </c>
      <c r="B482" t="s" s="2">
        <v>13</v>
      </c>
      <c r="C482" t="s" s="2">
        <v>14</v>
      </c>
      <c r="D482" s="4">
        <v>90000</v>
      </c>
      <c r="E482" s="3">
        <v>1</v>
      </c>
      <c r="F482" t="s" s="2">
        <v>15</v>
      </c>
      <c r="G482" t="s" s="2">
        <v>23</v>
      </c>
      <c r="H482" t="s" s="2">
        <v>17</v>
      </c>
      <c r="I482" s="3">
        <v>1</v>
      </c>
      <c r="J482" t="s" s="2">
        <v>26</v>
      </c>
      <c r="K482" t="s" s="2">
        <v>27</v>
      </c>
      <c r="L482" s="3">
        <v>46</v>
      </c>
      <c r="M482" t="s" s="2">
        <v>20</v>
      </c>
    </row>
    <row r="483" ht="13.55" customHeight="1">
      <c r="A483" s="3">
        <v>28564</v>
      </c>
      <c r="B483" t="s" s="2">
        <v>25</v>
      </c>
      <c r="C483" t="s" s="2">
        <v>14</v>
      </c>
      <c r="D483" s="4">
        <v>40000</v>
      </c>
      <c r="E483" s="3">
        <v>2</v>
      </c>
      <c r="F483" t="s" s="2">
        <v>21</v>
      </c>
      <c r="G483" t="s" s="2">
        <v>22</v>
      </c>
      <c r="H483" t="s" s="2">
        <v>17</v>
      </c>
      <c r="I483" s="3">
        <v>0</v>
      </c>
      <c r="J483" t="s" s="2">
        <v>29</v>
      </c>
      <c r="K483" t="s" s="2">
        <v>19</v>
      </c>
      <c r="L483" s="3">
        <v>33</v>
      </c>
      <c r="M483" t="s" s="2">
        <v>17</v>
      </c>
    </row>
    <row r="484" ht="13.55" customHeight="1">
      <c r="A484" s="3">
        <v>28521</v>
      </c>
      <c r="B484" t="s" s="2">
        <v>25</v>
      </c>
      <c r="C484" t="s" s="2">
        <v>13</v>
      </c>
      <c r="D484" s="4">
        <v>40000</v>
      </c>
      <c r="E484" s="3">
        <v>0</v>
      </c>
      <c r="F484" t="s" s="2">
        <v>34</v>
      </c>
      <c r="G484" t="s" s="2">
        <v>22</v>
      </c>
      <c r="H484" t="s" s="2">
        <v>20</v>
      </c>
      <c r="I484" s="3">
        <v>0</v>
      </c>
      <c r="J484" t="s" s="2">
        <v>18</v>
      </c>
      <c r="K484" t="s" s="2">
        <v>19</v>
      </c>
      <c r="L484" s="3">
        <v>36</v>
      </c>
      <c r="M484" t="s" s="2">
        <v>17</v>
      </c>
    </row>
    <row r="485" ht="13.55" customHeight="1">
      <c r="A485" s="3">
        <v>15450</v>
      </c>
      <c r="B485" t="s" s="2">
        <v>13</v>
      </c>
      <c r="C485" t="s" s="2">
        <v>13</v>
      </c>
      <c r="D485" s="4">
        <v>10000</v>
      </c>
      <c r="E485" s="3">
        <v>1</v>
      </c>
      <c r="F485" t="s" s="2">
        <v>34</v>
      </c>
      <c r="G485" t="s" s="2">
        <v>22</v>
      </c>
      <c r="H485" t="s" s="2">
        <v>17</v>
      </c>
      <c r="I485" s="3">
        <v>0</v>
      </c>
      <c r="J485" t="s" s="2">
        <v>18</v>
      </c>
      <c r="K485" t="s" s="2">
        <v>19</v>
      </c>
      <c r="L485" s="3">
        <v>70</v>
      </c>
      <c r="M485" t="s" s="2">
        <v>20</v>
      </c>
    </row>
    <row r="486" ht="13.55" customHeight="1">
      <c r="A486" s="3">
        <v>25681</v>
      </c>
      <c r="B486" t="s" s="2">
        <v>25</v>
      </c>
      <c r="C486" t="s" s="2">
        <v>14</v>
      </c>
      <c r="D486" s="4">
        <v>30000</v>
      </c>
      <c r="E486" s="3">
        <v>0</v>
      </c>
      <c r="F486" t="s" s="2">
        <v>21</v>
      </c>
      <c r="G486" t="s" s="2">
        <v>22</v>
      </c>
      <c r="H486" t="s" s="2">
        <v>20</v>
      </c>
      <c r="I486" s="3">
        <v>1</v>
      </c>
      <c r="J486" t="s" s="2">
        <v>24</v>
      </c>
      <c r="K486" t="s" s="2">
        <v>19</v>
      </c>
      <c r="L486" s="3">
        <v>31</v>
      </c>
      <c r="M486" t="s" s="2">
        <v>17</v>
      </c>
    </row>
    <row r="487" ht="13.55" customHeight="1">
      <c r="A487" s="3">
        <v>19491</v>
      </c>
      <c r="B487" t="s" s="2">
        <v>25</v>
      </c>
      <c r="C487" t="s" s="2">
        <v>13</v>
      </c>
      <c r="D487" s="4">
        <v>30000</v>
      </c>
      <c r="E487" s="3">
        <v>2</v>
      </c>
      <c r="F487" t="s" s="2">
        <v>21</v>
      </c>
      <c r="G487" t="s" s="2">
        <v>22</v>
      </c>
      <c r="H487" t="s" s="2">
        <v>17</v>
      </c>
      <c r="I487" s="3">
        <v>2</v>
      </c>
      <c r="J487" t="s" s="2">
        <v>18</v>
      </c>
      <c r="K487" t="s" s="2">
        <v>19</v>
      </c>
      <c r="L487" s="3">
        <v>42</v>
      </c>
      <c r="M487" t="s" s="2">
        <v>20</v>
      </c>
    </row>
    <row r="488" ht="13.55" customHeight="1">
      <c r="A488" s="3">
        <v>26415</v>
      </c>
      <c r="B488" t="s" s="2">
        <v>13</v>
      </c>
      <c r="C488" t="s" s="2">
        <v>14</v>
      </c>
      <c r="D488" s="4">
        <v>90000</v>
      </c>
      <c r="E488" s="3">
        <v>4</v>
      </c>
      <c r="F488" t="s" s="2">
        <v>32</v>
      </c>
      <c r="G488" t="s" s="2">
        <v>16</v>
      </c>
      <c r="H488" t="s" s="2">
        <v>17</v>
      </c>
      <c r="I488" s="3">
        <v>4</v>
      </c>
      <c r="J488" t="s" s="2">
        <v>33</v>
      </c>
      <c r="K488" t="s" s="2">
        <v>19</v>
      </c>
      <c r="L488" s="3">
        <v>58</v>
      </c>
      <c r="M488" t="s" s="2">
        <v>20</v>
      </c>
    </row>
    <row r="489" ht="13.55" customHeight="1">
      <c r="A489" s="3">
        <v>12821</v>
      </c>
      <c r="B489" t="s" s="2">
        <v>13</v>
      </c>
      <c r="C489" t="s" s="2">
        <v>13</v>
      </c>
      <c r="D489" s="4">
        <v>40000</v>
      </c>
      <c r="E489" s="3">
        <v>0</v>
      </c>
      <c r="F489" t="s" s="2">
        <v>15</v>
      </c>
      <c r="G489" t="s" s="2">
        <v>22</v>
      </c>
      <c r="H489" t="s" s="2">
        <v>17</v>
      </c>
      <c r="I489" s="3">
        <v>0</v>
      </c>
      <c r="J489" t="s" s="2">
        <v>18</v>
      </c>
      <c r="K489" t="s" s="2">
        <v>19</v>
      </c>
      <c r="L489" s="3">
        <v>39</v>
      </c>
      <c r="M489" t="s" s="2">
        <v>20</v>
      </c>
    </row>
    <row r="490" ht="13.55" customHeight="1">
      <c r="A490" s="3">
        <v>15629</v>
      </c>
      <c r="B490" t="s" s="2">
        <v>25</v>
      </c>
      <c r="C490" t="s" s="2">
        <v>14</v>
      </c>
      <c r="D490" s="4">
        <v>10000</v>
      </c>
      <c r="E490" s="3">
        <v>0</v>
      </c>
      <c r="F490" t="s" s="2">
        <v>32</v>
      </c>
      <c r="G490" t="s" s="2">
        <v>28</v>
      </c>
      <c r="H490" t="s" s="2">
        <v>17</v>
      </c>
      <c r="I490" s="3">
        <v>2</v>
      </c>
      <c r="J490" t="s" s="2">
        <v>29</v>
      </c>
      <c r="K490" t="s" s="2">
        <v>19</v>
      </c>
      <c r="L490" s="3">
        <v>34</v>
      </c>
      <c r="M490" t="s" s="2">
        <v>20</v>
      </c>
    </row>
    <row r="491" ht="13.55" customHeight="1">
      <c r="A491" s="3">
        <v>27835</v>
      </c>
      <c r="B491" t="s" s="2">
        <v>13</v>
      </c>
      <c r="C491" t="s" s="2">
        <v>13</v>
      </c>
      <c r="D491" s="4">
        <v>20000</v>
      </c>
      <c r="E491" s="3">
        <v>0</v>
      </c>
      <c r="F491" t="s" s="2">
        <v>32</v>
      </c>
      <c r="G491" t="s" s="2">
        <v>28</v>
      </c>
      <c r="H491" t="s" s="2">
        <v>17</v>
      </c>
      <c r="I491" s="3">
        <v>2</v>
      </c>
      <c r="J491" t="s" s="2">
        <v>18</v>
      </c>
      <c r="K491" t="s" s="2">
        <v>19</v>
      </c>
      <c r="L491" s="3">
        <v>32</v>
      </c>
      <c r="M491" t="s" s="2">
        <v>20</v>
      </c>
    </row>
    <row r="492" ht="13.55" customHeight="1">
      <c r="A492" s="3">
        <v>11738</v>
      </c>
      <c r="B492" t="s" s="2">
        <v>13</v>
      </c>
      <c r="C492" t="s" s="2">
        <v>13</v>
      </c>
      <c r="D492" s="4">
        <v>60000</v>
      </c>
      <c r="E492" s="3">
        <v>4</v>
      </c>
      <c r="F492" t="s" s="2">
        <v>15</v>
      </c>
      <c r="G492" t="s" s="2">
        <v>23</v>
      </c>
      <c r="H492" t="s" s="2">
        <v>17</v>
      </c>
      <c r="I492" s="3">
        <v>0</v>
      </c>
      <c r="J492" t="s" s="2">
        <v>24</v>
      </c>
      <c r="K492" t="s" s="2">
        <v>35</v>
      </c>
      <c r="L492" s="3">
        <v>46</v>
      </c>
      <c r="M492" t="s" s="2">
        <v>20</v>
      </c>
    </row>
    <row r="493" ht="13.55" customHeight="1">
      <c r="A493" s="3">
        <v>25065</v>
      </c>
      <c r="B493" t="s" s="2">
        <v>13</v>
      </c>
      <c r="C493" t="s" s="2">
        <v>13</v>
      </c>
      <c r="D493" s="4">
        <v>70000</v>
      </c>
      <c r="E493" s="3">
        <v>2</v>
      </c>
      <c r="F493" t="s" s="2">
        <v>32</v>
      </c>
      <c r="G493" t="s" s="2">
        <v>16</v>
      </c>
      <c r="H493" t="s" s="2">
        <v>17</v>
      </c>
      <c r="I493" s="3">
        <v>2</v>
      </c>
      <c r="J493" t="s" s="2">
        <v>26</v>
      </c>
      <c r="K493" t="s" s="2">
        <v>35</v>
      </c>
      <c r="L493" s="3">
        <v>48</v>
      </c>
      <c r="M493" t="s" s="2">
        <v>20</v>
      </c>
    </row>
    <row r="494" ht="13.55" customHeight="1">
      <c r="A494" s="3">
        <v>26238</v>
      </c>
      <c r="B494" t="s" s="2">
        <v>25</v>
      </c>
      <c r="C494" t="s" s="2">
        <v>14</v>
      </c>
      <c r="D494" s="4">
        <v>40000</v>
      </c>
      <c r="E494" s="3">
        <v>3</v>
      </c>
      <c r="F494" t="s" s="2">
        <v>21</v>
      </c>
      <c r="G494" t="s" s="2">
        <v>22</v>
      </c>
      <c r="H494" t="s" s="2">
        <v>17</v>
      </c>
      <c r="I494" s="3">
        <v>1</v>
      </c>
      <c r="J494" t="s" s="2">
        <v>29</v>
      </c>
      <c r="K494" t="s" s="2">
        <v>35</v>
      </c>
      <c r="L494" s="3">
        <v>31</v>
      </c>
      <c r="M494" t="s" s="2">
        <v>17</v>
      </c>
    </row>
    <row r="495" ht="13.55" customHeight="1">
      <c r="A495" s="3">
        <v>23707</v>
      </c>
      <c r="B495" t="s" s="2">
        <v>25</v>
      </c>
      <c r="C495" t="s" s="2">
        <v>13</v>
      </c>
      <c r="D495" s="4">
        <v>70000</v>
      </c>
      <c r="E495" s="3">
        <v>5</v>
      </c>
      <c r="F495" t="s" s="2">
        <v>15</v>
      </c>
      <c r="G495" t="s" s="2">
        <v>31</v>
      </c>
      <c r="H495" t="s" s="2">
        <v>17</v>
      </c>
      <c r="I495" s="3">
        <v>3</v>
      </c>
      <c r="J495" t="s" s="2">
        <v>33</v>
      </c>
      <c r="K495" t="s" s="2">
        <v>35</v>
      </c>
      <c r="L495" s="3">
        <v>60</v>
      </c>
      <c r="M495" t="s" s="2">
        <v>17</v>
      </c>
    </row>
    <row r="496" ht="13.55" customHeight="1">
      <c r="A496" s="3">
        <v>27650</v>
      </c>
      <c r="B496" t="s" s="2">
        <v>13</v>
      </c>
      <c r="C496" t="s" s="2">
        <v>13</v>
      </c>
      <c r="D496" s="4">
        <v>70000</v>
      </c>
      <c r="E496" s="3">
        <v>4</v>
      </c>
      <c r="F496" t="s" s="2">
        <v>30</v>
      </c>
      <c r="G496" t="s" s="2">
        <v>23</v>
      </c>
      <c r="H496" t="s" s="2">
        <v>17</v>
      </c>
      <c r="I496" s="3">
        <v>0</v>
      </c>
      <c r="J496" t="s" s="2">
        <v>26</v>
      </c>
      <c r="K496" t="s" s="2">
        <v>35</v>
      </c>
      <c r="L496" s="3">
        <v>51</v>
      </c>
      <c r="M496" t="s" s="2">
        <v>20</v>
      </c>
    </row>
    <row r="497" ht="13.55" customHeight="1">
      <c r="A497" s="3">
        <v>24981</v>
      </c>
      <c r="B497" t="s" s="2">
        <v>13</v>
      </c>
      <c r="C497" t="s" s="2">
        <v>13</v>
      </c>
      <c r="D497" s="4">
        <v>60000</v>
      </c>
      <c r="E497" s="3">
        <v>2</v>
      </c>
      <c r="F497" t="s" s="2">
        <v>21</v>
      </c>
      <c r="G497" t="s" s="2">
        <v>23</v>
      </c>
      <c r="H497" t="s" s="2">
        <v>17</v>
      </c>
      <c r="I497" s="3">
        <v>2</v>
      </c>
      <c r="J497" t="s" s="2">
        <v>33</v>
      </c>
      <c r="K497" t="s" s="2">
        <v>35</v>
      </c>
      <c r="L497" s="3">
        <v>56</v>
      </c>
      <c r="M497" t="s" s="2">
        <v>20</v>
      </c>
    </row>
    <row r="498" ht="13.55" customHeight="1">
      <c r="A498" s="3">
        <v>20678</v>
      </c>
      <c r="B498" t="s" s="2">
        <v>25</v>
      </c>
      <c r="C498" t="s" s="2">
        <v>14</v>
      </c>
      <c r="D498" s="4">
        <v>60000</v>
      </c>
      <c r="E498" s="3">
        <v>3</v>
      </c>
      <c r="F498" t="s" s="2">
        <v>15</v>
      </c>
      <c r="G498" t="s" s="2">
        <v>16</v>
      </c>
      <c r="H498" t="s" s="2">
        <v>17</v>
      </c>
      <c r="I498" s="3">
        <v>1</v>
      </c>
      <c r="J498" t="s" s="2">
        <v>24</v>
      </c>
      <c r="K498" t="s" s="2">
        <v>35</v>
      </c>
      <c r="L498" s="3">
        <v>40</v>
      </c>
      <c r="M498" t="s" s="2">
        <v>17</v>
      </c>
    </row>
    <row r="499" ht="13.55" customHeight="1">
      <c r="A499" s="3">
        <v>15302</v>
      </c>
      <c r="B499" t="s" s="2">
        <v>25</v>
      </c>
      <c r="C499" t="s" s="2">
        <v>14</v>
      </c>
      <c r="D499" s="4">
        <v>70000</v>
      </c>
      <c r="E499" s="3">
        <v>1</v>
      </c>
      <c r="F499" t="s" s="2">
        <v>34</v>
      </c>
      <c r="G499" t="s" s="2">
        <v>23</v>
      </c>
      <c r="H499" t="s" s="2">
        <v>17</v>
      </c>
      <c r="I499" s="3">
        <v>0</v>
      </c>
      <c r="J499" t="s" s="2">
        <v>24</v>
      </c>
      <c r="K499" t="s" s="2">
        <v>35</v>
      </c>
      <c r="L499" s="3">
        <v>34</v>
      </c>
      <c r="M499" t="s" s="2">
        <v>17</v>
      </c>
    </row>
    <row r="500" ht="13.55" customHeight="1">
      <c r="A500" s="3">
        <v>26012</v>
      </c>
      <c r="B500" t="s" s="2">
        <v>13</v>
      </c>
      <c r="C500" t="s" s="2">
        <v>13</v>
      </c>
      <c r="D500" s="4">
        <v>80000</v>
      </c>
      <c r="E500" s="3">
        <v>1</v>
      </c>
      <c r="F500" t="s" s="2">
        <v>21</v>
      </c>
      <c r="G500" t="s" s="2">
        <v>16</v>
      </c>
      <c r="H500" t="s" s="2">
        <v>17</v>
      </c>
      <c r="I500" s="3">
        <v>1</v>
      </c>
      <c r="J500" t="s" s="2">
        <v>24</v>
      </c>
      <c r="K500" t="s" s="2">
        <v>35</v>
      </c>
      <c r="L500" s="3">
        <v>48</v>
      </c>
      <c r="M500" t="s" s="2">
        <v>17</v>
      </c>
    </row>
    <row r="501" ht="13.55" customHeight="1">
      <c r="A501" s="3">
        <v>26575</v>
      </c>
      <c r="B501" t="s" s="2">
        <v>25</v>
      </c>
      <c r="C501" t="s" s="2">
        <v>14</v>
      </c>
      <c r="D501" s="4">
        <v>40000</v>
      </c>
      <c r="E501" s="3">
        <v>0</v>
      </c>
      <c r="F501" t="s" s="2">
        <v>30</v>
      </c>
      <c r="G501" t="s" s="2">
        <v>16</v>
      </c>
      <c r="H501" t="s" s="2">
        <v>20</v>
      </c>
      <c r="I501" s="3">
        <v>2</v>
      </c>
      <c r="J501" t="s" s="2">
        <v>29</v>
      </c>
      <c r="K501" t="s" s="2">
        <v>35</v>
      </c>
      <c r="L501" s="3">
        <v>31</v>
      </c>
      <c r="M501" t="s" s="2">
        <v>17</v>
      </c>
    </row>
    <row r="502" ht="13.55" customHeight="1">
      <c r="A502" s="3">
        <v>15559</v>
      </c>
      <c r="B502" t="s" s="2">
        <v>13</v>
      </c>
      <c r="C502" t="s" s="2">
        <v>13</v>
      </c>
      <c r="D502" s="4">
        <v>60000</v>
      </c>
      <c r="E502" s="3">
        <v>5</v>
      </c>
      <c r="F502" t="s" s="2">
        <v>15</v>
      </c>
      <c r="G502" t="s" s="2">
        <v>23</v>
      </c>
      <c r="H502" t="s" s="2">
        <v>17</v>
      </c>
      <c r="I502" s="3">
        <v>1</v>
      </c>
      <c r="J502" t="s" s="2">
        <v>24</v>
      </c>
      <c r="K502" t="s" s="2">
        <v>35</v>
      </c>
      <c r="L502" s="3">
        <v>47</v>
      </c>
      <c r="M502" t="s" s="2">
        <v>20</v>
      </c>
    </row>
    <row r="503" ht="13.55" customHeight="1">
      <c r="A503" s="3">
        <v>19235</v>
      </c>
      <c r="B503" t="s" s="2">
        <v>13</v>
      </c>
      <c r="C503" t="s" s="2">
        <v>14</v>
      </c>
      <c r="D503" s="4">
        <v>50000</v>
      </c>
      <c r="E503" s="3">
        <v>0</v>
      </c>
      <c r="F503" t="s" s="2">
        <v>34</v>
      </c>
      <c r="G503" t="s" s="2">
        <v>16</v>
      </c>
      <c r="H503" t="s" s="2">
        <v>17</v>
      </c>
      <c r="I503" s="3">
        <v>0</v>
      </c>
      <c r="J503" t="s" s="2">
        <v>18</v>
      </c>
      <c r="K503" t="s" s="2">
        <v>35</v>
      </c>
      <c r="L503" s="3">
        <v>34</v>
      </c>
      <c r="M503" t="s" s="2">
        <v>20</v>
      </c>
    </row>
    <row r="504" ht="13.55" customHeight="1">
      <c r="A504" s="3">
        <v>15275</v>
      </c>
      <c r="B504" t="s" s="2">
        <v>13</v>
      </c>
      <c r="C504" t="s" s="2">
        <v>13</v>
      </c>
      <c r="D504" s="4">
        <v>40000</v>
      </c>
      <c r="E504" s="3">
        <v>0</v>
      </c>
      <c r="F504" t="s" s="2">
        <v>21</v>
      </c>
      <c r="G504" t="s" s="2">
        <v>16</v>
      </c>
      <c r="H504" t="s" s="2">
        <v>17</v>
      </c>
      <c r="I504" s="3">
        <v>1</v>
      </c>
      <c r="J504" t="s" s="2">
        <v>26</v>
      </c>
      <c r="K504" t="s" s="2">
        <v>35</v>
      </c>
      <c r="L504" s="3">
        <v>29</v>
      </c>
      <c r="M504" t="s" s="2">
        <v>20</v>
      </c>
    </row>
    <row r="505" ht="13.55" customHeight="1">
      <c r="A505" s="3">
        <v>20339</v>
      </c>
      <c r="B505" t="s" s="2">
        <v>13</v>
      </c>
      <c r="C505" t="s" s="2">
        <v>14</v>
      </c>
      <c r="D505" s="4">
        <v>130000</v>
      </c>
      <c r="E505" s="3">
        <v>1</v>
      </c>
      <c r="F505" t="s" s="2">
        <v>15</v>
      </c>
      <c r="G505" t="s" s="2">
        <v>31</v>
      </c>
      <c r="H505" t="s" s="2">
        <v>17</v>
      </c>
      <c r="I505" s="3">
        <v>4</v>
      </c>
      <c r="J505" t="s" s="2">
        <v>24</v>
      </c>
      <c r="K505" t="s" s="2">
        <v>35</v>
      </c>
      <c r="L505" s="3">
        <v>44</v>
      </c>
      <c r="M505" t="s" s="2">
        <v>17</v>
      </c>
    </row>
    <row r="506" ht="13.55" customHeight="1">
      <c r="A506" s="3">
        <v>25405</v>
      </c>
      <c r="B506" t="s" s="2">
        <v>13</v>
      </c>
      <c r="C506" t="s" s="2">
        <v>13</v>
      </c>
      <c r="D506" s="4">
        <v>70000</v>
      </c>
      <c r="E506" s="3">
        <v>2</v>
      </c>
      <c r="F506" t="s" s="2">
        <v>15</v>
      </c>
      <c r="G506" t="s" s="2">
        <v>16</v>
      </c>
      <c r="H506" t="s" s="2">
        <v>17</v>
      </c>
      <c r="I506" s="3">
        <v>1</v>
      </c>
      <c r="J506" t="s" s="2">
        <v>24</v>
      </c>
      <c r="K506" t="s" s="2">
        <v>35</v>
      </c>
      <c r="L506" s="3">
        <v>38</v>
      </c>
      <c r="M506" t="s" s="2">
        <v>17</v>
      </c>
    </row>
    <row r="507" ht="13.55" customHeight="1">
      <c r="A507" s="3">
        <v>15940</v>
      </c>
      <c r="B507" t="s" s="2">
        <v>13</v>
      </c>
      <c r="C507" t="s" s="2">
        <v>13</v>
      </c>
      <c r="D507" s="4">
        <v>100000</v>
      </c>
      <c r="E507" s="3">
        <v>4</v>
      </c>
      <c r="F507" t="s" s="2">
        <v>21</v>
      </c>
      <c r="G507" t="s" s="2">
        <v>23</v>
      </c>
      <c r="H507" t="s" s="2">
        <v>17</v>
      </c>
      <c r="I507" s="3">
        <v>4</v>
      </c>
      <c r="J507" t="s" s="2">
        <v>18</v>
      </c>
      <c r="K507" t="s" s="2">
        <v>35</v>
      </c>
      <c r="L507" s="3">
        <v>40</v>
      </c>
      <c r="M507" t="s" s="2">
        <v>20</v>
      </c>
    </row>
    <row r="508" ht="13.55" customHeight="1">
      <c r="A508" s="3">
        <v>25074</v>
      </c>
      <c r="B508" t="s" s="2">
        <v>13</v>
      </c>
      <c r="C508" t="s" s="2">
        <v>14</v>
      </c>
      <c r="D508" s="4">
        <v>70000</v>
      </c>
      <c r="E508" s="3">
        <v>4</v>
      </c>
      <c r="F508" t="s" s="2">
        <v>15</v>
      </c>
      <c r="G508" t="s" s="2">
        <v>23</v>
      </c>
      <c r="H508" t="s" s="2">
        <v>17</v>
      </c>
      <c r="I508" s="3">
        <v>2</v>
      </c>
      <c r="J508" t="s" s="2">
        <v>24</v>
      </c>
      <c r="K508" t="s" s="2">
        <v>35</v>
      </c>
      <c r="L508" s="3">
        <v>42</v>
      </c>
      <c r="M508" t="s" s="2">
        <v>17</v>
      </c>
    </row>
    <row r="509" ht="13.55" customHeight="1">
      <c r="A509" s="3">
        <v>24738</v>
      </c>
      <c r="B509" t="s" s="2">
        <v>13</v>
      </c>
      <c r="C509" t="s" s="2">
        <v>14</v>
      </c>
      <c r="D509" s="4">
        <v>40000</v>
      </c>
      <c r="E509" s="3">
        <v>1</v>
      </c>
      <c r="F509" t="s" s="2">
        <v>21</v>
      </c>
      <c r="G509" t="s" s="2">
        <v>22</v>
      </c>
      <c r="H509" t="s" s="2">
        <v>17</v>
      </c>
      <c r="I509" s="3">
        <v>1</v>
      </c>
      <c r="J509" t="s" s="2">
        <v>29</v>
      </c>
      <c r="K509" t="s" s="2">
        <v>35</v>
      </c>
      <c r="L509" s="3">
        <v>51</v>
      </c>
      <c r="M509" t="s" s="2">
        <v>17</v>
      </c>
    </row>
    <row r="510" ht="13.55" customHeight="1">
      <c r="A510" s="3">
        <v>16337</v>
      </c>
      <c r="B510" t="s" s="2">
        <v>13</v>
      </c>
      <c r="C510" t="s" s="2">
        <v>13</v>
      </c>
      <c r="D510" s="4">
        <v>60000</v>
      </c>
      <c r="E510" s="3">
        <v>0</v>
      </c>
      <c r="F510" t="s" s="2">
        <v>21</v>
      </c>
      <c r="G510" t="s" s="2">
        <v>16</v>
      </c>
      <c r="H510" t="s" s="2">
        <v>20</v>
      </c>
      <c r="I510" s="3">
        <v>2</v>
      </c>
      <c r="J510" t="s" s="2">
        <v>29</v>
      </c>
      <c r="K510" t="s" s="2">
        <v>35</v>
      </c>
      <c r="L510" s="3">
        <v>29</v>
      </c>
      <c r="M510" t="s" s="2">
        <v>20</v>
      </c>
    </row>
    <row r="511" ht="13.55" customHeight="1">
      <c r="A511" s="3">
        <v>24357</v>
      </c>
      <c r="B511" t="s" s="2">
        <v>13</v>
      </c>
      <c r="C511" t="s" s="2">
        <v>13</v>
      </c>
      <c r="D511" s="4">
        <v>80000</v>
      </c>
      <c r="E511" s="3">
        <v>3</v>
      </c>
      <c r="F511" t="s" s="2">
        <v>15</v>
      </c>
      <c r="G511" t="s" s="2">
        <v>23</v>
      </c>
      <c r="H511" t="s" s="2">
        <v>17</v>
      </c>
      <c r="I511" s="3">
        <v>1</v>
      </c>
      <c r="J511" t="s" s="2">
        <v>24</v>
      </c>
      <c r="K511" t="s" s="2">
        <v>35</v>
      </c>
      <c r="L511" s="3">
        <v>48</v>
      </c>
      <c r="M511" t="s" s="2">
        <v>17</v>
      </c>
    </row>
    <row r="512" ht="13.55" customHeight="1">
      <c r="A512" s="3">
        <v>18613</v>
      </c>
      <c r="B512" t="s" s="2">
        <v>25</v>
      </c>
      <c r="C512" t="s" s="2">
        <v>13</v>
      </c>
      <c r="D512" s="4">
        <v>70000</v>
      </c>
      <c r="E512" s="3">
        <v>0</v>
      </c>
      <c r="F512" t="s" s="2">
        <v>15</v>
      </c>
      <c r="G512" t="s" s="2">
        <v>23</v>
      </c>
      <c r="H512" t="s" s="2">
        <v>20</v>
      </c>
      <c r="I512" s="3">
        <v>1</v>
      </c>
      <c r="J512" t="s" s="2">
        <v>24</v>
      </c>
      <c r="K512" t="s" s="2">
        <v>35</v>
      </c>
      <c r="L512" s="3">
        <v>37</v>
      </c>
      <c r="M512" t="s" s="2">
        <v>17</v>
      </c>
    </row>
    <row r="513" ht="13.55" customHeight="1">
      <c r="A513" s="3">
        <v>12207</v>
      </c>
      <c r="B513" t="s" s="2">
        <v>25</v>
      </c>
      <c r="C513" t="s" s="2">
        <v>13</v>
      </c>
      <c r="D513" s="4">
        <v>80000</v>
      </c>
      <c r="E513" s="3">
        <v>4</v>
      </c>
      <c r="F513" t="s" s="2">
        <v>15</v>
      </c>
      <c r="G513" t="s" s="2">
        <v>31</v>
      </c>
      <c r="H513" t="s" s="2">
        <v>17</v>
      </c>
      <c r="I513" s="3">
        <v>0</v>
      </c>
      <c r="J513" t="s" s="2">
        <v>26</v>
      </c>
      <c r="K513" t="s" s="2">
        <v>35</v>
      </c>
      <c r="L513" s="3">
        <v>66</v>
      </c>
      <c r="M513" t="s" s="2">
        <v>17</v>
      </c>
    </row>
    <row r="514" ht="13.55" customHeight="1">
      <c r="A514" s="3">
        <v>18052</v>
      </c>
      <c r="B514" t="s" s="2">
        <v>13</v>
      </c>
      <c r="C514" t="s" s="2">
        <v>14</v>
      </c>
      <c r="D514" s="4">
        <v>60000</v>
      </c>
      <c r="E514" s="3">
        <v>1</v>
      </c>
      <c r="F514" t="s" s="2">
        <v>21</v>
      </c>
      <c r="G514" t="s" s="2">
        <v>16</v>
      </c>
      <c r="H514" t="s" s="2">
        <v>17</v>
      </c>
      <c r="I514" s="3">
        <v>1</v>
      </c>
      <c r="J514" t="s" s="2">
        <v>18</v>
      </c>
      <c r="K514" t="s" s="2">
        <v>35</v>
      </c>
      <c r="L514" s="3">
        <v>45</v>
      </c>
      <c r="M514" t="s" s="2">
        <v>17</v>
      </c>
    </row>
    <row r="515" ht="13.55" customHeight="1">
      <c r="A515" s="3">
        <v>13353</v>
      </c>
      <c r="B515" t="s" s="2">
        <v>25</v>
      </c>
      <c r="C515" t="s" s="2">
        <v>14</v>
      </c>
      <c r="D515" s="4">
        <v>60000</v>
      </c>
      <c r="E515" s="3">
        <v>4</v>
      </c>
      <c r="F515" t="s" s="2">
        <v>34</v>
      </c>
      <c r="G515" t="s" s="2">
        <v>31</v>
      </c>
      <c r="H515" t="s" s="2">
        <v>17</v>
      </c>
      <c r="I515" s="3">
        <v>2</v>
      </c>
      <c r="J515" t="s" s="2">
        <v>33</v>
      </c>
      <c r="K515" t="s" s="2">
        <v>35</v>
      </c>
      <c r="L515" s="3">
        <v>61</v>
      </c>
      <c r="M515" t="s" s="2">
        <v>17</v>
      </c>
    </row>
    <row r="516" ht="13.55" customHeight="1">
      <c r="A516" s="3">
        <v>19399</v>
      </c>
      <c r="B516" t="s" s="2">
        <v>25</v>
      </c>
      <c r="C516" t="s" s="2">
        <v>13</v>
      </c>
      <c r="D516" s="4">
        <v>40000</v>
      </c>
      <c r="E516" s="3">
        <v>0</v>
      </c>
      <c r="F516" t="s" s="2">
        <v>15</v>
      </c>
      <c r="G516" t="s" s="2">
        <v>23</v>
      </c>
      <c r="H516" t="s" s="2">
        <v>20</v>
      </c>
      <c r="I516" s="3">
        <v>1</v>
      </c>
      <c r="J516" t="s" s="2">
        <v>24</v>
      </c>
      <c r="K516" t="s" s="2">
        <v>35</v>
      </c>
      <c r="L516" s="3">
        <v>45</v>
      </c>
      <c r="M516" t="s" s="2">
        <v>20</v>
      </c>
    </row>
    <row r="517" ht="13.55" customHeight="1">
      <c r="A517" s="3">
        <v>16154</v>
      </c>
      <c r="B517" t="s" s="2">
        <v>13</v>
      </c>
      <c r="C517" t="s" s="2">
        <v>14</v>
      </c>
      <c r="D517" s="4">
        <v>70000</v>
      </c>
      <c r="E517" s="3">
        <v>5</v>
      </c>
      <c r="F517" t="s" s="2">
        <v>15</v>
      </c>
      <c r="G517" t="s" s="2">
        <v>23</v>
      </c>
      <c r="H517" t="s" s="2">
        <v>17</v>
      </c>
      <c r="I517" s="3">
        <v>2</v>
      </c>
      <c r="J517" t="s" s="2">
        <v>24</v>
      </c>
      <c r="K517" t="s" s="2">
        <v>35</v>
      </c>
      <c r="L517" s="3">
        <v>47</v>
      </c>
      <c r="M517" t="s" s="2">
        <v>20</v>
      </c>
    </row>
    <row r="518" ht="13.55" customHeight="1">
      <c r="A518" s="3">
        <v>22219</v>
      </c>
      <c r="B518" t="s" s="2">
        <v>13</v>
      </c>
      <c r="C518" t="s" s="2">
        <v>14</v>
      </c>
      <c r="D518" s="4">
        <v>60000</v>
      </c>
      <c r="E518" s="3">
        <v>2</v>
      </c>
      <c r="F518" t="s" s="2">
        <v>30</v>
      </c>
      <c r="G518" t="s" s="2">
        <v>23</v>
      </c>
      <c r="H518" t="s" s="2">
        <v>17</v>
      </c>
      <c r="I518" s="3">
        <v>2</v>
      </c>
      <c r="J518" t="s" s="2">
        <v>26</v>
      </c>
      <c r="K518" t="s" s="2">
        <v>35</v>
      </c>
      <c r="L518" s="3">
        <v>49</v>
      </c>
      <c r="M518" t="s" s="2">
        <v>20</v>
      </c>
    </row>
    <row r="519" ht="13.55" customHeight="1">
      <c r="A519" s="3">
        <v>17269</v>
      </c>
      <c r="B519" t="s" s="2">
        <v>25</v>
      </c>
      <c r="C519" t="s" s="2">
        <v>13</v>
      </c>
      <c r="D519" s="4">
        <v>60000</v>
      </c>
      <c r="E519" s="3">
        <v>3</v>
      </c>
      <c r="F519" t="s" s="2">
        <v>15</v>
      </c>
      <c r="G519" t="s" s="2">
        <v>23</v>
      </c>
      <c r="H519" t="s" s="2">
        <v>20</v>
      </c>
      <c r="I519" s="3">
        <v>0</v>
      </c>
      <c r="J519" t="s" s="2">
        <v>18</v>
      </c>
      <c r="K519" t="s" s="2">
        <v>35</v>
      </c>
      <c r="L519" s="3">
        <v>47</v>
      </c>
      <c r="M519" t="s" s="2">
        <v>17</v>
      </c>
    </row>
    <row r="520" ht="13.55" customHeight="1">
      <c r="A520" s="3">
        <v>23586</v>
      </c>
      <c r="B520" t="s" s="2">
        <v>13</v>
      </c>
      <c r="C520" t="s" s="2">
        <v>14</v>
      </c>
      <c r="D520" s="4">
        <v>80000</v>
      </c>
      <c r="E520" s="3">
        <v>0</v>
      </c>
      <c r="F520" t="s" s="2">
        <v>15</v>
      </c>
      <c r="G520" t="s" s="2">
        <v>31</v>
      </c>
      <c r="H520" t="s" s="2">
        <v>17</v>
      </c>
      <c r="I520" s="3">
        <v>1</v>
      </c>
      <c r="J520" t="s" s="2">
        <v>29</v>
      </c>
      <c r="K520" t="s" s="2">
        <v>35</v>
      </c>
      <c r="L520" s="3">
        <v>34</v>
      </c>
      <c r="M520" t="s" s="2">
        <v>17</v>
      </c>
    </row>
    <row r="521" ht="13.55" customHeight="1">
      <c r="A521" s="3">
        <v>15740</v>
      </c>
      <c r="B521" t="s" s="2">
        <v>13</v>
      </c>
      <c r="C521" t="s" s="2">
        <v>13</v>
      </c>
      <c r="D521" s="4">
        <v>80000</v>
      </c>
      <c r="E521" s="3">
        <v>5</v>
      </c>
      <c r="F521" t="s" s="2">
        <v>15</v>
      </c>
      <c r="G521" t="s" s="2">
        <v>31</v>
      </c>
      <c r="H521" t="s" s="2">
        <v>17</v>
      </c>
      <c r="I521" s="3">
        <v>2</v>
      </c>
      <c r="J521" t="s" s="2">
        <v>29</v>
      </c>
      <c r="K521" t="s" s="2">
        <v>35</v>
      </c>
      <c r="L521" s="3">
        <v>64</v>
      </c>
      <c r="M521" t="s" s="2">
        <v>20</v>
      </c>
    </row>
    <row r="522" ht="13.55" customHeight="1">
      <c r="A522" s="3">
        <v>27638</v>
      </c>
      <c r="B522" t="s" s="2">
        <v>25</v>
      </c>
      <c r="C522" t="s" s="2">
        <v>13</v>
      </c>
      <c r="D522" s="4">
        <v>100000</v>
      </c>
      <c r="E522" s="3">
        <v>1</v>
      </c>
      <c r="F522" t="s" s="2">
        <v>21</v>
      </c>
      <c r="G522" t="s" s="2">
        <v>23</v>
      </c>
      <c r="H522" t="s" s="2">
        <v>20</v>
      </c>
      <c r="I522" s="3">
        <v>3</v>
      </c>
      <c r="J522" t="s" s="2">
        <v>29</v>
      </c>
      <c r="K522" t="s" s="2">
        <v>35</v>
      </c>
      <c r="L522" s="3">
        <v>44</v>
      </c>
      <c r="M522" t="s" s="2">
        <v>20</v>
      </c>
    </row>
    <row r="523" ht="13.55" customHeight="1">
      <c r="A523" s="3">
        <v>18976</v>
      </c>
      <c r="B523" t="s" s="2">
        <v>25</v>
      </c>
      <c r="C523" t="s" s="2">
        <v>13</v>
      </c>
      <c r="D523" s="4">
        <v>40000</v>
      </c>
      <c r="E523" s="3">
        <v>4</v>
      </c>
      <c r="F523" t="s" s="2">
        <v>30</v>
      </c>
      <c r="G523" t="s" s="2">
        <v>23</v>
      </c>
      <c r="H523" t="s" s="2">
        <v>17</v>
      </c>
      <c r="I523" s="3">
        <v>2</v>
      </c>
      <c r="J523" t="s" s="2">
        <v>33</v>
      </c>
      <c r="K523" t="s" s="2">
        <v>35</v>
      </c>
      <c r="L523" s="3">
        <v>62</v>
      </c>
      <c r="M523" t="s" s="2">
        <v>17</v>
      </c>
    </row>
    <row r="524" ht="13.55" customHeight="1">
      <c r="A524" s="3">
        <v>19413</v>
      </c>
      <c r="B524" t="s" s="2">
        <v>25</v>
      </c>
      <c r="C524" t="s" s="2">
        <v>13</v>
      </c>
      <c r="D524" s="4">
        <v>60000</v>
      </c>
      <c r="E524" s="3">
        <v>3</v>
      </c>
      <c r="F524" t="s" s="2">
        <v>15</v>
      </c>
      <c r="G524" t="s" s="2">
        <v>23</v>
      </c>
      <c r="H524" t="s" s="2">
        <v>20</v>
      </c>
      <c r="I524" s="3">
        <v>1</v>
      </c>
      <c r="J524" t="s" s="2">
        <v>18</v>
      </c>
      <c r="K524" t="s" s="2">
        <v>35</v>
      </c>
      <c r="L524" s="3">
        <v>47</v>
      </c>
      <c r="M524" t="s" s="2">
        <v>17</v>
      </c>
    </row>
    <row r="525" ht="13.55" customHeight="1">
      <c r="A525" s="3">
        <v>13283</v>
      </c>
      <c r="B525" t="s" s="2">
        <v>13</v>
      </c>
      <c r="C525" t="s" s="2">
        <v>13</v>
      </c>
      <c r="D525" s="4">
        <v>80000</v>
      </c>
      <c r="E525" s="3">
        <v>3</v>
      </c>
      <c r="F525" t="s" s="2">
        <v>21</v>
      </c>
      <c r="G525" t="s" s="2">
        <v>23</v>
      </c>
      <c r="H525" t="s" s="2">
        <v>20</v>
      </c>
      <c r="I525" s="3">
        <v>2</v>
      </c>
      <c r="J525" t="s" s="2">
        <v>18</v>
      </c>
      <c r="K525" t="s" s="2">
        <v>35</v>
      </c>
      <c r="L525" s="3">
        <v>49</v>
      </c>
      <c r="M525" t="s" s="2">
        <v>17</v>
      </c>
    </row>
    <row r="526" ht="13.55" customHeight="1">
      <c r="A526" s="3">
        <v>17471</v>
      </c>
      <c r="B526" t="s" s="2">
        <v>25</v>
      </c>
      <c r="C526" t="s" s="2">
        <v>14</v>
      </c>
      <c r="D526" s="4">
        <v>80000</v>
      </c>
      <c r="E526" s="3">
        <v>4</v>
      </c>
      <c r="F526" t="s" s="2">
        <v>34</v>
      </c>
      <c r="G526" t="s" s="2">
        <v>31</v>
      </c>
      <c r="H526" t="s" s="2">
        <v>17</v>
      </c>
      <c r="I526" s="3">
        <v>2</v>
      </c>
      <c r="J526" t="s" s="2">
        <v>26</v>
      </c>
      <c r="K526" t="s" s="2">
        <v>35</v>
      </c>
      <c r="L526" s="3">
        <v>67</v>
      </c>
      <c r="M526" t="s" s="2">
        <v>20</v>
      </c>
    </row>
    <row r="527" ht="13.55" customHeight="1">
      <c r="A527" s="3">
        <v>16791</v>
      </c>
      <c r="B527" t="s" s="2">
        <v>25</v>
      </c>
      <c r="C527" t="s" s="2">
        <v>13</v>
      </c>
      <c r="D527" s="4">
        <v>60000</v>
      </c>
      <c r="E527" s="3">
        <v>5</v>
      </c>
      <c r="F527" t="s" s="2">
        <v>15</v>
      </c>
      <c r="G527" t="s" s="2">
        <v>31</v>
      </c>
      <c r="H527" t="s" s="2">
        <v>17</v>
      </c>
      <c r="I527" s="3">
        <v>3</v>
      </c>
      <c r="J527" t="s" s="2">
        <v>33</v>
      </c>
      <c r="K527" t="s" s="2">
        <v>35</v>
      </c>
      <c r="L527" s="3">
        <v>59</v>
      </c>
      <c r="M527" t="s" s="2">
        <v>17</v>
      </c>
    </row>
    <row r="528" ht="13.55" customHeight="1">
      <c r="A528" s="3">
        <v>15382</v>
      </c>
      <c r="B528" t="s" s="2">
        <v>13</v>
      </c>
      <c r="C528" t="s" s="2">
        <v>14</v>
      </c>
      <c r="D528" s="4">
        <v>110000</v>
      </c>
      <c r="E528" s="3">
        <v>1</v>
      </c>
      <c r="F528" t="s" s="2">
        <v>15</v>
      </c>
      <c r="G528" t="s" s="2">
        <v>31</v>
      </c>
      <c r="H528" t="s" s="2">
        <v>17</v>
      </c>
      <c r="I528" s="3">
        <v>2</v>
      </c>
      <c r="J528" t="s" s="2">
        <v>29</v>
      </c>
      <c r="K528" t="s" s="2">
        <v>35</v>
      </c>
      <c r="L528" s="3">
        <v>44</v>
      </c>
      <c r="M528" t="s" s="2">
        <v>20</v>
      </c>
    </row>
    <row r="529" ht="13.55" customHeight="1">
      <c r="A529" s="3">
        <v>11641</v>
      </c>
      <c r="B529" t="s" s="2">
        <v>13</v>
      </c>
      <c r="C529" t="s" s="2">
        <v>13</v>
      </c>
      <c r="D529" s="4">
        <v>50000</v>
      </c>
      <c r="E529" s="3">
        <v>1</v>
      </c>
      <c r="F529" t="s" s="2">
        <v>15</v>
      </c>
      <c r="G529" t="s" s="2">
        <v>16</v>
      </c>
      <c r="H529" t="s" s="2">
        <v>17</v>
      </c>
      <c r="I529" s="3">
        <v>0</v>
      </c>
      <c r="J529" t="s" s="2">
        <v>18</v>
      </c>
      <c r="K529" t="s" s="2">
        <v>35</v>
      </c>
      <c r="L529" s="3">
        <v>36</v>
      </c>
      <c r="M529" t="s" s="2">
        <v>20</v>
      </c>
    </row>
    <row r="530" ht="13.55" customHeight="1">
      <c r="A530" s="3">
        <v>11935</v>
      </c>
      <c r="B530" t="s" s="2">
        <v>25</v>
      </c>
      <c r="C530" t="s" s="2">
        <v>14</v>
      </c>
      <c r="D530" s="4">
        <v>30000</v>
      </c>
      <c r="E530" s="3">
        <v>0</v>
      </c>
      <c r="F530" t="s" s="2">
        <v>21</v>
      </c>
      <c r="G530" t="s" s="2">
        <v>16</v>
      </c>
      <c r="H530" t="s" s="2">
        <v>17</v>
      </c>
      <c r="I530" s="3">
        <v>1</v>
      </c>
      <c r="J530" t="s" s="2">
        <v>26</v>
      </c>
      <c r="K530" t="s" s="2">
        <v>35</v>
      </c>
      <c r="L530" s="3">
        <v>28</v>
      </c>
      <c r="M530" t="s" s="2">
        <v>20</v>
      </c>
    </row>
    <row r="531" ht="13.55" customHeight="1">
      <c r="A531" s="3">
        <v>13233</v>
      </c>
      <c r="B531" t="s" s="2">
        <v>13</v>
      </c>
      <c r="C531" t="s" s="2">
        <v>13</v>
      </c>
      <c r="D531" s="4">
        <v>60000</v>
      </c>
      <c r="E531" s="3">
        <v>2</v>
      </c>
      <c r="F531" t="s" s="2">
        <v>21</v>
      </c>
      <c r="G531" t="s" s="2">
        <v>23</v>
      </c>
      <c r="H531" t="s" s="2">
        <v>17</v>
      </c>
      <c r="I531" s="3">
        <v>1</v>
      </c>
      <c r="J531" t="s" s="2">
        <v>33</v>
      </c>
      <c r="K531" t="s" s="2">
        <v>35</v>
      </c>
      <c r="L531" s="3">
        <v>57</v>
      </c>
      <c r="M531" t="s" s="2">
        <v>17</v>
      </c>
    </row>
    <row r="532" ht="13.55" customHeight="1">
      <c r="A532" s="3">
        <v>25909</v>
      </c>
      <c r="B532" t="s" s="2">
        <v>13</v>
      </c>
      <c r="C532" t="s" s="2">
        <v>13</v>
      </c>
      <c r="D532" s="4">
        <v>60000</v>
      </c>
      <c r="E532" s="3">
        <v>0</v>
      </c>
      <c r="F532" t="s" s="2">
        <v>21</v>
      </c>
      <c r="G532" t="s" s="2">
        <v>16</v>
      </c>
      <c r="H532" t="s" s="2">
        <v>17</v>
      </c>
      <c r="I532" s="3">
        <v>1</v>
      </c>
      <c r="J532" t="s" s="2">
        <v>26</v>
      </c>
      <c r="K532" t="s" s="2">
        <v>35</v>
      </c>
      <c r="L532" s="3">
        <v>27</v>
      </c>
      <c r="M532" t="s" s="2">
        <v>17</v>
      </c>
    </row>
    <row r="533" ht="13.55" customHeight="1">
      <c r="A533" s="3">
        <v>14092</v>
      </c>
      <c r="B533" t="s" s="2">
        <v>25</v>
      </c>
      <c r="C533" t="s" s="2">
        <v>13</v>
      </c>
      <c r="D533" s="4">
        <v>30000</v>
      </c>
      <c r="E533" s="3">
        <v>0</v>
      </c>
      <c r="F533" t="s" s="2">
        <v>32</v>
      </c>
      <c r="G533" t="s" s="2">
        <v>22</v>
      </c>
      <c r="H533" t="s" s="2">
        <v>17</v>
      </c>
      <c r="I533" s="3">
        <v>2</v>
      </c>
      <c r="J533" t="s" s="2">
        <v>26</v>
      </c>
      <c r="K533" t="s" s="2">
        <v>35</v>
      </c>
      <c r="L533" s="3">
        <v>28</v>
      </c>
      <c r="M533" t="s" s="2">
        <v>20</v>
      </c>
    </row>
    <row r="534" ht="13.55" customHeight="1">
      <c r="A534" s="3">
        <v>29143</v>
      </c>
      <c r="B534" t="s" s="2">
        <v>25</v>
      </c>
      <c r="C534" t="s" s="2">
        <v>14</v>
      </c>
      <c r="D534" s="4">
        <v>60000</v>
      </c>
      <c r="E534" s="3">
        <v>1</v>
      </c>
      <c r="F534" t="s" s="2">
        <v>15</v>
      </c>
      <c r="G534" t="s" s="2">
        <v>23</v>
      </c>
      <c r="H534" t="s" s="2">
        <v>20</v>
      </c>
      <c r="I534" s="3">
        <v>1</v>
      </c>
      <c r="J534" t="s" s="2">
        <v>18</v>
      </c>
      <c r="K534" t="s" s="2">
        <v>35</v>
      </c>
      <c r="L534" s="3">
        <v>44</v>
      </c>
      <c r="M534" t="s" s="2">
        <v>17</v>
      </c>
    </row>
    <row r="535" ht="13.55" customHeight="1">
      <c r="A535" s="3">
        <v>24941</v>
      </c>
      <c r="B535" t="s" s="2">
        <v>13</v>
      </c>
      <c r="C535" t="s" s="2">
        <v>13</v>
      </c>
      <c r="D535" s="4">
        <v>60000</v>
      </c>
      <c r="E535" s="3">
        <v>3</v>
      </c>
      <c r="F535" t="s" s="2">
        <v>15</v>
      </c>
      <c r="G535" t="s" s="2">
        <v>31</v>
      </c>
      <c r="H535" t="s" s="2">
        <v>17</v>
      </c>
      <c r="I535" s="3">
        <v>2</v>
      </c>
      <c r="J535" t="s" s="2">
        <v>33</v>
      </c>
      <c r="K535" t="s" s="2">
        <v>35</v>
      </c>
      <c r="L535" s="3">
        <v>66</v>
      </c>
      <c r="M535" t="s" s="2">
        <v>20</v>
      </c>
    </row>
    <row r="536" ht="13.55" customHeight="1">
      <c r="A536" s="3">
        <v>24637</v>
      </c>
      <c r="B536" t="s" s="2">
        <v>13</v>
      </c>
      <c r="C536" t="s" s="2">
        <v>13</v>
      </c>
      <c r="D536" s="4">
        <v>40000</v>
      </c>
      <c r="E536" s="3">
        <v>4</v>
      </c>
      <c r="F536" t="s" s="2">
        <v>30</v>
      </c>
      <c r="G536" t="s" s="2">
        <v>23</v>
      </c>
      <c r="H536" t="s" s="2">
        <v>17</v>
      </c>
      <c r="I536" s="3">
        <v>2</v>
      </c>
      <c r="J536" t="s" s="2">
        <v>33</v>
      </c>
      <c r="K536" t="s" s="2">
        <v>35</v>
      </c>
      <c r="L536" s="3">
        <v>64</v>
      </c>
      <c r="M536" t="s" s="2">
        <v>20</v>
      </c>
    </row>
    <row r="537" ht="13.55" customHeight="1">
      <c r="A537" s="3">
        <v>23893</v>
      </c>
      <c r="B537" t="s" s="2">
        <v>13</v>
      </c>
      <c r="C537" t="s" s="2">
        <v>13</v>
      </c>
      <c r="D537" s="4">
        <v>50000</v>
      </c>
      <c r="E537" s="3">
        <v>3</v>
      </c>
      <c r="F537" t="s" s="2">
        <v>15</v>
      </c>
      <c r="G537" t="s" s="2">
        <v>16</v>
      </c>
      <c r="H537" t="s" s="2">
        <v>17</v>
      </c>
      <c r="I537" s="3">
        <v>3</v>
      </c>
      <c r="J537" t="s" s="2">
        <v>33</v>
      </c>
      <c r="K537" t="s" s="2">
        <v>35</v>
      </c>
      <c r="L537" s="3">
        <v>41</v>
      </c>
      <c r="M537" t="s" s="2">
        <v>20</v>
      </c>
    </row>
    <row r="538" ht="13.55" customHeight="1">
      <c r="A538" s="3">
        <v>13907</v>
      </c>
      <c r="B538" t="s" s="2">
        <v>25</v>
      </c>
      <c r="C538" t="s" s="2">
        <v>14</v>
      </c>
      <c r="D538" s="4">
        <v>80000</v>
      </c>
      <c r="E538" s="3">
        <v>3</v>
      </c>
      <c r="F538" t="s" s="2">
        <v>15</v>
      </c>
      <c r="G538" t="s" s="2">
        <v>16</v>
      </c>
      <c r="H538" t="s" s="2">
        <v>17</v>
      </c>
      <c r="I538" s="3">
        <v>1</v>
      </c>
      <c r="J538" t="s" s="2">
        <v>18</v>
      </c>
      <c r="K538" t="s" s="2">
        <v>35</v>
      </c>
      <c r="L538" s="3">
        <v>41</v>
      </c>
      <c r="M538" t="s" s="2">
        <v>17</v>
      </c>
    </row>
    <row r="539" ht="13.55" customHeight="1">
      <c r="A539" s="3">
        <v>14900</v>
      </c>
      <c r="B539" t="s" s="2">
        <v>13</v>
      </c>
      <c r="C539" t="s" s="2">
        <v>14</v>
      </c>
      <c r="D539" s="4">
        <v>40000</v>
      </c>
      <c r="E539" s="3">
        <v>1</v>
      </c>
      <c r="F539" t="s" s="2">
        <v>21</v>
      </c>
      <c r="G539" t="s" s="2">
        <v>22</v>
      </c>
      <c r="H539" t="s" s="2">
        <v>17</v>
      </c>
      <c r="I539" s="3">
        <v>1</v>
      </c>
      <c r="J539" t="s" s="2">
        <v>29</v>
      </c>
      <c r="K539" t="s" s="2">
        <v>35</v>
      </c>
      <c r="L539" s="3">
        <v>49</v>
      </c>
      <c r="M539" t="s" s="2">
        <v>17</v>
      </c>
    </row>
    <row r="540" ht="13.55" customHeight="1">
      <c r="A540" s="3">
        <v>11262</v>
      </c>
      <c r="B540" t="s" s="2">
        <v>13</v>
      </c>
      <c r="C540" t="s" s="2">
        <v>14</v>
      </c>
      <c r="D540" s="4">
        <v>80000</v>
      </c>
      <c r="E540" s="3">
        <v>4</v>
      </c>
      <c r="F540" t="s" s="2">
        <v>15</v>
      </c>
      <c r="G540" t="s" s="2">
        <v>31</v>
      </c>
      <c r="H540" t="s" s="2">
        <v>17</v>
      </c>
      <c r="I540" s="3">
        <v>0</v>
      </c>
      <c r="J540" t="s" s="2">
        <v>18</v>
      </c>
      <c r="K540" t="s" s="2">
        <v>35</v>
      </c>
      <c r="L540" s="3">
        <v>42</v>
      </c>
      <c r="M540" t="s" s="2">
        <v>20</v>
      </c>
    </row>
    <row r="541" ht="13.55" customHeight="1">
      <c r="A541" s="3">
        <v>22294</v>
      </c>
      <c r="B541" t="s" s="2">
        <v>25</v>
      </c>
      <c r="C541" t="s" s="2">
        <v>14</v>
      </c>
      <c r="D541" s="4">
        <v>70000</v>
      </c>
      <c r="E541" s="3">
        <v>0</v>
      </c>
      <c r="F541" t="s" s="2">
        <v>15</v>
      </c>
      <c r="G541" t="s" s="2">
        <v>23</v>
      </c>
      <c r="H541" t="s" s="2">
        <v>20</v>
      </c>
      <c r="I541" s="3">
        <v>1</v>
      </c>
      <c r="J541" t="s" s="2">
        <v>24</v>
      </c>
      <c r="K541" t="s" s="2">
        <v>35</v>
      </c>
      <c r="L541" s="3">
        <v>37</v>
      </c>
      <c r="M541" t="s" s="2">
        <v>17</v>
      </c>
    </row>
    <row r="542" ht="13.55" customHeight="1">
      <c r="A542" s="3">
        <v>12195</v>
      </c>
      <c r="B542" t="s" s="2">
        <v>25</v>
      </c>
      <c r="C542" t="s" s="2">
        <v>14</v>
      </c>
      <c r="D542" s="4">
        <v>70000</v>
      </c>
      <c r="E542" s="3">
        <v>3</v>
      </c>
      <c r="F542" t="s" s="2">
        <v>34</v>
      </c>
      <c r="G542" t="s" s="2">
        <v>31</v>
      </c>
      <c r="H542" t="s" s="2">
        <v>17</v>
      </c>
      <c r="I542" s="3">
        <v>2</v>
      </c>
      <c r="J542" t="s" s="2">
        <v>29</v>
      </c>
      <c r="K542" t="s" s="2">
        <v>35</v>
      </c>
      <c r="L542" s="3">
        <v>52</v>
      </c>
      <c r="M542" t="s" s="2">
        <v>20</v>
      </c>
    </row>
    <row r="543" ht="13.55" customHeight="1">
      <c r="A543" s="3">
        <v>25375</v>
      </c>
      <c r="B543" t="s" s="2">
        <v>13</v>
      </c>
      <c r="C543" t="s" s="2">
        <v>13</v>
      </c>
      <c r="D543" s="4">
        <v>50000</v>
      </c>
      <c r="E543" s="3">
        <v>1</v>
      </c>
      <c r="F543" t="s" s="2">
        <v>34</v>
      </c>
      <c r="G543" t="s" s="2">
        <v>16</v>
      </c>
      <c r="H543" t="s" s="2">
        <v>17</v>
      </c>
      <c r="I543" s="3">
        <v>0</v>
      </c>
      <c r="J543" t="s" s="2">
        <v>29</v>
      </c>
      <c r="K543" t="s" s="2">
        <v>35</v>
      </c>
      <c r="L543" s="3">
        <v>34</v>
      </c>
      <c r="M543" t="s" s="2">
        <v>20</v>
      </c>
    </row>
    <row r="544" ht="13.55" customHeight="1">
      <c r="A544" s="3">
        <v>11143</v>
      </c>
      <c r="B544" t="s" s="2">
        <v>13</v>
      </c>
      <c r="C544" t="s" s="2">
        <v>13</v>
      </c>
      <c r="D544" s="4">
        <v>40000</v>
      </c>
      <c r="E544" s="3">
        <v>0</v>
      </c>
      <c r="F544" t="s" s="2">
        <v>30</v>
      </c>
      <c r="G544" t="s" s="2">
        <v>16</v>
      </c>
      <c r="H544" t="s" s="2">
        <v>17</v>
      </c>
      <c r="I544" s="3">
        <v>2</v>
      </c>
      <c r="J544" t="s" s="2">
        <v>26</v>
      </c>
      <c r="K544" t="s" s="2">
        <v>35</v>
      </c>
      <c r="L544" s="3">
        <v>29</v>
      </c>
      <c r="M544" t="s" s="2">
        <v>20</v>
      </c>
    </row>
    <row r="545" ht="13.55" customHeight="1">
      <c r="A545" s="3">
        <v>25898</v>
      </c>
      <c r="B545" t="s" s="2">
        <v>13</v>
      </c>
      <c r="C545" t="s" s="2">
        <v>14</v>
      </c>
      <c r="D545" s="4">
        <v>70000</v>
      </c>
      <c r="E545" s="3">
        <v>2</v>
      </c>
      <c r="F545" t="s" s="2">
        <v>30</v>
      </c>
      <c r="G545" t="s" s="2">
        <v>23</v>
      </c>
      <c r="H545" t="s" s="2">
        <v>17</v>
      </c>
      <c r="I545" s="3">
        <v>2</v>
      </c>
      <c r="J545" t="s" s="2">
        <v>24</v>
      </c>
      <c r="K545" t="s" s="2">
        <v>35</v>
      </c>
      <c r="L545" s="3">
        <v>53</v>
      </c>
      <c r="M545" t="s" s="2">
        <v>20</v>
      </c>
    </row>
    <row r="546" ht="13.55" customHeight="1">
      <c r="A546" s="3">
        <v>24397</v>
      </c>
      <c r="B546" t="s" s="2">
        <v>25</v>
      </c>
      <c r="C546" t="s" s="2">
        <v>13</v>
      </c>
      <c r="D546" s="4">
        <v>120000</v>
      </c>
      <c r="E546" s="3">
        <v>2</v>
      </c>
      <c r="F546" t="s" s="2">
        <v>15</v>
      </c>
      <c r="G546" t="s" s="2">
        <v>31</v>
      </c>
      <c r="H546" t="s" s="2">
        <v>20</v>
      </c>
      <c r="I546" s="3">
        <v>4</v>
      </c>
      <c r="J546" t="s" s="2">
        <v>29</v>
      </c>
      <c r="K546" t="s" s="2">
        <v>35</v>
      </c>
      <c r="L546" s="3">
        <v>40</v>
      </c>
      <c r="M546" t="s" s="2">
        <v>20</v>
      </c>
    </row>
    <row r="547" ht="13.55" customHeight="1">
      <c r="A547" s="3">
        <v>19758</v>
      </c>
      <c r="B547" t="s" s="2">
        <v>25</v>
      </c>
      <c r="C547" t="s" s="2">
        <v>13</v>
      </c>
      <c r="D547" s="4">
        <v>60000</v>
      </c>
      <c r="E547" s="3">
        <v>0</v>
      </c>
      <c r="F547" t="s" s="2">
        <v>21</v>
      </c>
      <c r="G547" t="s" s="2">
        <v>16</v>
      </c>
      <c r="H547" t="s" s="2">
        <v>20</v>
      </c>
      <c r="I547" s="3">
        <v>2</v>
      </c>
      <c r="J547" t="s" s="2">
        <v>29</v>
      </c>
      <c r="K547" t="s" s="2">
        <v>35</v>
      </c>
      <c r="L547" s="3">
        <v>29</v>
      </c>
      <c r="M547" t="s" s="2">
        <v>20</v>
      </c>
    </row>
    <row r="548" ht="13.55" customHeight="1">
      <c r="A548" s="3">
        <v>15529</v>
      </c>
      <c r="B548" t="s" s="2">
        <v>13</v>
      </c>
      <c r="C548" t="s" s="2">
        <v>13</v>
      </c>
      <c r="D548" s="4">
        <v>60000</v>
      </c>
      <c r="E548" s="3">
        <v>4</v>
      </c>
      <c r="F548" t="s" s="2">
        <v>15</v>
      </c>
      <c r="G548" t="s" s="2">
        <v>23</v>
      </c>
      <c r="H548" t="s" s="2">
        <v>17</v>
      </c>
      <c r="I548" s="3">
        <v>2</v>
      </c>
      <c r="J548" t="s" s="2">
        <v>24</v>
      </c>
      <c r="K548" t="s" s="2">
        <v>35</v>
      </c>
      <c r="L548" s="3">
        <v>43</v>
      </c>
      <c r="M548" t="s" s="2">
        <v>17</v>
      </c>
    </row>
    <row r="549" ht="13.55" customHeight="1">
      <c r="A549" s="3">
        <v>19884</v>
      </c>
      <c r="B549" t="s" s="2">
        <v>13</v>
      </c>
      <c r="C549" t="s" s="2">
        <v>13</v>
      </c>
      <c r="D549" s="4">
        <v>60000</v>
      </c>
      <c r="E549" s="3">
        <v>2</v>
      </c>
      <c r="F549" t="s" s="2">
        <v>30</v>
      </c>
      <c r="G549" t="s" s="2">
        <v>23</v>
      </c>
      <c r="H549" t="s" s="2">
        <v>17</v>
      </c>
      <c r="I549" s="3">
        <v>2</v>
      </c>
      <c r="J549" t="s" s="2">
        <v>24</v>
      </c>
      <c r="K549" t="s" s="2">
        <v>35</v>
      </c>
      <c r="L549" s="3">
        <v>55</v>
      </c>
      <c r="M549" t="s" s="2">
        <v>17</v>
      </c>
    </row>
    <row r="550" ht="13.55" customHeight="1">
      <c r="A550" s="3">
        <v>18674</v>
      </c>
      <c r="B550" t="s" s="2">
        <v>25</v>
      </c>
      <c r="C550" t="s" s="2">
        <v>14</v>
      </c>
      <c r="D550" s="4">
        <v>80000</v>
      </c>
      <c r="E550" s="3">
        <v>4</v>
      </c>
      <c r="F550" t="s" s="2">
        <v>34</v>
      </c>
      <c r="G550" t="s" s="2">
        <v>16</v>
      </c>
      <c r="H550" t="s" s="2">
        <v>20</v>
      </c>
      <c r="I550" s="3">
        <v>0</v>
      </c>
      <c r="J550" t="s" s="2">
        <v>18</v>
      </c>
      <c r="K550" t="s" s="2">
        <v>35</v>
      </c>
      <c r="L550" s="3">
        <v>48</v>
      </c>
      <c r="M550" t="s" s="2">
        <v>20</v>
      </c>
    </row>
    <row r="551" ht="13.55" customHeight="1">
      <c r="A551" s="3">
        <v>13453</v>
      </c>
      <c r="B551" t="s" s="2">
        <v>13</v>
      </c>
      <c r="C551" t="s" s="2">
        <v>14</v>
      </c>
      <c r="D551" s="4">
        <v>130000</v>
      </c>
      <c r="E551" s="3">
        <v>3</v>
      </c>
      <c r="F551" t="s" s="2">
        <v>15</v>
      </c>
      <c r="G551" t="s" s="2">
        <v>31</v>
      </c>
      <c r="H551" t="s" s="2">
        <v>17</v>
      </c>
      <c r="I551" s="3">
        <v>3</v>
      </c>
      <c r="J551" t="s" s="2">
        <v>18</v>
      </c>
      <c r="K551" t="s" s="2">
        <v>35</v>
      </c>
      <c r="L551" s="3">
        <v>45</v>
      </c>
      <c r="M551" t="s" s="2">
        <v>17</v>
      </c>
    </row>
    <row r="552" ht="13.55" customHeight="1">
      <c r="A552" s="3">
        <v>14063</v>
      </c>
      <c r="B552" t="s" s="2">
        <v>25</v>
      </c>
      <c r="C552" t="s" s="2">
        <v>14</v>
      </c>
      <c r="D552" s="4">
        <v>70000</v>
      </c>
      <c r="E552" s="3">
        <v>0</v>
      </c>
      <c r="F552" t="s" s="2">
        <v>15</v>
      </c>
      <c r="G552" t="s" s="2">
        <v>23</v>
      </c>
      <c r="H552" t="s" s="2">
        <v>20</v>
      </c>
      <c r="I552" s="3">
        <v>1</v>
      </c>
      <c r="J552" t="s" s="2">
        <v>18</v>
      </c>
      <c r="K552" t="s" s="2">
        <v>27</v>
      </c>
      <c r="L552" s="3">
        <v>42</v>
      </c>
      <c r="M552" t="s" s="2">
        <v>17</v>
      </c>
    </row>
    <row r="553" ht="13.55" customHeight="1">
      <c r="A553" s="3">
        <v>27393</v>
      </c>
      <c r="B553" t="s" s="2">
        <v>13</v>
      </c>
      <c r="C553" t="s" s="2">
        <v>14</v>
      </c>
      <c r="D553" s="4">
        <v>50000</v>
      </c>
      <c r="E553" s="3">
        <v>4</v>
      </c>
      <c r="F553" t="s" s="2">
        <v>15</v>
      </c>
      <c r="G553" t="s" s="2">
        <v>31</v>
      </c>
      <c r="H553" t="s" s="2">
        <v>17</v>
      </c>
      <c r="I553" s="3">
        <v>2</v>
      </c>
      <c r="J553" t="s" s="2">
        <v>33</v>
      </c>
      <c r="K553" t="s" s="2">
        <v>35</v>
      </c>
      <c r="L553" s="3">
        <v>63</v>
      </c>
      <c r="M553" t="s" s="2">
        <v>20</v>
      </c>
    </row>
    <row r="554" ht="13.55" customHeight="1">
      <c r="A554" s="3">
        <v>14417</v>
      </c>
      <c r="B554" t="s" s="2">
        <v>25</v>
      </c>
      <c r="C554" t="s" s="2">
        <v>13</v>
      </c>
      <c r="D554" s="4">
        <v>60000</v>
      </c>
      <c r="E554" s="3">
        <v>3</v>
      </c>
      <c r="F554" t="s" s="2">
        <v>30</v>
      </c>
      <c r="G554" t="s" s="2">
        <v>23</v>
      </c>
      <c r="H554" t="s" s="2">
        <v>17</v>
      </c>
      <c r="I554" s="3">
        <v>2</v>
      </c>
      <c r="J554" t="s" s="2">
        <v>33</v>
      </c>
      <c r="K554" t="s" s="2">
        <v>35</v>
      </c>
      <c r="L554" s="3">
        <v>54</v>
      </c>
      <c r="M554" t="s" s="2">
        <v>17</v>
      </c>
    </row>
    <row r="555" ht="13.55" customHeight="1">
      <c r="A555" s="3">
        <v>17533</v>
      </c>
      <c r="B555" t="s" s="2">
        <v>13</v>
      </c>
      <c r="C555" t="s" s="2">
        <v>13</v>
      </c>
      <c r="D555" s="4">
        <v>40000</v>
      </c>
      <c r="E555" s="3">
        <v>3</v>
      </c>
      <c r="F555" t="s" s="2">
        <v>21</v>
      </c>
      <c r="G555" t="s" s="2">
        <v>23</v>
      </c>
      <c r="H555" t="s" s="2">
        <v>20</v>
      </c>
      <c r="I555" s="3">
        <v>2</v>
      </c>
      <c r="J555" t="s" s="2">
        <v>26</v>
      </c>
      <c r="K555" t="s" s="2">
        <v>35</v>
      </c>
      <c r="L555" s="3">
        <v>73</v>
      </c>
      <c r="M555" t="s" s="2">
        <v>17</v>
      </c>
    </row>
    <row r="556" ht="13.55" customHeight="1">
      <c r="A556" s="3">
        <v>18580</v>
      </c>
      <c r="B556" t="s" s="2">
        <v>13</v>
      </c>
      <c r="C556" t="s" s="2">
        <v>14</v>
      </c>
      <c r="D556" s="4">
        <v>60000</v>
      </c>
      <c r="E556" s="3">
        <v>2</v>
      </c>
      <c r="F556" t="s" s="2">
        <v>34</v>
      </c>
      <c r="G556" t="s" s="2">
        <v>23</v>
      </c>
      <c r="H556" t="s" s="2">
        <v>17</v>
      </c>
      <c r="I556" s="3">
        <v>0</v>
      </c>
      <c r="J556" t="s" s="2">
        <v>24</v>
      </c>
      <c r="K556" t="s" s="2">
        <v>35</v>
      </c>
      <c r="L556" s="3">
        <v>40</v>
      </c>
      <c r="M556" t="s" s="2">
        <v>17</v>
      </c>
    </row>
    <row r="557" ht="13.55" customHeight="1">
      <c r="A557" s="3">
        <v>17025</v>
      </c>
      <c r="B557" t="s" s="2">
        <v>25</v>
      </c>
      <c r="C557" t="s" s="2">
        <v>13</v>
      </c>
      <c r="D557" s="4">
        <v>50000</v>
      </c>
      <c r="E557" s="3">
        <v>0</v>
      </c>
      <c r="F557" t="s" s="2">
        <v>21</v>
      </c>
      <c r="G557" t="s" s="2">
        <v>16</v>
      </c>
      <c r="H557" t="s" s="2">
        <v>20</v>
      </c>
      <c r="I557" s="3">
        <v>1</v>
      </c>
      <c r="J557" t="s" s="2">
        <v>24</v>
      </c>
      <c r="K557" t="s" s="2">
        <v>35</v>
      </c>
      <c r="L557" s="3">
        <v>39</v>
      </c>
      <c r="M557" t="s" s="2">
        <v>17</v>
      </c>
    </row>
    <row r="558" ht="13.55" customHeight="1">
      <c r="A558" s="3">
        <v>25293</v>
      </c>
      <c r="B558" t="s" s="2">
        <v>13</v>
      </c>
      <c r="C558" t="s" s="2">
        <v>13</v>
      </c>
      <c r="D558" s="4">
        <v>80000</v>
      </c>
      <c r="E558" s="3">
        <v>4</v>
      </c>
      <c r="F558" t="s" s="2">
        <v>15</v>
      </c>
      <c r="G558" t="s" s="2">
        <v>31</v>
      </c>
      <c r="H558" t="s" s="2">
        <v>17</v>
      </c>
      <c r="I558" s="3">
        <v>0</v>
      </c>
      <c r="J558" t="s" s="2">
        <v>29</v>
      </c>
      <c r="K558" t="s" s="2">
        <v>35</v>
      </c>
      <c r="L558" s="3">
        <v>42</v>
      </c>
      <c r="M558" t="s" s="2">
        <v>20</v>
      </c>
    </row>
    <row r="559" ht="13.55" customHeight="1">
      <c r="A559" s="3">
        <v>24725</v>
      </c>
      <c r="B559" t="s" s="2">
        <v>13</v>
      </c>
      <c r="C559" t="s" s="2">
        <v>14</v>
      </c>
      <c r="D559" s="4">
        <v>40000</v>
      </c>
      <c r="E559" s="3">
        <v>3</v>
      </c>
      <c r="F559" t="s" s="2">
        <v>21</v>
      </c>
      <c r="G559" t="s" s="2">
        <v>22</v>
      </c>
      <c r="H559" t="s" s="2">
        <v>17</v>
      </c>
      <c r="I559" s="3">
        <v>0</v>
      </c>
      <c r="J559" t="s" s="2">
        <v>29</v>
      </c>
      <c r="K559" t="s" s="2">
        <v>35</v>
      </c>
      <c r="L559" s="3">
        <v>31</v>
      </c>
      <c r="M559" t="s" s="2">
        <v>20</v>
      </c>
    </row>
    <row r="560" ht="13.55" customHeight="1">
      <c r="A560" s="3">
        <v>23200</v>
      </c>
      <c r="B560" t="s" s="2">
        <v>13</v>
      </c>
      <c r="C560" t="s" s="2">
        <v>14</v>
      </c>
      <c r="D560" s="4">
        <v>50000</v>
      </c>
      <c r="E560" s="3">
        <v>3</v>
      </c>
      <c r="F560" t="s" s="2">
        <v>15</v>
      </c>
      <c r="G560" t="s" s="2">
        <v>16</v>
      </c>
      <c r="H560" t="s" s="2">
        <v>17</v>
      </c>
      <c r="I560" s="3">
        <v>2</v>
      </c>
      <c r="J560" t="s" s="2">
        <v>18</v>
      </c>
      <c r="K560" t="s" s="2">
        <v>35</v>
      </c>
      <c r="L560" s="3">
        <v>41</v>
      </c>
      <c r="M560" t="s" s="2">
        <v>20</v>
      </c>
    </row>
    <row r="561" ht="13.55" customHeight="1">
      <c r="A561" s="3">
        <v>15895</v>
      </c>
      <c r="B561" t="s" s="2">
        <v>25</v>
      </c>
      <c r="C561" t="s" s="2">
        <v>14</v>
      </c>
      <c r="D561" s="4">
        <v>60000</v>
      </c>
      <c r="E561" s="3">
        <v>2</v>
      </c>
      <c r="F561" t="s" s="2">
        <v>15</v>
      </c>
      <c r="G561" t="s" s="2">
        <v>31</v>
      </c>
      <c r="H561" t="s" s="2">
        <v>17</v>
      </c>
      <c r="I561" s="3">
        <v>0</v>
      </c>
      <c r="J561" t="s" s="2">
        <v>33</v>
      </c>
      <c r="K561" t="s" s="2">
        <v>35</v>
      </c>
      <c r="L561" s="3">
        <v>58</v>
      </c>
      <c r="M561" t="s" s="2">
        <v>20</v>
      </c>
    </row>
    <row r="562" ht="13.55" customHeight="1">
      <c r="A562" s="3">
        <v>18577</v>
      </c>
      <c r="B562" t="s" s="2">
        <v>13</v>
      </c>
      <c r="C562" t="s" s="2">
        <v>14</v>
      </c>
      <c r="D562" s="4">
        <v>60000</v>
      </c>
      <c r="E562" s="3">
        <v>0</v>
      </c>
      <c r="F562" t="s" s="2">
        <v>34</v>
      </c>
      <c r="G562" t="s" s="2">
        <v>23</v>
      </c>
      <c r="H562" t="s" s="2">
        <v>17</v>
      </c>
      <c r="I562" s="3">
        <v>0</v>
      </c>
      <c r="J562" t="s" s="2">
        <v>18</v>
      </c>
      <c r="K562" t="s" s="2">
        <v>35</v>
      </c>
      <c r="L562" s="3">
        <v>40</v>
      </c>
      <c r="M562" t="s" s="2">
        <v>20</v>
      </c>
    </row>
    <row r="563" ht="13.55" customHeight="1">
      <c r="A563" s="3">
        <v>27218</v>
      </c>
      <c r="B563" t="s" s="2">
        <v>13</v>
      </c>
      <c r="C563" t="s" s="2">
        <v>14</v>
      </c>
      <c r="D563" s="4">
        <v>20000</v>
      </c>
      <c r="E563" s="3">
        <v>2</v>
      </c>
      <c r="F563" t="s" s="2">
        <v>32</v>
      </c>
      <c r="G563" t="s" s="2">
        <v>22</v>
      </c>
      <c r="H563" t="s" s="2">
        <v>20</v>
      </c>
      <c r="I563" s="3">
        <v>0</v>
      </c>
      <c r="J563" t="s" s="2">
        <v>18</v>
      </c>
      <c r="K563" t="s" s="2">
        <v>35</v>
      </c>
      <c r="L563" s="3">
        <v>48</v>
      </c>
      <c r="M563" t="s" s="2">
        <v>20</v>
      </c>
    </row>
    <row r="564" ht="13.55" customHeight="1">
      <c r="A564" s="3">
        <v>18560</v>
      </c>
      <c r="B564" t="s" s="2">
        <v>13</v>
      </c>
      <c r="C564" t="s" s="2">
        <v>14</v>
      </c>
      <c r="D564" s="4">
        <v>70000</v>
      </c>
      <c r="E564" s="3">
        <v>2</v>
      </c>
      <c r="F564" t="s" s="2">
        <v>34</v>
      </c>
      <c r="G564" t="s" s="2">
        <v>23</v>
      </c>
      <c r="H564" t="s" s="2">
        <v>17</v>
      </c>
      <c r="I564" s="3">
        <v>0</v>
      </c>
      <c r="J564" t="s" s="2">
        <v>24</v>
      </c>
      <c r="K564" t="s" s="2">
        <v>35</v>
      </c>
      <c r="L564" s="3">
        <v>34</v>
      </c>
      <c r="M564" t="s" s="2">
        <v>17</v>
      </c>
    </row>
    <row r="565" ht="13.55" customHeight="1">
      <c r="A565" s="3">
        <v>25006</v>
      </c>
      <c r="B565" t="s" s="2">
        <v>25</v>
      </c>
      <c r="C565" t="s" s="2">
        <v>14</v>
      </c>
      <c r="D565" s="4">
        <v>30000</v>
      </c>
      <c r="E565" s="3">
        <v>0</v>
      </c>
      <c r="F565" t="s" s="2">
        <v>21</v>
      </c>
      <c r="G565" t="s" s="2">
        <v>16</v>
      </c>
      <c r="H565" t="s" s="2">
        <v>17</v>
      </c>
      <c r="I565" s="3">
        <v>1</v>
      </c>
      <c r="J565" t="s" s="2">
        <v>26</v>
      </c>
      <c r="K565" t="s" s="2">
        <v>35</v>
      </c>
      <c r="L565" s="3">
        <v>28</v>
      </c>
      <c r="M565" t="s" s="2">
        <v>20</v>
      </c>
    </row>
    <row r="566" ht="13.55" customHeight="1">
      <c r="A566" s="3">
        <v>17369</v>
      </c>
      <c r="B566" t="s" s="2">
        <v>25</v>
      </c>
      <c r="C566" t="s" s="2">
        <v>13</v>
      </c>
      <c r="D566" s="4">
        <v>30000</v>
      </c>
      <c r="E566" s="3">
        <v>0</v>
      </c>
      <c r="F566" t="s" s="2">
        <v>21</v>
      </c>
      <c r="G566" t="s" s="2">
        <v>16</v>
      </c>
      <c r="H566" t="s" s="2">
        <v>17</v>
      </c>
      <c r="I566" s="3">
        <v>1</v>
      </c>
      <c r="J566" t="s" s="2">
        <v>26</v>
      </c>
      <c r="K566" t="s" s="2">
        <v>35</v>
      </c>
      <c r="L566" s="3">
        <v>27</v>
      </c>
      <c r="M566" t="s" s="2">
        <v>20</v>
      </c>
    </row>
    <row r="567" ht="13.55" customHeight="1">
      <c r="A567" s="3">
        <v>14495</v>
      </c>
      <c r="B567" t="s" s="2">
        <v>13</v>
      </c>
      <c r="C567" t="s" s="2">
        <v>13</v>
      </c>
      <c r="D567" s="4">
        <v>40000</v>
      </c>
      <c r="E567" s="3">
        <v>3</v>
      </c>
      <c r="F567" t="s" s="2">
        <v>21</v>
      </c>
      <c r="G567" t="s" s="2">
        <v>23</v>
      </c>
      <c r="H567" t="s" s="2">
        <v>20</v>
      </c>
      <c r="I567" s="3">
        <v>2</v>
      </c>
      <c r="J567" t="s" s="2">
        <v>26</v>
      </c>
      <c r="K567" t="s" s="2">
        <v>35</v>
      </c>
      <c r="L567" s="3">
        <v>54</v>
      </c>
      <c r="M567" t="s" s="2">
        <v>17</v>
      </c>
    </row>
    <row r="568" ht="13.55" customHeight="1">
      <c r="A568" s="3">
        <v>18847</v>
      </c>
      <c r="B568" t="s" s="2">
        <v>13</v>
      </c>
      <c r="C568" t="s" s="2">
        <v>14</v>
      </c>
      <c r="D568" s="4">
        <v>60000</v>
      </c>
      <c r="E568" s="3">
        <v>2</v>
      </c>
      <c r="F568" t="s" s="2">
        <v>34</v>
      </c>
      <c r="G568" t="s" s="2">
        <v>31</v>
      </c>
      <c r="H568" t="s" s="2">
        <v>17</v>
      </c>
      <c r="I568" s="3">
        <v>2</v>
      </c>
      <c r="J568" t="s" s="2">
        <v>26</v>
      </c>
      <c r="K568" t="s" s="2">
        <v>35</v>
      </c>
      <c r="L568" s="3">
        <v>70</v>
      </c>
      <c r="M568" t="s" s="2">
        <v>20</v>
      </c>
    </row>
    <row r="569" ht="13.55" customHeight="1">
      <c r="A569" s="3">
        <v>14754</v>
      </c>
      <c r="B569" t="s" s="2">
        <v>13</v>
      </c>
      <c r="C569" t="s" s="2">
        <v>13</v>
      </c>
      <c r="D569" s="4">
        <v>40000</v>
      </c>
      <c r="E569" s="3">
        <v>1</v>
      </c>
      <c r="F569" t="s" s="2">
        <v>21</v>
      </c>
      <c r="G569" t="s" s="2">
        <v>22</v>
      </c>
      <c r="H569" t="s" s="2">
        <v>17</v>
      </c>
      <c r="I569" s="3">
        <v>1</v>
      </c>
      <c r="J569" t="s" s="2">
        <v>29</v>
      </c>
      <c r="K569" t="s" s="2">
        <v>35</v>
      </c>
      <c r="L569" s="3">
        <v>48</v>
      </c>
      <c r="M569" t="s" s="2">
        <v>17</v>
      </c>
    </row>
    <row r="570" ht="13.55" customHeight="1">
      <c r="A570" s="3">
        <v>23378</v>
      </c>
      <c r="B570" t="s" s="2">
        <v>13</v>
      </c>
      <c r="C570" t="s" s="2">
        <v>13</v>
      </c>
      <c r="D570" s="4">
        <v>70000</v>
      </c>
      <c r="E570" s="3">
        <v>1</v>
      </c>
      <c r="F570" t="s" s="2">
        <v>21</v>
      </c>
      <c r="G570" t="s" s="2">
        <v>16</v>
      </c>
      <c r="H570" t="s" s="2">
        <v>17</v>
      </c>
      <c r="I570" s="3">
        <v>1</v>
      </c>
      <c r="J570" t="s" s="2">
        <v>24</v>
      </c>
      <c r="K570" t="s" s="2">
        <v>35</v>
      </c>
      <c r="L570" s="3">
        <v>44</v>
      </c>
      <c r="M570" t="s" s="2">
        <v>17</v>
      </c>
    </row>
    <row r="571" ht="13.55" customHeight="1">
      <c r="A571" s="3">
        <v>26452</v>
      </c>
      <c r="B571" t="s" s="2">
        <v>25</v>
      </c>
      <c r="C571" t="s" s="2">
        <v>13</v>
      </c>
      <c r="D571" s="4">
        <v>50000</v>
      </c>
      <c r="E571" s="3">
        <v>3</v>
      </c>
      <c r="F571" t="s" s="2">
        <v>34</v>
      </c>
      <c r="G571" t="s" s="2">
        <v>31</v>
      </c>
      <c r="H571" t="s" s="2">
        <v>17</v>
      </c>
      <c r="I571" s="3">
        <v>2</v>
      </c>
      <c r="J571" t="s" s="2">
        <v>33</v>
      </c>
      <c r="K571" t="s" s="2">
        <v>35</v>
      </c>
      <c r="L571" s="3">
        <v>69</v>
      </c>
      <c r="M571" t="s" s="2">
        <v>20</v>
      </c>
    </row>
    <row r="572" ht="13.55" customHeight="1">
      <c r="A572" s="3">
        <v>20370</v>
      </c>
      <c r="B572" t="s" s="2">
        <v>13</v>
      </c>
      <c r="C572" t="s" s="2">
        <v>13</v>
      </c>
      <c r="D572" s="4">
        <v>70000</v>
      </c>
      <c r="E572" s="3">
        <v>3</v>
      </c>
      <c r="F572" t="s" s="2">
        <v>32</v>
      </c>
      <c r="G572" t="s" s="2">
        <v>16</v>
      </c>
      <c r="H572" t="s" s="2">
        <v>17</v>
      </c>
      <c r="I572" s="3">
        <v>2</v>
      </c>
      <c r="J572" t="s" s="2">
        <v>26</v>
      </c>
      <c r="K572" t="s" s="2">
        <v>35</v>
      </c>
      <c r="L572" s="3">
        <v>52</v>
      </c>
      <c r="M572" t="s" s="2">
        <v>20</v>
      </c>
    </row>
    <row r="573" ht="13.55" customHeight="1">
      <c r="A573" s="3">
        <v>20528</v>
      </c>
      <c r="B573" t="s" s="2">
        <v>13</v>
      </c>
      <c r="C573" t="s" s="2">
        <v>13</v>
      </c>
      <c r="D573" s="4">
        <v>40000</v>
      </c>
      <c r="E573" s="3">
        <v>2</v>
      </c>
      <c r="F573" t="s" s="2">
        <v>32</v>
      </c>
      <c r="G573" t="s" s="2">
        <v>16</v>
      </c>
      <c r="H573" t="s" s="2">
        <v>17</v>
      </c>
      <c r="I573" s="3">
        <v>2</v>
      </c>
      <c r="J573" t="s" s="2">
        <v>24</v>
      </c>
      <c r="K573" t="s" s="2">
        <v>35</v>
      </c>
      <c r="L573" s="3">
        <v>55</v>
      </c>
      <c r="M573" t="s" s="2">
        <v>20</v>
      </c>
    </row>
    <row r="574" ht="13.55" customHeight="1">
      <c r="A574" s="3">
        <v>23549</v>
      </c>
      <c r="B574" t="s" s="2">
        <v>25</v>
      </c>
      <c r="C574" t="s" s="2">
        <v>13</v>
      </c>
      <c r="D574" s="4">
        <v>30000</v>
      </c>
      <c r="E574" s="3">
        <v>0</v>
      </c>
      <c r="F574" t="s" s="2">
        <v>30</v>
      </c>
      <c r="G574" t="s" s="2">
        <v>16</v>
      </c>
      <c r="H574" t="s" s="2">
        <v>17</v>
      </c>
      <c r="I574" s="3">
        <v>2</v>
      </c>
      <c r="J574" t="s" s="2">
        <v>26</v>
      </c>
      <c r="K574" t="s" s="2">
        <v>35</v>
      </c>
      <c r="L574" s="3">
        <v>30</v>
      </c>
      <c r="M574" t="s" s="2">
        <v>20</v>
      </c>
    </row>
    <row r="575" ht="13.55" customHeight="1">
      <c r="A575" s="3">
        <v>21751</v>
      </c>
      <c r="B575" t="s" s="2">
        <v>13</v>
      </c>
      <c r="C575" t="s" s="2">
        <v>13</v>
      </c>
      <c r="D575" s="4">
        <v>60000</v>
      </c>
      <c r="E575" s="3">
        <v>3</v>
      </c>
      <c r="F575" t="s" s="2">
        <v>34</v>
      </c>
      <c r="G575" t="s" s="2">
        <v>31</v>
      </c>
      <c r="H575" t="s" s="2">
        <v>17</v>
      </c>
      <c r="I575" s="3">
        <v>2</v>
      </c>
      <c r="J575" t="s" s="2">
        <v>29</v>
      </c>
      <c r="K575" t="s" s="2">
        <v>35</v>
      </c>
      <c r="L575" s="3">
        <v>63</v>
      </c>
      <c r="M575" t="s" s="2">
        <v>20</v>
      </c>
    </row>
    <row r="576" ht="13.55" customHeight="1">
      <c r="A576" s="3">
        <v>21266</v>
      </c>
      <c r="B576" t="s" s="2">
        <v>25</v>
      </c>
      <c r="C576" t="s" s="2">
        <v>14</v>
      </c>
      <c r="D576" s="4">
        <v>80000</v>
      </c>
      <c r="E576" s="3">
        <v>0</v>
      </c>
      <c r="F576" t="s" s="2">
        <v>15</v>
      </c>
      <c r="G576" t="s" s="2">
        <v>31</v>
      </c>
      <c r="H576" t="s" s="2">
        <v>17</v>
      </c>
      <c r="I576" s="3">
        <v>1</v>
      </c>
      <c r="J576" t="s" s="2">
        <v>29</v>
      </c>
      <c r="K576" t="s" s="2">
        <v>35</v>
      </c>
      <c r="L576" s="3">
        <v>34</v>
      </c>
      <c r="M576" t="s" s="2">
        <v>17</v>
      </c>
    </row>
    <row r="577" ht="13.55" customHeight="1">
      <c r="A577" s="3">
        <v>13388</v>
      </c>
      <c r="B577" t="s" s="2">
        <v>25</v>
      </c>
      <c r="C577" t="s" s="2">
        <v>13</v>
      </c>
      <c r="D577" s="4">
        <v>60000</v>
      </c>
      <c r="E577" s="3">
        <v>2</v>
      </c>
      <c r="F577" t="s" s="2">
        <v>21</v>
      </c>
      <c r="G577" t="s" s="2">
        <v>23</v>
      </c>
      <c r="H577" t="s" s="2">
        <v>17</v>
      </c>
      <c r="I577" s="3">
        <v>1</v>
      </c>
      <c r="J577" t="s" s="2">
        <v>33</v>
      </c>
      <c r="K577" t="s" s="2">
        <v>35</v>
      </c>
      <c r="L577" s="3">
        <v>56</v>
      </c>
      <c r="M577" t="s" s="2">
        <v>20</v>
      </c>
    </row>
    <row r="578" ht="13.55" customHeight="1">
      <c r="A578" s="3">
        <v>18752</v>
      </c>
      <c r="B578" t="s" s="2">
        <v>25</v>
      </c>
      <c r="C578" t="s" s="2">
        <v>14</v>
      </c>
      <c r="D578" s="4">
        <v>40000</v>
      </c>
      <c r="E578" s="3">
        <v>0</v>
      </c>
      <c r="F578" t="s" s="2">
        <v>30</v>
      </c>
      <c r="G578" t="s" s="2">
        <v>16</v>
      </c>
      <c r="H578" t="s" s="2">
        <v>17</v>
      </c>
      <c r="I578" s="3">
        <v>1</v>
      </c>
      <c r="J578" t="s" s="2">
        <v>26</v>
      </c>
      <c r="K578" t="s" s="2">
        <v>35</v>
      </c>
      <c r="L578" s="3">
        <v>31</v>
      </c>
      <c r="M578" t="s" s="2">
        <v>20</v>
      </c>
    </row>
    <row r="579" ht="13.55" customHeight="1">
      <c r="A579" s="3">
        <v>16917</v>
      </c>
      <c r="B579" t="s" s="2">
        <v>13</v>
      </c>
      <c r="C579" t="s" s="2">
        <v>13</v>
      </c>
      <c r="D579" s="4">
        <v>120000</v>
      </c>
      <c r="E579" s="3">
        <v>1</v>
      </c>
      <c r="F579" t="s" s="2">
        <v>15</v>
      </c>
      <c r="G579" t="s" s="2">
        <v>31</v>
      </c>
      <c r="H579" t="s" s="2">
        <v>17</v>
      </c>
      <c r="I579" s="3">
        <v>4</v>
      </c>
      <c r="J579" t="s" s="2">
        <v>18</v>
      </c>
      <c r="K579" t="s" s="2">
        <v>35</v>
      </c>
      <c r="L579" s="3">
        <v>38</v>
      </c>
      <c r="M579" t="s" s="2">
        <v>20</v>
      </c>
    </row>
    <row r="580" ht="13.55" customHeight="1">
      <c r="A580" s="3">
        <v>15313</v>
      </c>
      <c r="B580" t="s" s="2">
        <v>13</v>
      </c>
      <c r="C580" t="s" s="2">
        <v>13</v>
      </c>
      <c r="D580" s="4">
        <v>60000</v>
      </c>
      <c r="E580" s="3">
        <v>4</v>
      </c>
      <c r="F580" t="s" s="2">
        <v>15</v>
      </c>
      <c r="G580" t="s" s="2">
        <v>31</v>
      </c>
      <c r="H580" t="s" s="2">
        <v>17</v>
      </c>
      <c r="I580" s="3">
        <v>2</v>
      </c>
      <c r="J580" t="s" s="2">
        <v>24</v>
      </c>
      <c r="K580" t="s" s="2">
        <v>35</v>
      </c>
      <c r="L580" s="3">
        <v>59</v>
      </c>
      <c r="M580" t="s" s="2">
        <v>20</v>
      </c>
    </row>
    <row r="581" ht="13.55" customHeight="1">
      <c r="A581" s="3">
        <v>25329</v>
      </c>
      <c r="B581" t="s" s="2">
        <v>25</v>
      </c>
      <c r="C581" t="s" s="2">
        <v>14</v>
      </c>
      <c r="D581" s="4">
        <v>40000</v>
      </c>
      <c r="E581" s="3">
        <v>3</v>
      </c>
      <c r="F581" t="s" s="2">
        <v>21</v>
      </c>
      <c r="G581" t="s" s="2">
        <v>22</v>
      </c>
      <c r="H581" t="s" s="2">
        <v>20</v>
      </c>
      <c r="I581" s="3">
        <v>2</v>
      </c>
      <c r="J581" t="s" s="2">
        <v>18</v>
      </c>
      <c r="K581" t="s" s="2">
        <v>35</v>
      </c>
      <c r="L581" s="3">
        <v>32</v>
      </c>
      <c r="M581" t="s" s="2">
        <v>20</v>
      </c>
    </row>
    <row r="582" ht="13.55" customHeight="1">
      <c r="A582" s="3">
        <v>20380</v>
      </c>
      <c r="B582" t="s" s="2">
        <v>13</v>
      </c>
      <c r="C582" t="s" s="2">
        <v>14</v>
      </c>
      <c r="D582" s="4">
        <v>60000</v>
      </c>
      <c r="E582" s="3">
        <v>3</v>
      </c>
      <c r="F582" t="s" s="2">
        <v>34</v>
      </c>
      <c r="G582" t="s" s="2">
        <v>31</v>
      </c>
      <c r="H582" t="s" s="2">
        <v>17</v>
      </c>
      <c r="I582" s="3">
        <v>2</v>
      </c>
      <c r="J582" t="s" s="2">
        <v>33</v>
      </c>
      <c r="K582" t="s" s="2">
        <v>35</v>
      </c>
      <c r="L582" s="3">
        <v>69</v>
      </c>
      <c r="M582" t="s" s="2">
        <v>20</v>
      </c>
    </row>
    <row r="583" ht="13.55" customHeight="1">
      <c r="A583" s="3">
        <v>23089</v>
      </c>
      <c r="B583" t="s" s="2">
        <v>13</v>
      </c>
      <c r="C583" t="s" s="2">
        <v>13</v>
      </c>
      <c r="D583" s="4">
        <v>40000</v>
      </c>
      <c r="E583" s="3">
        <v>0</v>
      </c>
      <c r="F583" t="s" s="2">
        <v>21</v>
      </c>
      <c r="G583" t="s" s="2">
        <v>16</v>
      </c>
      <c r="H583" t="s" s="2">
        <v>17</v>
      </c>
      <c r="I583" s="3">
        <v>1</v>
      </c>
      <c r="J583" t="s" s="2">
        <v>26</v>
      </c>
      <c r="K583" t="s" s="2">
        <v>35</v>
      </c>
      <c r="L583" s="3">
        <v>28</v>
      </c>
      <c r="M583" t="s" s="2">
        <v>20</v>
      </c>
    </row>
    <row r="584" ht="13.55" customHeight="1">
      <c r="A584" s="3">
        <v>13749</v>
      </c>
      <c r="B584" t="s" s="2">
        <v>13</v>
      </c>
      <c r="C584" t="s" s="2">
        <v>13</v>
      </c>
      <c r="D584" s="4">
        <v>80000</v>
      </c>
      <c r="E584" s="3">
        <v>4</v>
      </c>
      <c r="F584" t="s" s="2">
        <v>34</v>
      </c>
      <c r="G584" t="s" s="2">
        <v>16</v>
      </c>
      <c r="H584" t="s" s="2">
        <v>17</v>
      </c>
      <c r="I584" s="3">
        <v>0</v>
      </c>
      <c r="J584" t="s" s="2">
        <v>29</v>
      </c>
      <c r="K584" t="s" s="2">
        <v>35</v>
      </c>
      <c r="L584" s="3">
        <v>47</v>
      </c>
      <c r="M584" t="s" s="2">
        <v>20</v>
      </c>
    </row>
    <row r="585" ht="13.55" customHeight="1">
      <c r="A585" s="3">
        <v>24943</v>
      </c>
      <c r="B585" t="s" s="2">
        <v>13</v>
      </c>
      <c r="C585" t="s" s="2">
        <v>13</v>
      </c>
      <c r="D585" s="4">
        <v>60000</v>
      </c>
      <c r="E585" s="3">
        <v>3</v>
      </c>
      <c r="F585" t="s" s="2">
        <v>15</v>
      </c>
      <c r="G585" t="s" s="2">
        <v>31</v>
      </c>
      <c r="H585" t="s" s="2">
        <v>17</v>
      </c>
      <c r="I585" s="3">
        <v>2</v>
      </c>
      <c r="J585" t="s" s="2">
        <v>33</v>
      </c>
      <c r="K585" t="s" s="2">
        <v>35</v>
      </c>
      <c r="L585" s="3">
        <v>66</v>
      </c>
      <c r="M585" t="s" s="2">
        <v>20</v>
      </c>
    </row>
    <row r="586" ht="13.55" customHeight="1">
      <c r="A586" s="3">
        <v>28667</v>
      </c>
      <c r="B586" t="s" s="2">
        <v>25</v>
      </c>
      <c r="C586" t="s" s="2">
        <v>13</v>
      </c>
      <c r="D586" s="4">
        <v>70000</v>
      </c>
      <c r="E586" s="3">
        <v>2</v>
      </c>
      <c r="F586" t="s" s="2">
        <v>15</v>
      </c>
      <c r="G586" t="s" s="2">
        <v>16</v>
      </c>
      <c r="H586" t="s" s="2">
        <v>20</v>
      </c>
      <c r="I586" s="3">
        <v>1</v>
      </c>
      <c r="J586" t="s" s="2">
        <v>18</v>
      </c>
      <c r="K586" t="s" s="2">
        <v>35</v>
      </c>
      <c r="L586" s="3">
        <v>37</v>
      </c>
      <c r="M586" t="s" s="2">
        <v>17</v>
      </c>
    </row>
    <row r="587" ht="13.55" customHeight="1">
      <c r="A587" s="3">
        <v>15194</v>
      </c>
      <c r="B587" t="s" s="2">
        <v>25</v>
      </c>
      <c r="C587" t="s" s="2">
        <v>13</v>
      </c>
      <c r="D587" s="4">
        <v>120000</v>
      </c>
      <c r="E587" s="3">
        <v>2</v>
      </c>
      <c r="F587" t="s" s="2">
        <v>15</v>
      </c>
      <c r="G587" t="s" s="2">
        <v>31</v>
      </c>
      <c r="H587" t="s" s="2">
        <v>20</v>
      </c>
      <c r="I587" s="3">
        <v>3</v>
      </c>
      <c r="J587" t="s" s="2">
        <v>18</v>
      </c>
      <c r="K587" t="s" s="2">
        <v>35</v>
      </c>
      <c r="L587" s="3">
        <v>39</v>
      </c>
      <c r="M587" t="s" s="2">
        <v>17</v>
      </c>
    </row>
    <row r="588" ht="13.55" customHeight="1">
      <c r="A588" s="3">
        <v>17436</v>
      </c>
      <c r="B588" t="s" s="2">
        <v>13</v>
      </c>
      <c r="C588" t="s" s="2">
        <v>13</v>
      </c>
      <c r="D588" s="4">
        <v>60000</v>
      </c>
      <c r="E588" s="3">
        <v>2</v>
      </c>
      <c r="F588" t="s" s="2">
        <v>30</v>
      </c>
      <c r="G588" t="s" s="2">
        <v>23</v>
      </c>
      <c r="H588" t="s" s="2">
        <v>20</v>
      </c>
      <c r="I588" s="3">
        <v>2</v>
      </c>
      <c r="J588" t="s" s="2">
        <v>29</v>
      </c>
      <c r="K588" t="s" s="2">
        <v>35</v>
      </c>
      <c r="L588" s="3">
        <v>51</v>
      </c>
      <c r="M588" t="s" s="2">
        <v>20</v>
      </c>
    </row>
    <row r="589" ht="13.55" customHeight="1">
      <c r="A589" s="3">
        <v>18935</v>
      </c>
      <c r="B589" t="s" s="2">
        <v>13</v>
      </c>
      <c r="C589" t="s" s="2">
        <v>14</v>
      </c>
      <c r="D589" s="4">
        <v>130000</v>
      </c>
      <c r="E589" s="3">
        <v>0</v>
      </c>
      <c r="F589" t="s" s="2">
        <v>34</v>
      </c>
      <c r="G589" t="s" s="2">
        <v>31</v>
      </c>
      <c r="H589" t="s" s="2">
        <v>17</v>
      </c>
      <c r="I589" s="3">
        <v>3</v>
      </c>
      <c r="J589" t="s" s="2">
        <v>29</v>
      </c>
      <c r="K589" t="s" s="2">
        <v>35</v>
      </c>
      <c r="L589" s="3">
        <v>40</v>
      </c>
      <c r="M589" t="s" s="2">
        <v>20</v>
      </c>
    </row>
    <row r="590" ht="13.55" customHeight="1">
      <c r="A590" s="3">
        <v>16871</v>
      </c>
      <c r="B590" t="s" s="2">
        <v>13</v>
      </c>
      <c r="C590" t="s" s="2">
        <v>14</v>
      </c>
      <c r="D590" s="4">
        <v>90000</v>
      </c>
      <c r="E590" s="3">
        <v>2</v>
      </c>
      <c r="F590" t="s" s="2">
        <v>30</v>
      </c>
      <c r="G590" t="s" s="2">
        <v>23</v>
      </c>
      <c r="H590" t="s" s="2">
        <v>17</v>
      </c>
      <c r="I590" s="3">
        <v>1</v>
      </c>
      <c r="J590" t="s" s="2">
        <v>33</v>
      </c>
      <c r="K590" t="s" s="2">
        <v>35</v>
      </c>
      <c r="L590" s="3">
        <v>51</v>
      </c>
      <c r="M590" t="s" s="2">
        <v>17</v>
      </c>
    </row>
    <row r="591" ht="13.55" customHeight="1">
      <c r="A591" s="3">
        <v>12100</v>
      </c>
      <c r="B591" t="s" s="2">
        <v>25</v>
      </c>
      <c r="C591" t="s" s="2">
        <v>13</v>
      </c>
      <c r="D591" s="4">
        <v>60000</v>
      </c>
      <c r="E591" s="3">
        <v>2</v>
      </c>
      <c r="F591" t="s" s="2">
        <v>15</v>
      </c>
      <c r="G591" t="s" s="2">
        <v>31</v>
      </c>
      <c r="H591" t="s" s="2">
        <v>17</v>
      </c>
      <c r="I591" s="3">
        <v>0</v>
      </c>
      <c r="J591" t="s" s="2">
        <v>33</v>
      </c>
      <c r="K591" t="s" s="2">
        <v>35</v>
      </c>
      <c r="L591" s="3">
        <v>57</v>
      </c>
      <c r="M591" t="s" s="2">
        <v>20</v>
      </c>
    </row>
    <row r="592" ht="13.55" customHeight="1">
      <c r="A592" s="3">
        <v>23158</v>
      </c>
      <c r="B592" t="s" s="2">
        <v>13</v>
      </c>
      <c r="C592" t="s" s="2">
        <v>14</v>
      </c>
      <c r="D592" s="4">
        <v>60000</v>
      </c>
      <c r="E592" s="3">
        <v>1</v>
      </c>
      <c r="F592" t="s" s="2">
        <v>34</v>
      </c>
      <c r="G592" t="s" s="2">
        <v>23</v>
      </c>
      <c r="H592" t="s" s="2">
        <v>20</v>
      </c>
      <c r="I592" s="3">
        <v>0</v>
      </c>
      <c r="J592" t="s" s="2">
        <v>18</v>
      </c>
      <c r="K592" t="s" s="2">
        <v>35</v>
      </c>
      <c r="L592" s="3">
        <v>35</v>
      </c>
      <c r="M592" t="s" s="2">
        <v>17</v>
      </c>
    </row>
    <row r="593" ht="13.55" customHeight="1">
      <c r="A593" s="3">
        <v>18545</v>
      </c>
      <c r="B593" t="s" s="2">
        <v>13</v>
      </c>
      <c r="C593" t="s" s="2">
        <v>13</v>
      </c>
      <c r="D593" s="4">
        <v>40000</v>
      </c>
      <c r="E593" s="3">
        <v>4</v>
      </c>
      <c r="F593" t="s" s="2">
        <v>30</v>
      </c>
      <c r="G593" t="s" s="2">
        <v>23</v>
      </c>
      <c r="H593" t="s" s="2">
        <v>20</v>
      </c>
      <c r="I593" s="3">
        <v>2</v>
      </c>
      <c r="J593" t="s" s="2">
        <v>33</v>
      </c>
      <c r="K593" t="s" s="2">
        <v>35</v>
      </c>
      <c r="L593" s="3">
        <v>61</v>
      </c>
      <c r="M593" t="s" s="2">
        <v>17</v>
      </c>
    </row>
    <row r="594" ht="13.55" customHeight="1">
      <c r="A594" s="3">
        <v>18391</v>
      </c>
      <c r="B594" t="s" s="2">
        <v>25</v>
      </c>
      <c r="C594" t="s" s="2">
        <v>14</v>
      </c>
      <c r="D594" s="4">
        <v>80000</v>
      </c>
      <c r="E594" s="3">
        <v>5</v>
      </c>
      <c r="F594" t="s" s="2">
        <v>21</v>
      </c>
      <c r="G594" t="s" s="2">
        <v>23</v>
      </c>
      <c r="H594" t="s" s="2">
        <v>17</v>
      </c>
      <c r="I594" s="3">
        <v>2</v>
      </c>
      <c r="J594" t="s" s="2">
        <v>26</v>
      </c>
      <c r="K594" t="s" s="2">
        <v>35</v>
      </c>
      <c r="L594" s="3">
        <v>44</v>
      </c>
      <c r="M594" t="s" s="2">
        <v>20</v>
      </c>
    </row>
    <row r="595" ht="13.55" customHeight="1">
      <c r="A595" s="3">
        <v>19812</v>
      </c>
      <c r="B595" t="s" s="2">
        <v>25</v>
      </c>
      <c r="C595" t="s" s="2">
        <v>14</v>
      </c>
      <c r="D595" s="4">
        <v>70000</v>
      </c>
      <c r="E595" s="3">
        <v>2</v>
      </c>
      <c r="F595" t="s" s="2">
        <v>21</v>
      </c>
      <c r="G595" t="s" s="2">
        <v>23</v>
      </c>
      <c r="H595" t="s" s="2">
        <v>17</v>
      </c>
      <c r="I595" s="3">
        <v>0</v>
      </c>
      <c r="J595" t="s" s="2">
        <v>26</v>
      </c>
      <c r="K595" t="s" s="2">
        <v>35</v>
      </c>
      <c r="L595" s="3">
        <v>49</v>
      </c>
      <c r="M595" t="s" s="2">
        <v>17</v>
      </c>
    </row>
    <row r="596" ht="13.55" customHeight="1">
      <c r="A596" s="3">
        <v>27660</v>
      </c>
      <c r="B596" t="s" s="2">
        <v>13</v>
      </c>
      <c r="C596" t="s" s="2">
        <v>13</v>
      </c>
      <c r="D596" s="4">
        <v>80000</v>
      </c>
      <c r="E596" s="3">
        <v>4</v>
      </c>
      <c r="F596" t="s" s="2">
        <v>34</v>
      </c>
      <c r="G596" t="s" s="2">
        <v>31</v>
      </c>
      <c r="H596" t="s" s="2">
        <v>17</v>
      </c>
      <c r="I596" s="3">
        <v>2</v>
      </c>
      <c r="J596" t="s" s="2">
        <v>26</v>
      </c>
      <c r="K596" t="s" s="2">
        <v>35</v>
      </c>
      <c r="L596" s="3">
        <v>70</v>
      </c>
      <c r="M596" t="s" s="2">
        <v>20</v>
      </c>
    </row>
    <row r="597" ht="13.55" customHeight="1">
      <c r="A597" s="3">
        <v>18058</v>
      </c>
      <c r="B597" t="s" s="2">
        <v>25</v>
      </c>
      <c r="C597" t="s" s="2">
        <v>14</v>
      </c>
      <c r="D597" s="4">
        <v>20000</v>
      </c>
      <c r="E597" s="3">
        <v>3</v>
      </c>
      <c r="F597" t="s" s="2">
        <v>30</v>
      </c>
      <c r="G597" t="s" s="2">
        <v>16</v>
      </c>
      <c r="H597" t="s" s="2">
        <v>17</v>
      </c>
      <c r="I597" s="3">
        <v>2</v>
      </c>
      <c r="J597" t="s" s="2">
        <v>24</v>
      </c>
      <c r="K597" t="s" s="2">
        <v>35</v>
      </c>
      <c r="L597" s="3">
        <v>78</v>
      </c>
      <c r="M597" t="s" s="2">
        <v>20</v>
      </c>
    </row>
    <row r="598" ht="13.55" customHeight="1">
      <c r="A598" s="3">
        <v>20343</v>
      </c>
      <c r="B598" t="s" s="2">
        <v>13</v>
      </c>
      <c r="C598" t="s" s="2">
        <v>14</v>
      </c>
      <c r="D598" s="4">
        <v>90000</v>
      </c>
      <c r="E598" s="3">
        <v>4</v>
      </c>
      <c r="F598" t="s" s="2">
        <v>21</v>
      </c>
      <c r="G598" t="s" s="2">
        <v>23</v>
      </c>
      <c r="H598" t="s" s="2">
        <v>17</v>
      </c>
      <c r="I598" s="3">
        <v>1</v>
      </c>
      <c r="J598" t="s" s="2">
        <v>29</v>
      </c>
      <c r="K598" t="s" s="2">
        <v>35</v>
      </c>
      <c r="L598" s="3">
        <v>45</v>
      </c>
      <c r="M598" t="s" s="2">
        <v>20</v>
      </c>
    </row>
    <row r="599" ht="13.55" customHeight="1">
      <c r="A599" s="3">
        <v>28997</v>
      </c>
      <c r="B599" t="s" s="2">
        <v>25</v>
      </c>
      <c r="C599" t="s" s="2">
        <v>13</v>
      </c>
      <c r="D599" s="4">
        <v>40000</v>
      </c>
      <c r="E599" s="3">
        <v>2</v>
      </c>
      <c r="F599" t="s" s="2">
        <v>30</v>
      </c>
      <c r="G599" t="s" s="2">
        <v>23</v>
      </c>
      <c r="H599" t="s" s="2">
        <v>20</v>
      </c>
      <c r="I599" s="3">
        <v>1</v>
      </c>
      <c r="J599" t="s" s="2">
        <v>24</v>
      </c>
      <c r="K599" t="s" s="2">
        <v>35</v>
      </c>
      <c r="L599" s="3">
        <v>58</v>
      </c>
      <c r="M599" t="s" s="2">
        <v>17</v>
      </c>
    </row>
    <row r="600" ht="13.55" customHeight="1">
      <c r="A600" s="3">
        <v>24398</v>
      </c>
      <c r="B600" t="s" s="2">
        <v>13</v>
      </c>
      <c r="C600" t="s" s="2">
        <v>13</v>
      </c>
      <c r="D600" s="4">
        <v>130000</v>
      </c>
      <c r="E600" s="3">
        <v>1</v>
      </c>
      <c r="F600" t="s" s="2">
        <v>34</v>
      </c>
      <c r="G600" t="s" s="2">
        <v>31</v>
      </c>
      <c r="H600" t="s" s="2">
        <v>17</v>
      </c>
      <c r="I600" s="3">
        <v>4</v>
      </c>
      <c r="J600" t="s" s="2">
        <v>18</v>
      </c>
      <c r="K600" t="s" s="2">
        <v>35</v>
      </c>
      <c r="L600" s="3">
        <v>41</v>
      </c>
      <c r="M600" t="s" s="2">
        <v>20</v>
      </c>
    </row>
    <row r="601" ht="13.55" customHeight="1">
      <c r="A601" s="3">
        <v>19002</v>
      </c>
      <c r="B601" t="s" s="2">
        <v>13</v>
      </c>
      <c r="C601" t="s" s="2">
        <v>14</v>
      </c>
      <c r="D601" s="4">
        <v>60000</v>
      </c>
      <c r="E601" s="3">
        <v>2</v>
      </c>
      <c r="F601" t="s" s="2">
        <v>21</v>
      </c>
      <c r="G601" t="s" s="2">
        <v>23</v>
      </c>
      <c r="H601" t="s" s="2">
        <v>17</v>
      </c>
      <c r="I601" s="3">
        <v>1</v>
      </c>
      <c r="J601" t="s" s="2">
        <v>24</v>
      </c>
      <c r="K601" t="s" s="2">
        <v>35</v>
      </c>
      <c r="L601" s="3">
        <v>57</v>
      </c>
      <c r="M601" t="s" s="2">
        <v>17</v>
      </c>
    </row>
    <row r="602" ht="13.55" customHeight="1">
      <c r="A602" s="3">
        <v>28609</v>
      </c>
      <c r="B602" t="s" s="2">
        <v>13</v>
      </c>
      <c r="C602" t="s" s="2">
        <v>13</v>
      </c>
      <c r="D602" s="4">
        <v>30000</v>
      </c>
      <c r="E602" s="3">
        <v>2</v>
      </c>
      <c r="F602" t="s" s="2">
        <v>30</v>
      </c>
      <c r="G602" t="s" s="2">
        <v>16</v>
      </c>
      <c r="H602" t="s" s="2">
        <v>20</v>
      </c>
      <c r="I602" s="3">
        <v>2</v>
      </c>
      <c r="J602" t="s" s="2">
        <v>18</v>
      </c>
      <c r="K602" t="s" s="2">
        <v>35</v>
      </c>
      <c r="L602" s="3">
        <v>49</v>
      </c>
      <c r="M602" t="s" s="2">
        <v>20</v>
      </c>
    </row>
    <row r="603" ht="13.55" customHeight="1">
      <c r="A603" s="3">
        <v>29231</v>
      </c>
      <c r="B603" t="s" s="2">
        <v>25</v>
      </c>
      <c r="C603" t="s" s="2">
        <v>13</v>
      </c>
      <c r="D603" s="4">
        <v>80000</v>
      </c>
      <c r="E603" s="3">
        <v>4</v>
      </c>
      <c r="F603" t="s" s="2">
        <v>21</v>
      </c>
      <c r="G603" t="s" s="2">
        <v>23</v>
      </c>
      <c r="H603" t="s" s="2">
        <v>20</v>
      </c>
      <c r="I603" s="3">
        <v>2</v>
      </c>
      <c r="J603" t="s" s="2">
        <v>18</v>
      </c>
      <c r="K603" t="s" s="2">
        <v>35</v>
      </c>
      <c r="L603" s="3">
        <v>43</v>
      </c>
      <c r="M603" t="s" s="2">
        <v>20</v>
      </c>
    </row>
    <row r="604" ht="13.55" customHeight="1">
      <c r="A604" s="3">
        <v>18858</v>
      </c>
      <c r="B604" t="s" s="2">
        <v>25</v>
      </c>
      <c r="C604" t="s" s="2">
        <v>13</v>
      </c>
      <c r="D604" s="4">
        <v>60000</v>
      </c>
      <c r="E604" s="3">
        <v>2</v>
      </c>
      <c r="F604" t="s" s="2">
        <v>32</v>
      </c>
      <c r="G604" t="s" s="2">
        <v>16</v>
      </c>
      <c r="H604" t="s" s="2">
        <v>17</v>
      </c>
      <c r="I604" s="3">
        <v>2</v>
      </c>
      <c r="J604" t="s" s="2">
        <v>26</v>
      </c>
      <c r="K604" t="s" s="2">
        <v>35</v>
      </c>
      <c r="L604" s="3">
        <v>52</v>
      </c>
      <c r="M604" t="s" s="2">
        <v>17</v>
      </c>
    </row>
    <row r="605" ht="13.55" customHeight="1">
      <c r="A605" s="3">
        <v>20000</v>
      </c>
      <c r="B605" t="s" s="2">
        <v>13</v>
      </c>
      <c r="C605" t="s" s="2">
        <v>13</v>
      </c>
      <c r="D605" s="4">
        <v>60000</v>
      </c>
      <c r="E605" s="3">
        <v>1</v>
      </c>
      <c r="F605" t="s" s="2">
        <v>34</v>
      </c>
      <c r="G605" t="s" s="2">
        <v>23</v>
      </c>
      <c r="H605" t="s" s="2">
        <v>17</v>
      </c>
      <c r="I605" s="3">
        <v>0</v>
      </c>
      <c r="J605" t="s" s="2">
        <v>18</v>
      </c>
      <c r="K605" t="s" s="2">
        <v>35</v>
      </c>
      <c r="L605" s="3">
        <v>35</v>
      </c>
      <c r="M605" t="s" s="2">
        <v>17</v>
      </c>
    </row>
    <row r="606" ht="13.55" customHeight="1">
      <c r="A606" s="3">
        <v>25261</v>
      </c>
      <c r="B606" t="s" s="2">
        <v>13</v>
      </c>
      <c r="C606" t="s" s="2">
        <v>13</v>
      </c>
      <c r="D606" s="4">
        <v>40000</v>
      </c>
      <c r="E606" s="3">
        <v>0</v>
      </c>
      <c r="F606" t="s" s="2">
        <v>30</v>
      </c>
      <c r="G606" t="s" s="2">
        <v>16</v>
      </c>
      <c r="H606" t="s" s="2">
        <v>17</v>
      </c>
      <c r="I606" s="3">
        <v>2</v>
      </c>
      <c r="J606" t="s" s="2">
        <v>26</v>
      </c>
      <c r="K606" t="s" s="2">
        <v>35</v>
      </c>
      <c r="L606" s="3">
        <v>27</v>
      </c>
      <c r="M606" t="s" s="2">
        <v>20</v>
      </c>
    </row>
    <row r="607" ht="13.55" customHeight="1">
      <c r="A607" s="3">
        <v>17458</v>
      </c>
      <c r="B607" t="s" s="2">
        <v>25</v>
      </c>
      <c r="C607" t="s" s="2">
        <v>13</v>
      </c>
      <c r="D607" s="4">
        <v>70000</v>
      </c>
      <c r="E607" s="3">
        <v>3</v>
      </c>
      <c r="F607" t="s" s="2">
        <v>30</v>
      </c>
      <c r="G607" t="s" s="2">
        <v>23</v>
      </c>
      <c r="H607" t="s" s="2">
        <v>17</v>
      </c>
      <c r="I607" s="3">
        <v>0</v>
      </c>
      <c r="J607" t="s" s="2">
        <v>26</v>
      </c>
      <c r="K607" t="s" s="2">
        <v>35</v>
      </c>
      <c r="L607" s="3">
        <v>52</v>
      </c>
      <c r="M607" t="s" s="2">
        <v>17</v>
      </c>
    </row>
    <row r="608" ht="13.55" customHeight="1">
      <c r="A608" s="3">
        <v>11644</v>
      </c>
      <c r="B608" t="s" s="2">
        <v>25</v>
      </c>
      <c r="C608" t="s" s="2">
        <v>13</v>
      </c>
      <c r="D608" s="4">
        <v>40000</v>
      </c>
      <c r="E608" s="3">
        <v>2</v>
      </c>
      <c r="F608" t="s" s="2">
        <v>15</v>
      </c>
      <c r="G608" t="s" s="2">
        <v>16</v>
      </c>
      <c r="H608" t="s" s="2">
        <v>17</v>
      </c>
      <c r="I608" s="3">
        <v>0</v>
      </c>
      <c r="J608" t="s" s="2">
        <v>24</v>
      </c>
      <c r="K608" t="s" s="2">
        <v>35</v>
      </c>
      <c r="L608" s="3">
        <v>36</v>
      </c>
      <c r="M608" t="s" s="2">
        <v>20</v>
      </c>
    </row>
    <row r="609" ht="13.55" customHeight="1">
      <c r="A609" s="3">
        <v>16145</v>
      </c>
      <c r="B609" t="s" s="2">
        <v>25</v>
      </c>
      <c r="C609" t="s" s="2">
        <v>14</v>
      </c>
      <c r="D609" s="4">
        <v>70000</v>
      </c>
      <c r="E609" s="3">
        <v>5</v>
      </c>
      <c r="F609" t="s" s="2">
        <v>34</v>
      </c>
      <c r="G609" t="s" s="2">
        <v>23</v>
      </c>
      <c r="H609" t="s" s="2">
        <v>17</v>
      </c>
      <c r="I609" s="3">
        <v>3</v>
      </c>
      <c r="J609" t="s" s="2">
        <v>33</v>
      </c>
      <c r="K609" t="s" s="2">
        <v>35</v>
      </c>
      <c r="L609" s="3">
        <v>46</v>
      </c>
      <c r="M609" t="s" s="2">
        <v>17</v>
      </c>
    </row>
    <row r="610" ht="13.55" customHeight="1">
      <c r="A610" s="3">
        <v>16890</v>
      </c>
      <c r="B610" t="s" s="2">
        <v>13</v>
      </c>
      <c r="C610" t="s" s="2">
        <v>13</v>
      </c>
      <c r="D610" s="4">
        <v>60000</v>
      </c>
      <c r="E610" s="3">
        <v>3</v>
      </c>
      <c r="F610" t="s" s="2">
        <v>32</v>
      </c>
      <c r="G610" t="s" s="2">
        <v>16</v>
      </c>
      <c r="H610" t="s" s="2">
        <v>17</v>
      </c>
      <c r="I610" s="3">
        <v>2</v>
      </c>
      <c r="J610" t="s" s="2">
        <v>26</v>
      </c>
      <c r="K610" t="s" s="2">
        <v>35</v>
      </c>
      <c r="L610" s="3">
        <v>52</v>
      </c>
      <c r="M610" t="s" s="2">
        <v>17</v>
      </c>
    </row>
    <row r="611" ht="13.55" customHeight="1">
      <c r="A611" s="3">
        <v>25983</v>
      </c>
      <c r="B611" t="s" s="2">
        <v>13</v>
      </c>
      <c r="C611" t="s" s="2">
        <v>13</v>
      </c>
      <c r="D611" s="4">
        <v>70000</v>
      </c>
      <c r="E611" s="3">
        <v>0</v>
      </c>
      <c r="F611" t="s" s="2">
        <v>15</v>
      </c>
      <c r="G611" t="s" s="2">
        <v>23</v>
      </c>
      <c r="H611" t="s" s="2">
        <v>20</v>
      </c>
      <c r="I611" s="3">
        <v>1</v>
      </c>
      <c r="J611" t="s" s="2">
        <v>18</v>
      </c>
      <c r="K611" t="s" s="2">
        <v>35</v>
      </c>
      <c r="L611" s="3">
        <v>43</v>
      </c>
      <c r="M611" t="s" s="2">
        <v>20</v>
      </c>
    </row>
    <row r="612" ht="13.55" customHeight="1">
      <c r="A612" s="3">
        <v>14633</v>
      </c>
      <c r="B612" t="s" s="2">
        <v>13</v>
      </c>
      <c r="C612" t="s" s="2">
        <v>13</v>
      </c>
      <c r="D612" s="4">
        <v>60000</v>
      </c>
      <c r="E612" s="3">
        <v>1</v>
      </c>
      <c r="F612" t="s" s="2">
        <v>21</v>
      </c>
      <c r="G612" t="s" s="2">
        <v>16</v>
      </c>
      <c r="H612" t="s" s="2">
        <v>17</v>
      </c>
      <c r="I612" s="3">
        <v>1</v>
      </c>
      <c r="J612" t="s" s="2">
        <v>24</v>
      </c>
      <c r="K612" t="s" s="2">
        <v>35</v>
      </c>
      <c r="L612" s="3">
        <v>44</v>
      </c>
      <c r="M612" t="s" s="2">
        <v>20</v>
      </c>
    </row>
    <row r="613" ht="13.55" customHeight="1">
      <c r="A613" s="3">
        <v>22994</v>
      </c>
      <c r="B613" t="s" s="2">
        <v>13</v>
      </c>
      <c r="C613" t="s" s="2">
        <v>14</v>
      </c>
      <c r="D613" s="4">
        <v>80000</v>
      </c>
      <c r="E613" s="3">
        <v>0</v>
      </c>
      <c r="F613" t="s" s="2">
        <v>15</v>
      </c>
      <c r="G613" t="s" s="2">
        <v>31</v>
      </c>
      <c r="H613" t="s" s="2">
        <v>17</v>
      </c>
      <c r="I613" s="3">
        <v>1</v>
      </c>
      <c r="J613" t="s" s="2">
        <v>29</v>
      </c>
      <c r="K613" t="s" s="2">
        <v>35</v>
      </c>
      <c r="L613" s="3">
        <v>34</v>
      </c>
      <c r="M613" t="s" s="2">
        <v>17</v>
      </c>
    </row>
    <row r="614" ht="13.55" customHeight="1">
      <c r="A614" s="3">
        <v>22983</v>
      </c>
      <c r="B614" t="s" s="2">
        <v>25</v>
      </c>
      <c r="C614" t="s" s="2">
        <v>14</v>
      </c>
      <c r="D614" s="4">
        <v>30000</v>
      </c>
      <c r="E614" s="3">
        <v>0</v>
      </c>
      <c r="F614" t="s" s="2">
        <v>32</v>
      </c>
      <c r="G614" t="s" s="2">
        <v>22</v>
      </c>
      <c r="H614" t="s" s="2">
        <v>17</v>
      </c>
      <c r="I614" s="3">
        <v>2</v>
      </c>
      <c r="J614" t="s" s="2">
        <v>26</v>
      </c>
      <c r="K614" t="s" s="2">
        <v>35</v>
      </c>
      <c r="L614" s="3">
        <v>27</v>
      </c>
      <c r="M614" t="s" s="2">
        <v>20</v>
      </c>
    </row>
    <row r="615" ht="13.55" customHeight="1">
      <c r="A615" s="3">
        <v>25184</v>
      </c>
      <c r="B615" t="s" s="2">
        <v>25</v>
      </c>
      <c r="C615" t="s" s="2">
        <v>13</v>
      </c>
      <c r="D615" s="4">
        <v>110000</v>
      </c>
      <c r="E615" s="3">
        <v>1</v>
      </c>
      <c r="F615" t="s" s="2">
        <v>21</v>
      </c>
      <c r="G615" t="s" s="2">
        <v>23</v>
      </c>
      <c r="H615" t="s" s="2">
        <v>17</v>
      </c>
      <c r="I615" s="3">
        <v>4</v>
      </c>
      <c r="J615" t="s" s="2">
        <v>26</v>
      </c>
      <c r="K615" t="s" s="2">
        <v>35</v>
      </c>
      <c r="L615" s="3">
        <v>45</v>
      </c>
      <c r="M615" t="s" s="2">
        <v>17</v>
      </c>
    </row>
    <row r="616" ht="13.55" customHeight="1">
      <c r="A616" s="3">
        <v>14469</v>
      </c>
      <c r="B616" t="s" s="2">
        <v>13</v>
      </c>
      <c r="C616" t="s" s="2">
        <v>14</v>
      </c>
      <c r="D616" s="4">
        <v>100000</v>
      </c>
      <c r="E616" s="3">
        <v>3</v>
      </c>
      <c r="F616" t="s" s="2">
        <v>21</v>
      </c>
      <c r="G616" t="s" s="2">
        <v>23</v>
      </c>
      <c r="H616" t="s" s="2">
        <v>17</v>
      </c>
      <c r="I616" s="3">
        <v>4</v>
      </c>
      <c r="J616" t="s" s="2">
        <v>29</v>
      </c>
      <c r="K616" t="s" s="2">
        <v>35</v>
      </c>
      <c r="L616" s="3">
        <v>45</v>
      </c>
      <c r="M616" t="s" s="2">
        <v>20</v>
      </c>
    </row>
    <row r="617" ht="13.55" customHeight="1">
      <c r="A617" s="3">
        <v>11538</v>
      </c>
      <c r="B617" t="s" s="2">
        <v>25</v>
      </c>
      <c r="C617" t="s" s="2">
        <v>14</v>
      </c>
      <c r="D617" s="4">
        <v>60000</v>
      </c>
      <c r="E617" s="3">
        <v>4</v>
      </c>
      <c r="F617" t="s" s="2">
        <v>34</v>
      </c>
      <c r="G617" t="s" s="2">
        <v>16</v>
      </c>
      <c r="H617" t="s" s="2">
        <v>20</v>
      </c>
      <c r="I617" s="3">
        <v>0</v>
      </c>
      <c r="J617" t="s" s="2">
        <v>18</v>
      </c>
      <c r="K617" t="s" s="2">
        <v>35</v>
      </c>
      <c r="L617" s="3">
        <v>47</v>
      </c>
      <c r="M617" t="s" s="2">
        <v>17</v>
      </c>
    </row>
    <row r="618" ht="13.55" customHeight="1">
      <c r="A618" s="3">
        <v>16245</v>
      </c>
      <c r="B618" t="s" s="2">
        <v>25</v>
      </c>
      <c r="C618" t="s" s="2">
        <v>14</v>
      </c>
      <c r="D618" s="4">
        <v>80000</v>
      </c>
      <c r="E618" s="3">
        <v>4</v>
      </c>
      <c r="F618" t="s" s="2">
        <v>34</v>
      </c>
      <c r="G618" t="s" s="2">
        <v>16</v>
      </c>
      <c r="H618" t="s" s="2">
        <v>17</v>
      </c>
      <c r="I618" s="3">
        <v>0</v>
      </c>
      <c r="J618" t="s" s="2">
        <v>29</v>
      </c>
      <c r="K618" t="s" s="2">
        <v>35</v>
      </c>
      <c r="L618" s="3">
        <v>47</v>
      </c>
      <c r="M618" t="s" s="2">
        <v>20</v>
      </c>
    </row>
    <row r="619" ht="13.55" customHeight="1">
      <c r="A619" s="3">
        <v>17858</v>
      </c>
      <c r="B619" t="s" s="2">
        <v>13</v>
      </c>
      <c r="C619" t="s" s="2">
        <v>13</v>
      </c>
      <c r="D619" s="4">
        <v>40000</v>
      </c>
      <c r="E619" s="3">
        <v>4</v>
      </c>
      <c r="F619" t="s" s="2">
        <v>30</v>
      </c>
      <c r="G619" t="s" s="2">
        <v>16</v>
      </c>
      <c r="H619" t="s" s="2">
        <v>17</v>
      </c>
      <c r="I619" s="3">
        <v>2</v>
      </c>
      <c r="J619" t="s" s="2">
        <v>24</v>
      </c>
      <c r="K619" t="s" s="2">
        <v>35</v>
      </c>
      <c r="L619" s="3">
        <v>44</v>
      </c>
      <c r="M619" t="s" s="2">
        <v>17</v>
      </c>
    </row>
    <row r="620" ht="13.55" customHeight="1">
      <c r="A620" s="3">
        <v>25347</v>
      </c>
      <c r="B620" t="s" s="2">
        <v>25</v>
      </c>
      <c r="C620" t="s" s="2">
        <v>14</v>
      </c>
      <c r="D620" s="4">
        <v>20000</v>
      </c>
      <c r="E620" s="3">
        <v>3</v>
      </c>
      <c r="F620" t="s" s="2">
        <v>32</v>
      </c>
      <c r="G620" t="s" s="2">
        <v>22</v>
      </c>
      <c r="H620" t="s" s="2">
        <v>20</v>
      </c>
      <c r="I620" s="3">
        <v>2</v>
      </c>
      <c r="J620" t="s" s="2">
        <v>18</v>
      </c>
      <c r="K620" t="s" s="2">
        <v>35</v>
      </c>
      <c r="L620" s="3">
        <v>49</v>
      </c>
      <c r="M620" t="s" s="2">
        <v>20</v>
      </c>
    </row>
    <row r="621" ht="13.55" customHeight="1">
      <c r="A621" s="3">
        <v>15814</v>
      </c>
      <c r="B621" t="s" s="2">
        <v>25</v>
      </c>
      <c r="C621" t="s" s="2">
        <v>14</v>
      </c>
      <c r="D621" s="4">
        <v>40000</v>
      </c>
      <c r="E621" s="3">
        <v>0</v>
      </c>
      <c r="F621" t="s" s="2">
        <v>30</v>
      </c>
      <c r="G621" t="s" s="2">
        <v>16</v>
      </c>
      <c r="H621" t="s" s="2">
        <v>17</v>
      </c>
      <c r="I621" s="3">
        <v>1</v>
      </c>
      <c r="J621" t="s" s="2">
        <v>26</v>
      </c>
      <c r="K621" t="s" s="2">
        <v>35</v>
      </c>
      <c r="L621" s="3">
        <v>30</v>
      </c>
      <c r="M621" t="s" s="2">
        <v>20</v>
      </c>
    </row>
    <row r="622" ht="13.55" customHeight="1">
      <c r="A622" s="3">
        <v>11259</v>
      </c>
      <c r="B622" t="s" s="2">
        <v>13</v>
      </c>
      <c r="C622" t="s" s="2">
        <v>14</v>
      </c>
      <c r="D622" s="4">
        <v>100000</v>
      </c>
      <c r="E622" s="3">
        <v>4</v>
      </c>
      <c r="F622" t="s" s="2">
        <v>21</v>
      </c>
      <c r="G622" t="s" s="2">
        <v>23</v>
      </c>
      <c r="H622" t="s" s="2">
        <v>17</v>
      </c>
      <c r="I622" s="3">
        <v>4</v>
      </c>
      <c r="J622" t="s" s="2">
        <v>24</v>
      </c>
      <c r="K622" t="s" s="2">
        <v>35</v>
      </c>
      <c r="L622" s="3">
        <v>41</v>
      </c>
      <c r="M622" t="s" s="2">
        <v>17</v>
      </c>
    </row>
    <row r="623" ht="13.55" customHeight="1">
      <c r="A623" s="3">
        <v>11200</v>
      </c>
      <c r="B623" t="s" s="2">
        <v>13</v>
      </c>
      <c r="C623" t="s" s="2">
        <v>13</v>
      </c>
      <c r="D623" s="4">
        <v>70000</v>
      </c>
      <c r="E623" s="3">
        <v>4</v>
      </c>
      <c r="F623" t="s" s="2">
        <v>15</v>
      </c>
      <c r="G623" t="s" s="2">
        <v>31</v>
      </c>
      <c r="H623" t="s" s="2">
        <v>17</v>
      </c>
      <c r="I623" s="3">
        <v>1</v>
      </c>
      <c r="J623" t="s" s="2">
        <v>29</v>
      </c>
      <c r="K623" t="s" s="2">
        <v>35</v>
      </c>
      <c r="L623" s="3">
        <v>58</v>
      </c>
      <c r="M623" t="s" s="2">
        <v>20</v>
      </c>
    </row>
    <row r="624" ht="13.55" customHeight="1">
      <c r="A624" s="3">
        <v>25101</v>
      </c>
      <c r="B624" t="s" s="2">
        <v>13</v>
      </c>
      <c r="C624" t="s" s="2">
        <v>13</v>
      </c>
      <c r="D624" s="4">
        <v>60000</v>
      </c>
      <c r="E624" s="3">
        <v>5</v>
      </c>
      <c r="F624" t="s" s="2">
        <v>15</v>
      </c>
      <c r="G624" t="s" s="2">
        <v>23</v>
      </c>
      <c r="H624" t="s" s="2">
        <v>17</v>
      </c>
      <c r="I624" s="3">
        <v>1</v>
      </c>
      <c r="J624" t="s" s="2">
        <v>24</v>
      </c>
      <c r="K624" t="s" s="2">
        <v>35</v>
      </c>
      <c r="L624" s="3">
        <v>47</v>
      </c>
      <c r="M624" t="s" s="2">
        <v>20</v>
      </c>
    </row>
    <row r="625" ht="13.55" customHeight="1">
      <c r="A625" s="3">
        <v>21801</v>
      </c>
      <c r="B625" t="s" s="2">
        <v>13</v>
      </c>
      <c r="C625" t="s" s="2">
        <v>14</v>
      </c>
      <c r="D625" s="4">
        <v>70000</v>
      </c>
      <c r="E625" s="3">
        <v>4</v>
      </c>
      <c r="F625" t="s" s="2">
        <v>21</v>
      </c>
      <c r="G625" t="s" s="2">
        <v>23</v>
      </c>
      <c r="H625" t="s" s="2">
        <v>17</v>
      </c>
      <c r="I625" s="3">
        <v>1</v>
      </c>
      <c r="J625" t="s" s="2">
        <v>29</v>
      </c>
      <c r="K625" t="s" s="2">
        <v>35</v>
      </c>
      <c r="L625" s="3">
        <v>55</v>
      </c>
      <c r="M625" t="s" s="2">
        <v>20</v>
      </c>
    </row>
    <row r="626" ht="13.55" customHeight="1">
      <c r="A626" s="3">
        <v>25943</v>
      </c>
      <c r="B626" t="s" s="2">
        <v>25</v>
      </c>
      <c r="C626" t="s" s="2">
        <v>14</v>
      </c>
      <c r="D626" s="4">
        <v>70000</v>
      </c>
      <c r="E626" s="3">
        <v>0</v>
      </c>
      <c r="F626" t="s" s="2">
        <v>21</v>
      </c>
      <c r="G626" t="s" s="2">
        <v>16</v>
      </c>
      <c r="H626" t="s" s="2">
        <v>20</v>
      </c>
      <c r="I626" s="3">
        <v>2</v>
      </c>
      <c r="J626" t="s" s="2">
        <v>18</v>
      </c>
      <c r="K626" t="s" s="2">
        <v>35</v>
      </c>
      <c r="L626" s="3">
        <v>27</v>
      </c>
      <c r="M626" t="s" s="2">
        <v>17</v>
      </c>
    </row>
    <row r="627" ht="13.55" customHeight="1">
      <c r="A627" s="3">
        <v>22127</v>
      </c>
      <c r="B627" t="s" s="2">
        <v>13</v>
      </c>
      <c r="C627" t="s" s="2">
        <v>13</v>
      </c>
      <c r="D627" s="4">
        <v>60000</v>
      </c>
      <c r="E627" s="3">
        <v>3</v>
      </c>
      <c r="F627" t="s" s="2">
        <v>34</v>
      </c>
      <c r="G627" t="s" s="2">
        <v>31</v>
      </c>
      <c r="H627" t="s" s="2">
        <v>17</v>
      </c>
      <c r="I627" s="3">
        <v>2</v>
      </c>
      <c r="J627" t="s" s="2">
        <v>29</v>
      </c>
      <c r="K627" t="s" s="2">
        <v>35</v>
      </c>
      <c r="L627" s="3">
        <v>67</v>
      </c>
      <c r="M627" t="s" s="2">
        <v>20</v>
      </c>
    </row>
    <row r="628" ht="13.55" customHeight="1">
      <c r="A628" s="3">
        <v>20414</v>
      </c>
      <c r="B628" t="s" s="2">
        <v>13</v>
      </c>
      <c r="C628" t="s" s="2">
        <v>14</v>
      </c>
      <c r="D628" s="4">
        <v>60000</v>
      </c>
      <c r="E628" s="3">
        <v>0</v>
      </c>
      <c r="F628" t="s" s="2">
        <v>21</v>
      </c>
      <c r="G628" t="s" s="2">
        <v>16</v>
      </c>
      <c r="H628" t="s" s="2">
        <v>17</v>
      </c>
      <c r="I628" s="3">
        <v>2</v>
      </c>
      <c r="J628" t="s" s="2">
        <v>26</v>
      </c>
      <c r="K628" t="s" s="2">
        <v>35</v>
      </c>
      <c r="L628" s="3">
        <v>29</v>
      </c>
      <c r="M628" t="s" s="2">
        <v>20</v>
      </c>
    </row>
    <row r="629" ht="13.55" customHeight="1">
      <c r="A629" s="3">
        <v>23672</v>
      </c>
      <c r="B629" t="s" s="2">
        <v>13</v>
      </c>
      <c r="C629" t="s" s="2">
        <v>14</v>
      </c>
      <c r="D629" s="4">
        <v>60000</v>
      </c>
      <c r="E629" s="3">
        <v>3</v>
      </c>
      <c r="F629" t="s" s="2">
        <v>34</v>
      </c>
      <c r="G629" t="s" s="2">
        <v>31</v>
      </c>
      <c r="H629" t="s" s="2">
        <v>17</v>
      </c>
      <c r="I629" s="3">
        <v>2</v>
      </c>
      <c r="J629" t="s" s="2">
        <v>29</v>
      </c>
      <c r="K629" t="s" s="2">
        <v>35</v>
      </c>
      <c r="L629" s="3">
        <v>67</v>
      </c>
      <c r="M629" t="s" s="2">
        <v>20</v>
      </c>
    </row>
    <row r="630" ht="13.55" customHeight="1">
      <c r="A630" s="3">
        <v>29255</v>
      </c>
      <c r="B630" t="s" s="2">
        <v>25</v>
      </c>
      <c r="C630" t="s" s="2">
        <v>13</v>
      </c>
      <c r="D630" s="4">
        <v>80000</v>
      </c>
      <c r="E630" s="3">
        <v>3</v>
      </c>
      <c r="F630" t="s" s="2">
        <v>21</v>
      </c>
      <c r="G630" t="s" s="2">
        <v>23</v>
      </c>
      <c r="H630" t="s" s="2">
        <v>20</v>
      </c>
      <c r="I630" s="3">
        <v>1</v>
      </c>
      <c r="J630" t="s" s="2">
        <v>29</v>
      </c>
      <c r="K630" t="s" s="2">
        <v>35</v>
      </c>
      <c r="L630" s="3">
        <v>51</v>
      </c>
      <c r="M630" t="s" s="2">
        <v>17</v>
      </c>
    </row>
    <row r="631" ht="13.55" customHeight="1">
      <c r="A631" s="3">
        <v>28815</v>
      </c>
      <c r="B631" t="s" s="2">
        <v>13</v>
      </c>
      <c r="C631" t="s" s="2">
        <v>14</v>
      </c>
      <c r="D631" s="4">
        <v>50000</v>
      </c>
      <c r="E631" s="3">
        <v>1</v>
      </c>
      <c r="F631" t="s" s="2">
        <v>34</v>
      </c>
      <c r="G631" t="s" s="2">
        <v>16</v>
      </c>
      <c r="H631" t="s" s="2">
        <v>17</v>
      </c>
      <c r="I631" s="3">
        <v>0</v>
      </c>
      <c r="J631" t="s" s="2">
        <v>18</v>
      </c>
      <c r="K631" t="s" s="2">
        <v>35</v>
      </c>
      <c r="L631" s="3">
        <v>35</v>
      </c>
      <c r="M631" t="s" s="2">
        <v>20</v>
      </c>
    </row>
    <row r="632" ht="13.55" customHeight="1">
      <c r="A632" s="3">
        <v>27753</v>
      </c>
      <c r="B632" t="s" s="2">
        <v>13</v>
      </c>
      <c r="C632" t="s" s="2">
        <v>13</v>
      </c>
      <c r="D632" s="4">
        <v>40000</v>
      </c>
      <c r="E632" s="3">
        <v>0</v>
      </c>
      <c r="F632" t="s" s="2">
        <v>30</v>
      </c>
      <c r="G632" t="s" s="2">
        <v>16</v>
      </c>
      <c r="H632" t="s" s="2">
        <v>20</v>
      </c>
      <c r="I632" s="3">
        <v>2</v>
      </c>
      <c r="J632" t="s" s="2">
        <v>29</v>
      </c>
      <c r="K632" t="s" s="2">
        <v>35</v>
      </c>
      <c r="L632" s="3">
        <v>30</v>
      </c>
      <c r="M632" t="s" s="2">
        <v>20</v>
      </c>
    </row>
    <row r="633" ht="13.55" customHeight="1">
      <c r="A633" s="3">
        <v>27643</v>
      </c>
      <c r="B633" t="s" s="2">
        <v>25</v>
      </c>
      <c r="C633" t="s" s="2">
        <v>13</v>
      </c>
      <c r="D633" s="4">
        <v>70000</v>
      </c>
      <c r="E633" s="3">
        <v>5</v>
      </c>
      <c r="F633" t="s" s="2">
        <v>21</v>
      </c>
      <c r="G633" t="s" s="2">
        <v>23</v>
      </c>
      <c r="H633" t="s" s="2">
        <v>17</v>
      </c>
      <c r="I633" s="3">
        <v>3</v>
      </c>
      <c r="J633" t="s" s="2">
        <v>24</v>
      </c>
      <c r="K633" t="s" s="2">
        <v>35</v>
      </c>
      <c r="L633" s="3">
        <v>44</v>
      </c>
      <c r="M633" t="s" s="2">
        <v>20</v>
      </c>
    </row>
    <row r="634" ht="13.55" customHeight="1">
      <c r="A634" s="3">
        <v>13754</v>
      </c>
      <c r="B634" t="s" s="2">
        <v>25</v>
      </c>
      <c r="C634" t="s" s="2">
        <v>14</v>
      </c>
      <c r="D634" s="4">
        <v>80000</v>
      </c>
      <c r="E634" s="3">
        <v>4</v>
      </c>
      <c r="F634" t="s" s="2">
        <v>34</v>
      </c>
      <c r="G634" t="s" s="2">
        <v>16</v>
      </c>
      <c r="H634" t="s" s="2">
        <v>17</v>
      </c>
      <c r="I634" s="3">
        <v>0</v>
      </c>
      <c r="J634" t="s" s="2">
        <v>29</v>
      </c>
      <c r="K634" t="s" s="2">
        <v>35</v>
      </c>
      <c r="L634" s="3">
        <v>48</v>
      </c>
      <c r="M634" t="s" s="2">
        <v>20</v>
      </c>
    </row>
    <row r="635" ht="13.55" customHeight="1">
      <c r="A635" s="3">
        <v>22088</v>
      </c>
      <c r="B635" t="s" s="2">
        <v>13</v>
      </c>
      <c r="C635" t="s" s="2">
        <v>14</v>
      </c>
      <c r="D635" s="4">
        <v>130000</v>
      </c>
      <c r="E635" s="3">
        <v>1</v>
      </c>
      <c r="F635" t="s" s="2">
        <v>15</v>
      </c>
      <c r="G635" t="s" s="2">
        <v>31</v>
      </c>
      <c r="H635" t="s" s="2">
        <v>17</v>
      </c>
      <c r="I635" s="3">
        <v>2</v>
      </c>
      <c r="J635" t="s" s="2">
        <v>18</v>
      </c>
      <c r="K635" t="s" s="2">
        <v>35</v>
      </c>
      <c r="L635" s="3">
        <v>45</v>
      </c>
      <c r="M635" t="s" s="2">
        <v>17</v>
      </c>
    </row>
    <row r="636" ht="13.55" customHeight="1">
      <c r="A636" s="3">
        <v>27388</v>
      </c>
      <c r="B636" t="s" s="2">
        <v>13</v>
      </c>
      <c r="C636" t="s" s="2">
        <v>13</v>
      </c>
      <c r="D636" s="4">
        <v>60000</v>
      </c>
      <c r="E636" s="3">
        <v>3</v>
      </c>
      <c r="F636" t="s" s="2">
        <v>15</v>
      </c>
      <c r="G636" t="s" s="2">
        <v>31</v>
      </c>
      <c r="H636" t="s" s="2">
        <v>20</v>
      </c>
      <c r="I636" s="3">
        <v>2</v>
      </c>
      <c r="J636" t="s" s="2">
        <v>29</v>
      </c>
      <c r="K636" t="s" s="2">
        <v>35</v>
      </c>
      <c r="L636" s="3">
        <v>66</v>
      </c>
      <c r="M636" t="s" s="2">
        <v>20</v>
      </c>
    </row>
    <row r="637" ht="13.55" customHeight="1">
      <c r="A637" s="3">
        <v>24745</v>
      </c>
      <c r="B637" t="s" s="2">
        <v>25</v>
      </c>
      <c r="C637" t="s" s="2">
        <v>14</v>
      </c>
      <c r="D637" s="4">
        <v>30000</v>
      </c>
      <c r="E637" s="3">
        <v>2</v>
      </c>
      <c r="F637" t="s" s="2">
        <v>30</v>
      </c>
      <c r="G637" t="s" s="2">
        <v>16</v>
      </c>
      <c r="H637" t="s" s="2">
        <v>20</v>
      </c>
      <c r="I637" s="3">
        <v>2</v>
      </c>
      <c r="J637" t="s" s="2">
        <v>18</v>
      </c>
      <c r="K637" t="s" s="2">
        <v>35</v>
      </c>
      <c r="L637" s="3">
        <v>49</v>
      </c>
      <c r="M637" t="s" s="2">
        <v>20</v>
      </c>
    </row>
    <row r="638" ht="13.55" customHeight="1">
      <c r="A638" s="3">
        <v>29237</v>
      </c>
      <c r="B638" t="s" s="2">
        <v>25</v>
      </c>
      <c r="C638" t="s" s="2">
        <v>14</v>
      </c>
      <c r="D638" s="4">
        <v>120000</v>
      </c>
      <c r="E638" s="3">
        <v>4</v>
      </c>
      <c r="F638" t="s" s="2">
        <v>21</v>
      </c>
      <c r="G638" t="s" s="2">
        <v>23</v>
      </c>
      <c r="H638" t="s" s="2">
        <v>17</v>
      </c>
      <c r="I638" s="3">
        <v>3</v>
      </c>
      <c r="J638" t="s" s="2">
        <v>26</v>
      </c>
      <c r="K638" t="s" s="2">
        <v>35</v>
      </c>
      <c r="L638" s="3">
        <v>43</v>
      </c>
      <c r="M638" t="s" s="2">
        <v>17</v>
      </c>
    </row>
    <row r="639" ht="13.55" customHeight="1">
      <c r="A639" s="3">
        <v>15272</v>
      </c>
      <c r="B639" t="s" s="2">
        <v>25</v>
      </c>
      <c r="C639" t="s" s="2">
        <v>13</v>
      </c>
      <c r="D639" s="4">
        <v>40000</v>
      </c>
      <c r="E639" s="3">
        <v>0</v>
      </c>
      <c r="F639" t="s" s="2">
        <v>30</v>
      </c>
      <c r="G639" t="s" s="2">
        <v>16</v>
      </c>
      <c r="H639" t="s" s="2">
        <v>20</v>
      </c>
      <c r="I639" s="3">
        <v>2</v>
      </c>
      <c r="J639" t="s" s="2">
        <v>29</v>
      </c>
      <c r="K639" t="s" s="2">
        <v>35</v>
      </c>
      <c r="L639" s="3">
        <v>30</v>
      </c>
      <c r="M639" t="s" s="2">
        <v>20</v>
      </c>
    </row>
    <row r="640" ht="13.55" customHeight="1">
      <c r="A640" s="3">
        <v>18949</v>
      </c>
      <c r="B640" t="s" s="2">
        <v>25</v>
      </c>
      <c r="C640" t="s" s="2">
        <v>13</v>
      </c>
      <c r="D640" s="4">
        <v>70000</v>
      </c>
      <c r="E640" s="3">
        <v>0</v>
      </c>
      <c r="F640" t="s" s="2">
        <v>34</v>
      </c>
      <c r="G640" t="s" s="2">
        <v>31</v>
      </c>
      <c r="H640" t="s" s="2">
        <v>17</v>
      </c>
      <c r="I640" s="3">
        <v>2</v>
      </c>
      <c r="J640" t="s" s="2">
        <v>26</v>
      </c>
      <c r="K640" t="s" s="2">
        <v>35</v>
      </c>
      <c r="L640" s="3">
        <v>74</v>
      </c>
      <c r="M640" t="s" s="2">
        <v>17</v>
      </c>
    </row>
    <row r="641" ht="13.55" customHeight="1">
      <c r="A641" s="3">
        <v>14507</v>
      </c>
      <c r="B641" t="s" s="2">
        <v>13</v>
      </c>
      <c r="C641" t="s" s="2">
        <v>13</v>
      </c>
      <c r="D641" s="4">
        <v>100000</v>
      </c>
      <c r="E641" s="3">
        <v>2</v>
      </c>
      <c r="F641" t="s" s="2">
        <v>34</v>
      </c>
      <c r="G641" t="s" s="2">
        <v>31</v>
      </c>
      <c r="H641" t="s" s="2">
        <v>17</v>
      </c>
      <c r="I641" s="3">
        <v>3</v>
      </c>
      <c r="J641" t="s" s="2">
        <v>29</v>
      </c>
      <c r="K641" t="s" s="2">
        <v>35</v>
      </c>
      <c r="L641" s="3">
        <v>65</v>
      </c>
      <c r="M641" t="s" s="2">
        <v>20</v>
      </c>
    </row>
    <row r="642" ht="13.55" customHeight="1">
      <c r="A642" s="3">
        <v>25886</v>
      </c>
      <c r="B642" t="s" s="2">
        <v>13</v>
      </c>
      <c r="C642" t="s" s="2">
        <v>14</v>
      </c>
      <c r="D642" s="4">
        <v>60000</v>
      </c>
      <c r="E642" s="3">
        <v>2</v>
      </c>
      <c r="F642" t="s" s="2">
        <v>21</v>
      </c>
      <c r="G642" t="s" s="2">
        <v>23</v>
      </c>
      <c r="H642" t="s" s="2">
        <v>17</v>
      </c>
      <c r="I642" s="3">
        <v>2</v>
      </c>
      <c r="J642" t="s" s="2">
        <v>24</v>
      </c>
      <c r="K642" t="s" s="2">
        <v>35</v>
      </c>
      <c r="L642" s="3">
        <v>56</v>
      </c>
      <c r="M642" t="s" s="2">
        <v>17</v>
      </c>
    </row>
    <row r="643" ht="13.55" customHeight="1">
      <c r="A643" s="3">
        <v>21441</v>
      </c>
      <c r="B643" t="s" s="2">
        <v>13</v>
      </c>
      <c r="C643" t="s" s="2">
        <v>13</v>
      </c>
      <c r="D643" s="4">
        <v>50000</v>
      </c>
      <c r="E643" s="3">
        <v>4</v>
      </c>
      <c r="F643" t="s" s="2">
        <v>15</v>
      </c>
      <c r="G643" t="s" s="2">
        <v>31</v>
      </c>
      <c r="H643" t="s" s="2">
        <v>17</v>
      </c>
      <c r="I643" s="3">
        <v>2</v>
      </c>
      <c r="J643" t="s" s="2">
        <v>33</v>
      </c>
      <c r="K643" t="s" s="2">
        <v>35</v>
      </c>
      <c r="L643" s="3">
        <v>64</v>
      </c>
      <c r="M643" t="s" s="2">
        <v>20</v>
      </c>
    </row>
    <row r="644" ht="13.55" customHeight="1">
      <c r="A644" s="3">
        <v>21741</v>
      </c>
      <c r="B644" t="s" s="2">
        <v>13</v>
      </c>
      <c r="C644" t="s" s="2">
        <v>14</v>
      </c>
      <c r="D644" s="4">
        <v>70000</v>
      </c>
      <c r="E644" s="3">
        <v>3</v>
      </c>
      <c r="F644" t="s" s="2">
        <v>21</v>
      </c>
      <c r="G644" t="s" s="2">
        <v>23</v>
      </c>
      <c r="H644" t="s" s="2">
        <v>17</v>
      </c>
      <c r="I644" s="3">
        <v>2</v>
      </c>
      <c r="J644" t="s" s="2">
        <v>26</v>
      </c>
      <c r="K644" t="s" s="2">
        <v>35</v>
      </c>
      <c r="L644" s="3">
        <v>50</v>
      </c>
      <c r="M644" t="s" s="2">
        <v>17</v>
      </c>
    </row>
    <row r="645" ht="13.55" customHeight="1">
      <c r="A645" s="3">
        <v>14572</v>
      </c>
      <c r="B645" t="s" s="2">
        <v>13</v>
      </c>
      <c r="C645" t="s" s="2">
        <v>14</v>
      </c>
      <c r="D645" s="4">
        <v>70000</v>
      </c>
      <c r="E645" s="3">
        <v>3</v>
      </c>
      <c r="F645" t="s" s="2">
        <v>34</v>
      </c>
      <c r="G645" t="s" s="2">
        <v>23</v>
      </c>
      <c r="H645" t="s" s="2">
        <v>17</v>
      </c>
      <c r="I645" s="3">
        <v>0</v>
      </c>
      <c r="J645" t="s" s="2">
        <v>24</v>
      </c>
      <c r="K645" t="s" s="2">
        <v>35</v>
      </c>
      <c r="L645" s="3">
        <v>35</v>
      </c>
      <c r="M645" t="s" s="2">
        <v>17</v>
      </c>
    </row>
    <row r="646" ht="13.55" customHeight="1">
      <c r="A646" s="3">
        <v>23368</v>
      </c>
      <c r="B646" t="s" s="2">
        <v>13</v>
      </c>
      <c r="C646" t="s" s="2">
        <v>14</v>
      </c>
      <c r="D646" s="4">
        <v>60000</v>
      </c>
      <c r="E646" s="3">
        <v>5</v>
      </c>
      <c r="F646" t="s" s="2">
        <v>15</v>
      </c>
      <c r="G646" t="s" s="2">
        <v>16</v>
      </c>
      <c r="H646" t="s" s="2">
        <v>17</v>
      </c>
      <c r="I646" s="3">
        <v>3</v>
      </c>
      <c r="J646" t="s" s="2">
        <v>33</v>
      </c>
      <c r="K646" t="s" s="2">
        <v>35</v>
      </c>
      <c r="L646" s="3">
        <v>41</v>
      </c>
      <c r="M646" t="s" s="2">
        <v>20</v>
      </c>
    </row>
    <row r="647" ht="13.55" customHeight="1">
      <c r="A647" s="3">
        <v>16217</v>
      </c>
      <c r="B647" t="s" s="2">
        <v>25</v>
      </c>
      <c r="C647" t="s" s="2">
        <v>14</v>
      </c>
      <c r="D647" s="4">
        <v>60000</v>
      </c>
      <c r="E647" s="3">
        <v>0</v>
      </c>
      <c r="F647" t="s" s="2">
        <v>34</v>
      </c>
      <c r="G647" t="s" s="2">
        <v>16</v>
      </c>
      <c r="H647" t="s" s="2">
        <v>17</v>
      </c>
      <c r="I647" s="3">
        <v>0</v>
      </c>
      <c r="J647" t="s" s="2">
        <v>18</v>
      </c>
      <c r="K647" t="s" s="2">
        <v>35</v>
      </c>
      <c r="L647" s="3">
        <v>39</v>
      </c>
      <c r="M647" t="s" s="2">
        <v>20</v>
      </c>
    </row>
    <row r="648" ht="13.55" customHeight="1">
      <c r="A648" s="3">
        <v>16247</v>
      </c>
      <c r="B648" t="s" s="2">
        <v>25</v>
      </c>
      <c r="C648" t="s" s="2">
        <v>14</v>
      </c>
      <c r="D648" s="4">
        <v>60000</v>
      </c>
      <c r="E648" s="3">
        <v>4</v>
      </c>
      <c r="F648" t="s" s="2">
        <v>34</v>
      </c>
      <c r="G648" t="s" s="2">
        <v>16</v>
      </c>
      <c r="H648" t="s" s="2">
        <v>20</v>
      </c>
      <c r="I648" s="3">
        <v>0</v>
      </c>
      <c r="J648" t="s" s="2">
        <v>29</v>
      </c>
      <c r="K648" t="s" s="2">
        <v>35</v>
      </c>
      <c r="L648" s="3">
        <v>47</v>
      </c>
      <c r="M648" t="s" s="2">
        <v>20</v>
      </c>
    </row>
    <row r="649" ht="13.55" customHeight="1">
      <c r="A649" s="3">
        <v>22010</v>
      </c>
      <c r="B649" t="s" s="2">
        <v>25</v>
      </c>
      <c r="C649" t="s" s="2">
        <v>13</v>
      </c>
      <c r="D649" s="4">
        <v>40000</v>
      </c>
      <c r="E649" s="3">
        <v>0</v>
      </c>
      <c r="F649" t="s" s="2">
        <v>30</v>
      </c>
      <c r="G649" t="s" s="2">
        <v>16</v>
      </c>
      <c r="H649" t="s" s="2">
        <v>17</v>
      </c>
      <c r="I649" s="3">
        <v>2</v>
      </c>
      <c r="J649" t="s" s="2">
        <v>26</v>
      </c>
      <c r="K649" t="s" s="2">
        <v>35</v>
      </c>
      <c r="L649" s="3">
        <v>31</v>
      </c>
      <c r="M649" t="s" s="2">
        <v>20</v>
      </c>
    </row>
    <row r="650" ht="13.55" customHeight="1">
      <c r="A650" s="3">
        <v>25872</v>
      </c>
      <c r="B650" t="s" s="2">
        <v>25</v>
      </c>
      <c r="C650" t="s" s="2">
        <v>14</v>
      </c>
      <c r="D650" s="4">
        <v>70000</v>
      </c>
      <c r="E650" s="3">
        <v>2</v>
      </c>
      <c r="F650" t="s" s="2">
        <v>15</v>
      </c>
      <c r="G650" t="s" s="2">
        <v>31</v>
      </c>
      <c r="H650" t="s" s="2">
        <v>20</v>
      </c>
      <c r="I650" s="3">
        <v>1</v>
      </c>
      <c r="J650" t="s" s="2">
        <v>24</v>
      </c>
      <c r="K650" t="s" s="2">
        <v>35</v>
      </c>
      <c r="L650" s="3">
        <v>58</v>
      </c>
      <c r="M650" t="s" s="2">
        <v>17</v>
      </c>
    </row>
    <row r="651" ht="13.55" customHeight="1">
      <c r="A651" s="3">
        <v>19164</v>
      </c>
      <c r="B651" t="s" s="2">
        <v>25</v>
      </c>
      <c r="C651" t="s" s="2">
        <v>14</v>
      </c>
      <c r="D651" s="4">
        <v>70000</v>
      </c>
      <c r="E651" s="3">
        <v>0</v>
      </c>
      <c r="F651" t="s" s="2">
        <v>15</v>
      </c>
      <c r="G651" t="s" s="2">
        <v>23</v>
      </c>
      <c r="H651" t="s" s="2">
        <v>20</v>
      </c>
      <c r="I651" s="3">
        <v>1</v>
      </c>
      <c r="J651" t="s" s="2">
        <v>24</v>
      </c>
      <c r="K651" t="s" s="2">
        <v>35</v>
      </c>
      <c r="L651" s="3">
        <v>38</v>
      </c>
      <c r="M651" t="s" s="2">
        <v>17</v>
      </c>
    </row>
    <row r="652" ht="13.55" customHeight="1">
      <c r="A652" s="3">
        <v>18435</v>
      </c>
      <c r="B652" t="s" s="2">
        <v>25</v>
      </c>
      <c r="C652" t="s" s="2">
        <v>14</v>
      </c>
      <c r="D652" s="4">
        <v>70000</v>
      </c>
      <c r="E652" s="3">
        <v>5</v>
      </c>
      <c r="F652" t="s" s="2">
        <v>34</v>
      </c>
      <c r="G652" t="s" s="2">
        <v>31</v>
      </c>
      <c r="H652" t="s" s="2">
        <v>17</v>
      </c>
      <c r="I652" s="3">
        <v>2</v>
      </c>
      <c r="J652" t="s" s="2">
        <v>33</v>
      </c>
      <c r="K652" t="s" s="2">
        <v>35</v>
      </c>
      <c r="L652" s="3">
        <v>67</v>
      </c>
      <c r="M652" t="s" s="2">
        <v>17</v>
      </c>
    </row>
    <row r="653" ht="13.55" customHeight="1">
      <c r="A653" s="3">
        <v>14284</v>
      </c>
      <c r="B653" t="s" s="2">
        <v>25</v>
      </c>
      <c r="C653" t="s" s="2">
        <v>13</v>
      </c>
      <c r="D653" s="4">
        <v>60000</v>
      </c>
      <c r="E653" s="3">
        <v>0</v>
      </c>
      <c r="F653" t="s" s="2">
        <v>21</v>
      </c>
      <c r="G653" t="s" s="2">
        <v>23</v>
      </c>
      <c r="H653" t="s" s="2">
        <v>20</v>
      </c>
      <c r="I653" s="3">
        <v>2</v>
      </c>
      <c r="J653" t="s" s="2">
        <v>29</v>
      </c>
      <c r="K653" t="s" s="2">
        <v>35</v>
      </c>
      <c r="L653" s="3">
        <v>32</v>
      </c>
      <c r="M653" t="s" s="2">
        <v>17</v>
      </c>
    </row>
    <row r="654" ht="13.55" customHeight="1">
      <c r="A654" s="3">
        <v>11287</v>
      </c>
      <c r="B654" t="s" s="2">
        <v>13</v>
      </c>
      <c r="C654" t="s" s="2">
        <v>13</v>
      </c>
      <c r="D654" s="4">
        <v>70000</v>
      </c>
      <c r="E654" s="3">
        <v>5</v>
      </c>
      <c r="F654" t="s" s="2">
        <v>21</v>
      </c>
      <c r="G654" t="s" s="2">
        <v>23</v>
      </c>
      <c r="H654" t="s" s="2">
        <v>20</v>
      </c>
      <c r="I654" s="3">
        <v>3</v>
      </c>
      <c r="J654" t="s" s="2">
        <v>26</v>
      </c>
      <c r="K654" t="s" s="2">
        <v>35</v>
      </c>
      <c r="L654" s="3">
        <v>45</v>
      </c>
      <c r="M654" t="s" s="2">
        <v>20</v>
      </c>
    </row>
    <row r="655" ht="13.55" customHeight="1">
      <c r="A655" s="3">
        <v>13066</v>
      </c>
      <c r="B655" t="s" s="2">
        <v>25</v>
      </c>
      <c r="C655" t="s" s="2">
        <v>13</v>
      </c>
      <c r="D655" s="4">
        <v>30000</v>
      </c>
      <c r="E655" s="3">
        <v>0</v>
      </c>
      <c r="F655" t="s" s="2">
        <v>30</v>
      </c>
      <c r="G655" t="s" s="2">
        <v>16</v>
      </c>
      <c r="H655" t="s" s="2">
        <v>20</v>
      </c>
      <c r="I655" s="3">
        <v>2</v>
      </c>
      <c r="J655" t="s" s="2">
        <v>29</v>
      </c>
      <c r="K655" t="s" s="2">
        <v>35</v>
      </c>
      <c r="L655" s="3">
        <v>31</v>
      </c>
      <c r="M655" t="s" s="2">
        <v>17</v>
      </c>
    </row>
    <row r="656" ht="13.55" customHeight="1">
      <c r="A656" s="3">
        <v>29106</v>
      </c>
      <c r="B656" t="s" s="2">
        <v>25</v>
      </c>
      <c r="C656" t="s" s="2">
        <v>13</v>
      </c>
      <c r="D656" s="4">
        <v>40000</v>
      </c>
      <c r="E656" s="3">
        <v>0</v>
      </c>
      <c r="F656" t="s" s="2">
        <v>30</v>
      </c>
      <c r="G656" t="s" s="2">
        <v>16</v>
      </c>
      <c r="H656" t="s" s="2">
        <v>20</v>
      </c>
      <c r="I656" s="3">
        <v>2</v>
      </c>
      <c r="J656" t="s" s="2">
        <v>29</v>
      </c>
      <c r="K656" t="s" s="2">
        <v>35</v>
      </c>
      <c r="L656" s="3">
        <v>31</v>
      </c>
      <c r="M656" t="s" s="2">
        <v>17</v>
      </c>
    </row>
    <row r="657" ht="13.55" customHeight="1">
      <c r="A657" s="3">
        <v>26236</v>
      </c>
      <c r="B657" t="s" s="2">
        <v>13</v>
      </c>
      <c r="C657" t="s" s="2">
        <v>14</v>
      </c>
      <c r="D657" s="4">
        <v>40000</v>
      </c>
      <c r="E657" s="3">
        <v>3</v>
      </c>
      <c r="F657" t="s" s="2">
        <v>21</v>
      </c>
      <c r="G657" t="s" s="2">
        <v>22</v>
      </c>
      <c r="H657" t="s" s="2">
        <v>17</v>
      </c>
      <c r="I657" s="3">
        <v>1</v>
      </c>
      <c r="J657" t="s" s="2">
        <v>18</v>
      </c>
      <c r="K657" t="s" s="2">
        <v>35</v>
      </c>
      <c r="L657" s="3">
        <v>31</v>
      </c>
      <c r="M657" t="s" s="2">
        <v>20</v>
      </c>
    </row>
    <row r="658" ht="13.55" customHeight="1">
      <c r="A658" s="3">
        <v>17531</v>
      </c>
      <c r="B658" t="s" s="2">
        <v>13</v>
      </c>
      <c r="C658" t="s" s="2">
        <v>13</v>
      </c>
      <c r="D658" s="4">
        <v>60000</v>
      </c>
      <c r="E658" s="3">
        <v>2</v>
      </c>
      <c r="F658" t="s" s="2">
        <v>30</v>
      </c>
      <c r="G658" t="s" s="2">
        <v>23</v>
      </c>
      <c r="H658" t="s" s="2">
        <v>20</v>
      </c>
      <c r="I658" s="3">
        <v>2</v>
      </c>
      <c r="J658" t="s" s="2">
        <v>26</v>
      </c>
      <c r="K658" t="s" s="2">
        <v>35</v>
      </c>
      <c r="L658" s="3">
        <v>50</v>
      </c>
      <c r="M658" t="s" s="2">
        <v>20</v>
      </c>
    </row>
    <row r="659" ht="13.55" customHeight="1">
      <c r="A659" s="3">
        <v>12964</v>
      </c>
      <c r="B659" t="s" s="2">
        <v>13</v>
      </c>
      <c r="C659" t="s" s="2">
        <v>13</v>
      </c>
      <c r="D659" s="4">
        <v>70000</v>
      </c>
      <c r="E659" s="3">
        <v>1</v>
      </c>
      <c r="F659" t="s" s="2">
        <v>21</v>
      </c>
      <c r="G659" t="s" s="2">
        <v>16</v>
      </c>
      <c r="H659" t="s" s="2">
        <v>17</v>
      </c>
      <c r="I659" s="3">
        <v>1</v>
      </c>
      <c r="J659" t="s" s="2">
        <v>18</v>
      </c>
      <c r="K659" t="s" s="2">
        <v>35</v>
      </c>
      <c r="L659" s="3">
        <v>44</v>
      </c>
      <c r="M659" t="s" s="2">
        <v>20</v>
      </c>
    </row>
    <row r="660" ht="13.55" customHeight="1">
      <c r="A660" s="3">
        <v>19133</v>
      </c>
      <c r="B660" t="s" s="2">
        <v>25</v>
      </c>
      <c r="C660" t="s" s="2">
        <v>13</v>
      </c>
      <c r="D660" s="4">
        <v>50000</v>
      </c>
      <c r="E660" s="3">
        <v>2</v>
      </c>
      <c r="F660" t="s" s="2">
        <v>15</v>
      </c>
      <c r="G660" t="s" s="2">
        <v>16</v>
      </c>
      <c r="H660" t="s" s="2">
        <v>17</v>
      </c>
      <c r="I660" s="3">
        <v>1</v>
      </c>
      <c r="J660" t="s" s="2">
        <v>24</v>
      </c>
      <c r="K660" t="s" s="2">
        <v>35</v>
      </c>
      <c r="L660" s="3">
        <v>38</v>
      </c>
      <c r="M660" t="s" s="2">
        <v>17</v>
      </c>
    </row>
    <row r="661" ht="13.55" customHeight="1">
      <c r="A661" s="3">
        <v>24643</v>
      </c>
      <c r="B661" t="s" s="2">
        <v>25</v>
      </c>
      <c r="C661" t="s" s="2">
        <v>14</v>
      </c>
      <c r="D661" s="4">
        <v>60000</v>
      </c>
      <c r="E661" s="3">
        <v>4</v>
      </c>
      <c r="F661" t="s" s="2">
        <v>15</v>
      </c>
      <c r="G661" t="s" s="2">
        <v>31</v>
      </c>
      <c r="H661" t="s" s="2">
        <v>17</v>
      </c>
      <c r="I661" s="3">
        <v>2</v>
      </c>
      <c r="J661" t="s" s="2">
        <v>33</v>
      </c>
      <c r="K661" t="s" s="2">
        <v>35</v>
      </c>
      <c r="L661" s="3">
        <v>63</v>
      </c>
      <c r="M661" t="s" s="2">
        <v>20</v>
      </c>
    </row>
    <row r="662" ht="13.55" customHeight="1">
      <c r="A662" s="3">
        <v>21599</v>
      </c>
      <c r="B662" t="s" s="2">
        <v>13</v>
      </c>
      <c r="C662" t="s" s="2">
        <v>14</v>
      </c>
      <c r="D662" s="4">
        <v>60000</v>
      </c>
      <c r="E662" s="3">
        <v>1</v>
      </c>
      <c r="F662" t="s" s="2">
        <v>34</v>
      </c>
      <c r="G662" t="s" s="2">
        <v>23</v>
      </c>
      <c r="H662" t="s" s="2">
        <v>17</v>
      </c>
      <c r="I662" s="3">
        <v>0</v>
      </c>
      <c r="J662" t="s" s="2">
        <v>24</v>
      </c>
      <c r="K662" t="s" s="2">
        <v>35</v>
      </c>
      <c r="L662" s="3">
        <v>36</v>
      </c>
      <c r="M662" t="s" s="2">
        <v>17</v>
      </c>
    </row>
    <row r="663" ht="13.55" customHeight="1">
      <c r="A663" s="3">
        <v>22976</v>
      </c>
      <c r="B663" t="s" s="2">
        <v>25</v>
      </c>
      <c r="C663" t="s" s="2">
        <v>13</v>
      </c>
      <c r="D663" s="4">
        <v>40000</v>
      </c>
      <c r="E663" s="3">
        <v>0</v>
      </c>
      <c r="F663" t="s" s="2">
        <v>30</v>
      </c>
      <c r="G663" t="s" s="2">
        <v>16</v>
      </c>
      <c r="H663" t="s" s="2">
        <v>20</v>
      </c>
      <c r="I663" s="3">
        <v>2</v>
      </c>
      <c r="J663" t="s" s="2">
        <v>18</v>
      </c>
      <c r="K663" t="s" s="2">
        <v>35</v>
      </c>
      <c r="L663" s="3">
        <v>28</v>
      </c>
      <c r="M663" t="s" s="2">
        <v>17</v>
      </c>
    </row>
    <row r="664" ht="13.55" customHeight="1">
      <c r="A664" s="3">
        <v>27637</v>
      </c>
      <c r="B664" t="s" s="2">
        <v>25</v>
      </c>
      <c r="C664" t="s" s="2">
        <v>14</v>
      </c>
      <c r="D664" s="4">
        <v>100000</v>
      </c>
      <c r="E664" s="3">
        <v>1</v>
      </c>
      <c r="F664" t="s" s="2">
        <v>21</v>
      </c>
      <c r="G664" t="s" s="2">
        <v>23</v>
      </c>
      <c r="H664" t="s" s="2">
        <v>20</v>
      </c>
      <c r="I664" s="3">
        <v>3</v>
      </c>
      <c r="J664" t="s" s="2">
        <v>29</v>
      </c>
      <c r="K664" t="s" s="2">
        <v>35</v>
      </c>
      <c r="L664" s="3">
        <v>44</v>
      </c>
      <c r="M664" t="s" s="2">
        <v>20</v>
      </c>
    </row>
    <row r="665" ht="13.55" customHeight="1">
      <c r="A665" s="3">
        <v>11890</v>
      </c>
      <c r="B665" t="s" s="2">
        <v>13</v>
      </c>
      <c r="C665" t="s" s="2">
        <v>14</v>
      </c>
      <c r="D665" s="4">
        <v>70000</v>
      </c>
      <c r="E665" s="3">
        <v>5</v>
      </c>
      <c r="F665" t="s" s="2">
        <v>34</v>
      </c>
      <c r="G665" t="s" s="2">
        <v>23</v>
      </c>
      <c r="H665" t="s" s="2">
        <v>17</v>
      </c>
      <c r="I665" s="3">
        <v>1</v>
      </c>
      <c r="J665" t="s" s="2">
        <v>18</v>
      </c>
      <c r="K665" t="s" s="2">
        <v>35</v>
      </c>
      <c r="L665" s="3">
        <v>47</v>
      </c>
      <c r="M665" t="s" s="2">
        <v>20</v>
      </c>
    </row>
    <row r="666" ht="13.55" customHeight="1">
      <c r="A666" s="3">
        <v>28580</v>
      </c>
      <c r="B666" t="s" s="2">
        <v>13</v>
      </c>
      <c r="C666" t="s" s="2">
        <v>14</v>
      </c>
      <c r="D666" s="4">
        <v>80000</v>
      </c>
      <c r="E666" s="3">
        <v>0</v>
      </c>
      <c r="F666" t="s" s="2">
        <v>34</v>
      </c>
      <c r="G666" t="s" s="2">
        <v>16</v>
      </c>
      <c r="H666" t="s" s="2">
        <v>17</v>
      </c>
      <c r="I666" s="3">
        <v>0</v>
      </c>
      <c r="J666" t="s" s="2">
        <v>29</v>
      </c>
      <c r="K666" t="s" s="2">
        <v>35</v>
      </c>
      <c r="L666" s="3">
        <v>40</v>
      </c>
      <c r="M666" t="s" s="2">
        <v>17</v>
      </c>
    </row>
    <row r="667" ht="13.55" customHeight="1">
      <c r="A667" s="3">
        <v>14443</v>
      </c>
      <c r="B667" t="s" s="2">
        <v>13</v>
      </c>
      <c r="C667" t="s" s="2">
        <v>13</v>
      </c>
      <c r="D667" s="4">
        <v>130000</v>
      </c>
      <c r="E667" s="3">
        <v>1</v>
      </c>
      <c r="F667" t="s" s="2">
        <v>34</v>
      </c>
      <c r="G667" t="s" s="2">
        <v>31</v>
      </c>
      <c r="H667" t="s" s="2">
        <v>17</v>
      </c>
      <c r="I667" s="3">
        <v>4</v>
      </c>
      <c r="J667" t="s" s="2">
        <v>18</v>
      </c>
      <c r="K667" t="s" s="2">
        <v>35</v>
      </c>
      <c r="L667" s="3">
        <v>40</v>
      </c>
      <c r="M667" t="s" s="2">
        <v>20</v>
      </c>
    </row>
    <row r="668" ht="13.55" customHeight="1">
      <c r="A668" s="3">
        <v>17864</v>
      </c>
      <c r="B668" t="s" s="2">
        <v>13</v>
      </c>
      <c r="C668" t="s" s="2">
        <v>14</v>
      </c>
      <c r="D668" s="4">
        <v>60000</v>
      </c>
      <c r="E668" s="3">
        <v>1</v>
      </c>
      <c r="F668" t="s" s="2">
        <v>21</v>
      </c>
      <c r="G668" t="s" s="2">
        <v>16</v>
      </c>
      <c r="H668" t="s" s="2">
        <v>17</v>
      </c>
      <c r="I668" s="3">
        <v>1</v>
      </c>
      <c r="J668" t="s" s="2">
        <v>24</v>
      </c>
      <c r="K668" t="s" s="2">
        <v>35</v>
      </c>
      <c r="L668" s="3">
        <v>46</v>
      </c>
      <c r="M668" t="s" s="2">
        <v>17</v>
      </c>
    </row>
    <row r="669" ht="13.55" customHeight="1">
      <c r="A669" s="3">
        <v>20505</v>
      </c>
      <c r="B669" t="s" s="2">
        <v>13</v>
      </c>
      <c r="C669" t="s" s="2">
        <v>14</v>
      </c>
      <c r="D669" s="4">
        <v>40000</v>
      </c>
      <c r="E669" s="3">
        <v>5</v>
      </c>
      <c r="F669" t="s" s="2">
        <v>30</v>
      </c>
      <c r="G669" t="s" s="2">
        <v>23</v>
      </c>
      <c r="H669" t="s" s="2">
        <v>20</v>
      </c>
      <c r="I669" s="3">
        <v>2</v>
      </c>
      <c r="J669" t="s" s="2">
        <v>33</v>
      </c>
      <c r="K669" t="s" s="2">
        <v>35</v>
      </c>
      <c r="L669" s="3">
        <v>61</v>
      </c>
      <c r="M669" t="s" s="2">
        <v>20</v>
      </c>
    </row>
    <row r="670" ht="13.55" customHeight="1">
      <c r="A670" s="3">
        <v>14592</v>
      </c>
      <c r="B670" t="s" s="2">
        <v>13</v>
      </c>
      <c r="C670" t="s" s="2">
        <v>14</v>
      </c>
      <c r="D670" s="4">
        <v>60000</v>
      </c>
      <c r="E670" s="3">
        <v>0</v>
      </c>
      <c r="F670" t="s" s="2">
        <v>34</v>
      </c>
      <c r="G670" t="s" s="2">
        <v>23</v>
      </c>
      <c r="H670" t="s" s="2">
        <v>17</v>
      </c>
      <c r="I670" s="3">
        <v>0</v>
      </c>
      <c r="J670" t="s" s="2">
        <v>18</v>
      </c>
      <c r="K670" t="s" s="2">
        <v>35</v>
      </c>
      <c r="L670" s="3">
        <v>40</v>
      </c>
      <c r="M670" t="s" s="2">
        <v>20</v>
      </c>
    </row>
    <row r="671" ht="13.55" customHeight="1">
      <c r="A671" s="3">
        <v>22227</v>
      </c>
      <c r="B671" t="s" s="2">
        <v>13</v>
      </c>
      <c r="C671" t="s" s="2">
        <v>14</v>
      </c>
      <c r="D671" s="4">
        <v>60000</v>
      </c>
      <c r="E671" s="3">
        <v>2</v>
      </c>
      <c r="F671" t="s" s="2">
        <v>30</v>
      </c>
      <c r="G671" t="s" s="2">
        <v>23</v>
      </c>
      <c r="H671" t="s" s="2">
        <v>17</v>
      </c>
      <c r="I671" s="3">
        <v>2</v>
      </c>
      <c r="J671" t="s" s="2">
        <v>26</v>
      </c>
      <c r="K671" t="s" s="2">
        <v>35</v>
      </c>
      <c r="L671" s="3">
        <v>50</v>
      </c>
      <c r="M671" t="s" s="2">
        <v>20</v>
      </c>
    </row>
    <row r="672" ht="13.55" customHeight="1">
      <c r="A672" s="3">
        <v>21471</v>
      </c>
      <c r="B672" t="s" s="2">
        <v>13</v>
      </c>
      <c r="C672" t="s" s="2">
        <v>13</v>
      </c>
      <c r="D672" s="4">
        <v>70000</v>
      </c>
      <c r="E672" s="3">
        <v>2</v>
      </c>
      <c r="F672" t="s" s="2">
        <v>21</v>
      </c>
      <c r="G672" t="s" s="2">
        <v>23</v>
      </c>
      <c r="H672" t="s" s="2">
        <v>17</v>
      </c>
      <c r="I672" s="3">
        <v>1</v>
      </c>
      <c r="J672" t="s" s="2">
        <v>33</v>
      </c>
      <c r="K672" t="s" s="2">
        <v>35</v>
      </c>
      <c r="L672" s="3">
        <v>59</v>
      </c>
      <c r="M672" t="s" s="2">
        <v>20</v>
      </c>
    </row>
    <row r="673" ht="13.55" customHeight="1">
      <c r="A673" s="3">
        <v>22252</v>
      </c>
      <c r="B673" t="s" s="2">
        <v>25</v>
      </c>
      <c r="C673" t="s" s="2">
        <v>14</v>
      </c>
      <c r="D673" s="4">
        <v>60000</v>
      </c>
      <c r="E673" s="3">
        <v>1</v>
      </c>
      <c r="F673" t="s" s="2">
        <v>34</v>
      </c>
      <c r="G673" t="s" s="2">
        <v>23</v>
      </c>
      <c r="H673" t="s" s="2">
        <v>17</v>
      </c>
      <c r="I673" s="3">
        <v>0</v>
      </c>
      <c r="J673" t="s" s="2">
        <v>24</v>
      </c>
      <c r="K673" t="s" s="2">
        <v>35</v>
      </c>
      <c r="L673" s="3">
        <v>36</v>
      </c>
      <c r="M673" t="s" s="2">
        <v>17</v>
      </c>
    </row>
    <row r="674" ht="13.55" customHeight="1">
      <c r="A674" s="3">
        <v>21260</v>
      </c>
      <c r="B674" t="s" s="2">
        <v>25</v>
      </c>
      <c r="C674" t="s" s="2">
        <v>14</v>
      </c>
      <c r="D674" s="4">
        <v>40000</v>
      </c>
      <c r="E674" s="3">
        <v>0</v>
      </c>
      <c r="F674" t="s" s="2">
        <v>30</v>
      </c>
      <c r="G674" t="s" s="2">
        <v>16</v>
      </c>
      <c r="H674" t="s" s="2">
        <v>17</v>
      </c>
      <c r="I674" s="3">
        <v>2</v>
      </c>
      <c r="J674" t="s" s="2">
        <v>26</v>
      </c>
      <c r="K674" t="s" s="2">
        <v>35</v>
      </c>
      <c r="L674" s="3">
        <v>30</v>
      </c>
      <c r="M674" t="s" s="2">
        <v>20</v>
      </c>
    </row>
    <row r="675" ht="13.55" customHeight="1">
      <c r="A675" s="3">
        <v>11817</v>
      </c>
      <c r="B675" t="s" s="2">
        <v>25</v>
      </c>
      <c r="C675" t="s" s="2">
        <v>14</v>
      </c>
      <c r="D675" s="4">
        <v>70000</v>
      </c>
      <c r="E675" s="3">
        <v>4</v>
      </c>
      <c r="F675" t="s" s="2">
        <v>34</v>
      </c>
      <c r="G675" t="s" s="2">
        <v>23</v>
      </c>
      <c r="H675" t="s" s="2">
        <v>17</v>
      </c>
      <c r="I675" s="3">
        <v>0</v>
      </c>
      <c r="J675" t="s" s="2">
        <v>24</v>
      </c>
      <c r="K675" t="s" s="2">
        <v>35</v>
      </c>
      <c r="L675" s="3">
        <v>35</v>
      </c>
      <c r="M675" t="s" s="2">
        <v>17</v>
      </c>
    </row>
    <row r="676" ht="13.55" customHeight="1">
      <c r="A676" s="3">
        <v>19223</v>
      </c>
      <c r="B676" t="s" s="2">
        <v>13</v>
      </c>
      <c r="C676" t="s" s="2">
        <v>14</v>
      </c>
      <c r="D676" s="4">
        <v>30000</v>
      </c>
      <c r="E676" s="3">
        <v>2</v>
      </c>
      <c r="F676" t="s" s="2">
        <v>30</v>
      </c>
      <c r="G676" t="s" s="2">
        <v>16</v>
      </c>
      <c r="H676" t="s" s="2">
        <v>17</v>
      </c>
      <c r="I676" s="3">
        <v>2</v>
      </c>
      <c r="J676" t="s" s="2">
        <v>29</v>
      </c>
      <c r="K676" t="s" s="2">
        <v>35</v>
      </c>
      <c r="L676" s="3">
        <v>48</v>
      </c>
      <c r="M676" t="s" s="2">
        <v>20</v>
      </c>
    </row>
    <row r="677" ht="13.55" customHeight="1">
      <c r="A677" s="3">
        <v>18517</v>
      </c>
      <c r="B677" t="s" s="2">
        <v>13</v>
      </c>
      <c r="C677" t="s" s="2">
        <v>13</v>
      </c>
      <c r="D677" s="4">
        <v>100000</v>
      </c>
      <c r="E677" s="3">
        <v>3</v>
      </c>
      <c r="F677" t="s" s="2">
        <v>15</v>
      </c>
      <c r="G677" t="s" s="2">
        <v>31</v>
      </c>
      <c r="H677" t="s" s="2">
        <v>17</v>
      </c>
      <c r="I677" s="3">
        <v>4</v>
      </c>
      <c r="J677" t="s" s="2">
        <v>18</v>
      </c>
      <c r="K677" t="s" s="2">
        <v>35</v>
      </c>
      <c r="L677" s="3">
        <v>41</v>
      </c>
      <c r="M677" t="s" s="2">
        <v>20</v>
      </c>
    </row>
    <row r="678" ht="13.55" customHeight="1">
      <c r="A678" s="3">
        <v>21717</v>
      </c>
      <c r="B678" t="s" s="2">
        <v>13</v>
      </c>
      <c r="C678" t="s" s="2">
        <v>13</v>
      </c>
      <c r="D678" s="4">
        <v>40000</v>
      </c>
      <c r="E678" s="3">
        <v>2</v>
      </c>
      <c r="F678" t="s" s="2">
        <v>21</v>
      </c>
      <c r="G678" t="s" s="2">
        <v>22</v>
      </c>
      <c r="H678" t="s" s="2">
        <v>17</v>
      </c>
      <c r="I678" s="3">
        <v>1</v>
      </c>
      <c r="J678" t="s" s="2">
        <v>18</v>
      </c>
      <c r="K678" t="s" s="2">
        <v>35</v>
      </c>
      <c r="L678" s="3">
        <v>47</v>
      </c>
      <c r="M678" t="s" s="2">
        <v>20</v>
      </c>
    </row>
    <row r="679" ht="13.55" customHeight="1">
      <c r="A679" s="3">
        <v>13760</v>
      </c>
      <c r="B679" t="s" s="2">
        <v>13</v>
      </c>
      <c r="C679" t="s" s="2">
        <v>13</v>
      </c>
      <c r="D679" s="4">
        <v>60000</v>
      </c>
      <c r="E679" s="3">
        <v>4</v>
      </c>
      <c r="F679" t="s" s="2">
        <v>34</v>
      </c>
      <c r="G679" t="s" s="2">
        <v>16</v>
      </c>
      <c r="H679" t="s" s="2">
        <v>20</v>
      </c>
      <c r="I679" s="3">
        <v>0</v>
      </c>
      <c r="J679" t="s" s="2">
        <v>18</v>
      </c>
      <c r="K679" t="s" s="2">
        <v>35</v>
      </c>
      <c r="L679" s="3">
        <v>47</v>
      </c>
      <c r="M679" t="s" s="2">
        <v>20</v>
      </c>
    </row>
    <row r="680" ht="13.55" customHeight="1">
      <c r="A680" s="3">
        <v>18145</v>
      </c>
      <c r="B680" t="s" s="2">
        <v>13</v>
      </c>
      <c r="C680" t="s" s="2">
        <v>13</v>
      </c>
      <c r="D680" s="4">
        <v>80000</v>
      </c>
      <c r="E680" s="3">
        <v>5</v>
      </c>
      <c r="F680" t="s" s="2">
        <v>15</v>
      </c>
      <c r="G680" t="s" s="2">
        <v>31</v>
      </c>
      <c r="H680" t="s" s="2">
        <v>20</v>
      </c>
      <c r="I680" s="3">
        <v>2</v>
      </c>
      <c r="J680" t="s" s="2">
        <v>24</v>
      </c>
      <c r="K680" t="s" s="2">
        <v>19</v>
      </c>
      <c r="L680" s="3">
        <v>62</v>
      </c>
      <c r="M680" t="s" s="2">
        <v>20</v>
      </c>
    </row>
    <row r="681" ht="13.55" customHeight="1">
      <c r="A681" s="3">
        <v>21770</v>
      </c>
      <c r="B681" t="s" s="2">
        <v>13</v>
      </c>
      <c r="C681" t="s" s="2">
        <v>13</v>
      </c>
      <c r="D681" s="4">
        <v>60000</v>
      </c>
      <c r="E681" s="3">
        <v>4</v>
      </c>
      <c r="F681" t="s" s="2">
        <v>15</v>
      </c>
      <c r="G681" t="s" s="2">
        <v>31</v>
      </c>
      <c r="H681" t="s" s="2">
        <v>17</v>
      </c>
      <c r="I681" s="3">
        <v>2</v>
      </c>
      <c r="J681" t="s" s="2">
        <v>33</v>
      </c>
      <c r="K681" t="s" s="2">
        <v>35</v>
      </c>
      <c r="L681" s="3">
        <v>60</v>
      </c>
      <c r="M681" t="s" s="2">
        <v>20</v>
      </c>
    </row>
    <row r="682" ht="13.55" customHeight="1">
      <c r="A682" s="3">
        <v>11165</v>
      </c>
      <c r="B682" t="s" s="2">
        <v>13</v>
      </c>
      <c r="C682" t="s" s="2">
        <v>14</v>
      </c>
      <c r="D682" s="4">
        <v>60000</v>
      </c>
      <c r="E682" s="3">
        <v>0</v>
      </c>
      <c r="F682" t="s" s="2">
        <v>21</v>
      </c>
      <c r="G682" t="s" s="2">
        <v>16</v>
      </c>
      <c r="H682" t="s" s="2">
        <v>20</v>
      </c>
      <c r="I682" s="3">
        <v>1</v>
      </c>
      <c r="J682" t="s" s="2">
        <v>29</v>
      </c>
      <c r="K682" t="s" s="2">
        <v>35</v>
      </c>
      <c r="L682" s="3">
        <v>33</v>
      </c>
      <c r="M682" t="s" s="2">
        <v>20</v>
      </c>
    </row>
    <row r="683" ht="13.55" customHeight="1">
      <c r="A683" s="3">
        <v>16377</v>
      </c>
      <c r="B683" t="s" s="2">
        <v>25</v>
      </c>
      <c r="C683" t="s" s="2">
        <v>14</v>
      </c>
      <c r="D683" s="4">
        <v>80000</v>
      </c>
      <c r="E683" s="3">
        <v>4</v>
      </c>
      <c r="F683" t="s" s="2">
        <v>34</v>
      </c>
      <c r="G683" t="s" s="2">
        <v>16</v>
      </c>
      <c r="H683" t="s" s="2">
        <v>20</v>
      </c>
      <c r="I683" s="3">
        <v>0</v>
      </c>
      <c r="J683" t="s" s="2">
        <v>18</v>
      </c>
      <c r="K683" t="s" s="2">
        <v>35</v>
      </c>
      <c r="L683" s="3">
        <v>47</v>
      </c>
      <c r="M683" t="s" s="2">
        <v>20</v>
      </c>
    </row>
    <row r="684" ht="13.55" customHeight="1">
      <c r="A684" s="3">
        <v>26248</v>
      </c>
      <c r="B684" t="s" s="2">
        <v>13</v>
      </c>
      <c r="C684" t="s" s="2">
        <v>13</v>
      </c>
      <c r="D684" s="4">
        <v>20000</v>
      </c>
      <c r="E684" s="3">
        <v>3</v>
      </c>
      <c r="F684" t="s" s="2">
        <v>32</v>
      </c>
      <c r="G684" t="s" s="2">
        <v>22</v>
      </c>
      <c r="H684" t="s" s="2">
        <v>20</v>
      </c>
      <c r="I684" s="3">
        <v>2</v>
      </c>
      <c r="J684" t="s" s="2">
        <v>18</v>
      </c>
      <c r="K684" t="s" s="2">
        <v>35</v>
      </c>
      <c r="L684" s="3">
        <v>52</v>
      </c>
      <c r="M684" t="s" s="2">
        <v>20</v>
      </c>
    </row>
    <row r="685" ht="13.55" customHeight="1">
      <c r="A685" s="3">
        <v>23461</v>
      </c>
      <c r="B685" t="s" s="2">
        <v>13</v>
      </c>
      <c r="C685" t="s" s="2">
        <v>14</v>
      </c>
      <c r="D685" s="4">
        <v>90000</v>
      </c>
      <c r="E685" s="3">
        <v>5</v>
      </c>
      <c r="F685" t="s" s="2">
        <v>21</v>
      </c>
      <c r="G685" t="s" s="2">
        <v>23</v>
      </c>
      <c r="H685" t="s" s="2">
        <v>17</v>
      </c>
      <c r="I685" s="3">
        <v>3</v>
      </c>
      <c r="J685" t="s" s="2">
        <v>24</v>
      </c>
      <c r="K685" t="s" s="2">
        <v>35</v>
      </c>
      <c r="L685" s="3">
        <v>40</v>
      </c>
      <c r="M685" t="s" s="2">
        <v>20</v>
      </c>
    </row>
    <row r="686" ht="13.55" customHeight="1">
      <c r="A686" s="3">
        <v>29133</v>
      </c>
      <c r="B686" t="s" s="2">
        <v>25</v>
      </c>
      <c r="C686" t="s" s="2">
        <v>14</v>
      </c>
      <c r="D686" s="4">
        <v>60000</v>
      </c>
      <c r="E686" s="3">
        <v>4</v>
      </c>
      <c r="F686" t="s" s="2">
        <v>15</v>
      </c>
      <c r="G686" t="s" s="2">
        <v>16</v>
      </c>
      <c r="H686" t="s" s="2">
        <v>20</v>
      </c>
      <c r="I686" s="3">
        <v>2</v>
      </c>
      <c r="J686" t="s" s="2">
        <v>18</v>
      </c>
      <c r="K686" t="s" s="2">
        <v>35</v>
      </c>
      <c r="L686" s="3">
        <v>42</v>
      </c>
      <c r="M686" t="s" s="2">
        <v>20</v>
      </c>
    </row>
    <row r="687" ht="13.55" customHeight="1">
      <c r="A687" s="3">
        <v>27673</v>
      </c>
      <c r="B687" t="s" s="2">
        <v>25</v>
      </c>
      <c r="C687" t="s" s="2">
        <v>14</v>
      </c>
      <c r="D687" s="4">
        <v>60000</v>
      </c>
      <c r="E687" s="3">
        <v>3</v>
      </c>
      <c r="F687" t="s" s="2">
        <v>34</v>
      </c>
      <c r="G687" t="s" s="2">
        <v>31</v>
      </c>
      <c r="H687" t="s" s="2">
        <v>17</v>
      </c>
      <c r="I687" s="3">
        <v>2</v>
      </c>
      <c r="J687" t="s" s="2">
        <v>26</v>
      </c>
      <c r="K687" t="s" s="2">
        <v>35</v>
      </c>
      <c r="L687" s="3">
        <v>53</v>
      </c>
      <c r="M687" t="s" s="2">
        <v>17</v>
      </c>
    </row>
    <row r="688" ht="13.55" customHeight="1">
      <c r="A688" s="3">
        <v>12774</v>
      </c>
      <c r="B688" t="s" s="2">
        <v>13</v>
      </c>
      <c r="C688" t="s" s="2">
        <v>14</v>
      </c>
      <c r="D688" s="4">
        <v>40000</v>
      </c>
      <c r="E688" s="3">
        <v>1</v>
      </c>
      <c r="F688" t="s" s="2">
        <v>21</v>
      </c>
      <c r="G688" t="s" s="2">
        <v>22</v>
      </c>
      <c r="H688" t="s" s="2">
        <v>17</v>
      </c>
      <c r="I688" s="3">
        <v>1</v>
      </c>
      <c r="J688" t="s" s="2">
        <v>29</v>
      </c>
      <c r="K688" t="s" s="2">
        <v>35</v>
      </c>
      <c r="L688" s="3">
        <v>51</v>
      </c>
      <c r="M688" t="s" s="2">
        <v>17</v>
      </c>
    </row>
    <row r="689" ht="13.55" customHeight="1">
      <c r="A689" s="3">
        <v>18910</v>
      </c>
      <c r="B689" t="s" s="2">
        <v>25</v>
      </c>
      <c r="C689" t="s" s="2">
        <v>13</v>
      </c>
      <c r="D689" s="4">
        <v>30000</v>
      </c>
      <c r="E689" s="3">
        <v>0</v>
      </c>
      <c r="F689" t="s" s="2">
        <v>21</v>
      </c>
      <c r="G689" t="s" s="2">
        <v>16</v>
      </c>
      <c r="H689" t="s" s="2">
        <v>17</v>
      </c>
      <c r="I689" s="3">
        <v>2</v>
      </c>
      <c r="J689" t="s" s="2">
        <v>26</v>
      </c>
      <c r="K689" t="s" s="2">
        <v>35</v>
      </c>
      <c r="L689" s="3">
        <v>30</v>
      </c>
      <c r="M689" t="s" s="2">
        <v>20</v>
      </c>
    </row>
    <row r="690" ht="13.55" customHeight="1">
      <c r="A690" s="3">
        <v>11699</v>
      </c>
      <c r="B690" t="s" s="2">
        <v>25</v>
      </c>
      <c r="C690" t="s" s="2">
        <v>13</v>
      </c>
      <c r="D690" s="4">
        <v>60000</v>
      </c>
      <c r="E690" s="3">
        <v>0</v>
      </c>
      <c r="F690" t="s" s="2">
        <v>15</v>
      </c>
      <c r="G690" t="s" s="2">
        <v>16</v>
      </c>
      <c r="H690" t="s" s="2">
        <v>20</v>
      </c>
      <c r="I690" s="3">
        <v>2</v>
      </c>
      <c r="J690" t="s" s="2">
        <v>18</v>
      </c>
      <c r="K690" t="s" s="2">
        <v>35</v>
      </c>
      <c r="L690" s="3">
        <v>30</v>
      </c>
      <c r="M690" t="s" s="2">
        <v>20</v>
      </c>
    </row>
    <row r="691" ht="13.55" customHeight="1">
      <c r="A691" s="3">
        <v>16725</v>
      </c>
      <c r="B691" t="s" s="2">
        <v>13</v>
      </c>
      <c r="C691" t="s" s="2">
        <v>13</v>
      </c>
      <c r="D691" s="4">
        <v>30000</v>
      </c>
      <c r="E691" s="3">
        <v>0</v>
      </c>
      <c r="F691" t="s" s="2">
        <v>30</v>
      </c>
      <c r="G691" t="s" s="2">
        <v>16</v>
      </c>
      <c r="H691" t="s" s="2">
        <v>17</v>
      </c>
      <c r="I691" s="3">
        <v>2</v>
      </c>
      <c r="J691" t="s" s="2">
        <v>26</v>
      </c>
      <c r="K691" t="s" s="2">
        <v>35</v>
      </c>
      <c r="L691" s="3">
        <v>26</v>
      </c>
      <c r="M691" t="s" s="2">
        <v>20</v>
      </c>
    </row>
    <row r="692" ht="13.55" customHeight="1">
      <c r="A692" s="3">
        <v>28269</v>
      </c>
      <c r="B692" t="s" s="2">
        <v>25</v>
      </c>
      <c r="C692" t="s" s="2">
        <v>14</v>
      </c>
      <c r="D692" s="4">
        <v>130000</v>
      </c>
      <c r="E692" s="3">
        <v>1</v>
      </c>
      <c r="F692" t="s" s="2">
        <v>15</v>
      </c>
      <c r="G692" t="s" s="2">
        <v>31</v>
      </c>
      <c r="H692" t="s" s="2">
        <v>20</v>
      </c>
      <c r="I692" s="3">
        <v>1</v>
      </c>
      <c r="J692" t="s" s="2">
        <v>24</v>
      </c>
      <c r="K692" t="s" s="2">
        <v>35</v>
      </c>
      <c r="L692" s="3">
        <v>45</v>
      </c>
      <c r="M692" t="s" s="2">
        <v>20</v>
      </c>
    </row>
    <row r="693" ht="13.55" customHeight="1">
      <c r="A693" s="3">
        <v>23144</v>
      </c>
      <c r="B693" t="s" s="2">
        <v>13</v>
      </c>
      <c r="C693" t="s" s="2">
        <v>13</v>
      </c>
      <c r="D693" s="4">
        <v>50000</v>
      </c>
      <c r="E693" s="3">
        <v>1</v>
      </c>
      <c r="F693" t="s" s="2">
        <v>15</v>
      </c>
      <c r="G693" t="s" s="2">
        <v>16</v>
      </c>
      <c r="H693" t="s" s="2">
        <v>17</v>
      </c>
      <c r="I693" s="3">
        <v>0</v>
      </c>
      <c r="J693" t="s" s="2">
        <v>18</v>
      </c>
      <c r="K693" t="s" s="2">
        <v>35</v>
      </c>
      <c r="L693" s="3">
        <v>34</v>
      </c>
      <c r="M693" t="s" s="2">
        <v>17</v>
      </c>
    </row>
    <row r="694" ht="13.55" customHeight="1">
      <c r="A694" s="3">
        <v>23376</v>
      </c>
      <c r="B694" t="s" s="2">
        <v>13</v>
      </c>
      <c r="C694" t="s" s="2">
        <v>13</v>
      </c>
      <c r="D694" s="4">
        <v>70000</v>
      </c>
      <c r="E694" s="3">
        <v>1</v>
      </c>
      <c r="F694" t="s" s="2">
        <v>15</v>
      </c>
      <c r="G694" t="s" s="2">
        <v>23</v>
      </c>
      <c r="H694" t="s" s="2">
        <v>17</v>
      </c>
      <c r="I694" s="3">
        <v>1</v>
      </c>
      <c r="J694" t="s" s="2">
        <v>24</v>
      </c>
      <c r="K694" t="s" s="2">
        <v>35</v>
      </c>
      <c r="L694" s="3">
        <v>44</v>
      </c>
      <c r="M694" t="s" s="2">
        <v>17</v>
      </c>
    </row>
    <row r="695" ht="13.55" customHeight="1">
      <c r="A695" s="3">
        <v>25970</v>
      </c>
      <c r="B695" t="s" s="2">
        <v>25</v>
      </c>
      <c r="C695" t="s" s="2">
        <v>14</v>
      </c>
      <c r="D695" s="4">
        <v>60000</v>
      </c>
      <c r="E695" s="3">
        <v>4</v>
      </c>
      <c r="F695" t="s" s="2">
        <v>15</v>
      </c>
      <c r="G695" t="s" s="2">
        <v>16</v>
      </c>
      <c r="H695" t="s" s="2">
        <v>20</v>
      </c>
      <c r="I695" s="3">
        <v>2</v>
      </c>
      <c r="J695" t="s" s="2">
        <v>18</v>
      </c>
      <c r="K695" t="s" s="2">
        <v>35</v>
      </c>
      <c r="L695" s="3">
        <v>41</v>
      </c>
      <c r="M695" t="s" s="2">
        <v>17</v>
      </c>
    </row>
    <row r="696" ht="13.55" customHeight="1">
      <c r="A696" s="3">
        <v>28068</v>
      </c>
      <c r="B696" t="s" s="2">
        <v>25</v>
      </c>
      <c r="C696" t="s" s="2">
        <v>14</v>
      </c>
      <c r="D696" s="4">
        <v>80000</v>
      </c>
      <c r="E696" s="3">
        <v>3</v>
      </c>
      <c r="F696" t="s" s="2">
        <v>34</v>
      </c>
      <c r="G696" t="s" s="2">
        <v>23</v>
      </c>
      <c r="H696" t="s" s="2">
        <v>20</v>
      </c>
      <c r="I696" s="3">
        <v>0</v>
      </c>
      <c r="J696" t="s" s="2">
        <v>18</v>
      </c>
      <c r="K696" t="s" s="2">
        <v>35</v>
      </c>
      <c r="L696" s="3">
        <v>36</v>
      </c>
      <c r="M696" t="s" s="2">
        <v>17</v>
      </c>
    </row>
    <row r="697" ht="13.55" customHeight="1">
      <c r="A697" s="3">
        <v>18390</v>
      </c>
      <c r="B697" t="s" s="2">
        <v>13</v>
      </c>
      <c r="C697" t="s" s="2">
        <v>13</v>
      </c>
      <c r="D697" s="4">
        <v>80000</v>
      </c>
      <c r="E697" s="3">
        <v>5</v>
      </c>
      <c r="F697" t="s" s="2">
        <v>21</v>
      </c>
      <c r="G697" t="s" s="2">
        <v>23</v>
      </c>
      <c r="H697" t="s" s="2">
        <v>17</v>
      </c>
      <c r="I697" s="3">
        <v>2</v>
      </c>
      <c r="J697" t="s" s="2">
        <v>18</v>
      </c>
      <c r="K697" t="s" s="2">
        <v>35</v>
      </c>
      <c r="L697" s="3">
        <v>44</v>
      </c>
      <c r="M697" t="s" s="2">
        <v>20</v>
      </c>
    </row>
    <row r="698" ht="13.55" customHeight="1">
      <c r="A698" s="3">
        <v>29112</v>
      </c>
      <c r="B698" t="s" s="2">
        <v>25</v>
      </c>
      <c r="C698" t="s" s="2">
        <v>13</v>
      </c>
      <c r="D698" s="4">
        <v>60000</v>
      </c>
      <c r="E698" s="3">
        <v>0</v>
      </c>
      <c r="F698" t="s" s="2">
        <v>21</v>
      </c>
      <c r="G698" t="s" s="2">
        <v>23</v>
      </c>
      <c r="H698" t="s" s="2">
        <v>20</v>
      </c>
      <c r="I698" s="3">
        <v>2</v>
      </c>
      <c r="J698" t="s" s="2">
        <v>29</v>
      </c>
      <c r="K698" t="s" s="2">
        <v>35</v>
      </c>
      <c r="L698" s="3">
        <v>30</v>
      </c>
      <c r="M698" t="s" s="2">
        <v>20</v>
      </c>
    </row>
    <row r="699" ht="13.55" customHeight="1">
      <c r="A699" s="3">
        <v>14090</v>
      </c>
      <c r="B699" t="s" s="2">
        <v>13</v>
      </c>
      <c r="C699" t="s" s="2">
        <v>14</v>
      </c>
      <c r="D699" s="4">
        <v>30000</v>
      </c>
      <c r="E699" s="3">
        <v>0</v>
      </c>
      <c r="F699" t="s" s="2">
        <v>32</v>
      </c>
      <c r="G699" t="s" s="2">
        <v>22</v>
      </c>
      <c r="H699" t="s" s="2">
        <v>20</v>
      </c>
      <c r="I699" s="3">
        <v>2</v>
      </c>
      <c r="J699" t="s" s="2">
        <v>18</v>
      </c>
      <c r="K699" t="s" s="2">
        <v>35</v>
      </c>
      <c r="L699" s="3">
        <v>28</v>
      </c>
      <c r="M699" t="s" s="2">
        <v>20</v>
      </c>
    </row>
    <row r="700" ht="13.55" customHeight="1">
      <c r="A700" s="3">
        <v>27040</v>
      </c>
      <c r="B700" t="s" s="2">
        <v>13</v>
      </c>
      <c r="C700" t="s" s="2">
        <v>13</v>
      </c>
      <c r="D700" s="4">
        <v>20000</v>
      </c>
      <c r="E700" s="3">
        <v>2</v>
      </c>
      <c r="F700" t="s" s="2">
        <v>32</v>
      </c>
      <c r="G700" t="s" s="2">
        <v>22</v>
      </c>
      <c r="H700" t="s" s="2">
        <v>17</v>
      </c>
      <c r="I700" s="3">
        <v>2</v>
      </c>
      <c r="J700" t="s" s="2">
        <v>29</v>
      </c>
      <c r="K700" t="s" s="2">
        <v>35</v>
      </c>
      <c r="L700" s="3">
        <v>49</v>
      </c>
      <c r="M700" t="s" s="2">
        <v>20</v>
      </c>
    </row>
    <row r="701" ht="13.55" customHeight="1">
      <c r="A701" s="3">
        <v>23479</v>
      </c>
      <c r="B701" t="s" s="2">
        <v>25</v>
      </c>
      <c r="C701" t="s" s="2">
        <v>13</v>
      </c>
      <c r="D701" s="4">
        <v>90000</v>
      </c>
      <c r="E701" s="3">
        <v>0</v>
      </c>
      <c r="F701" t="s" s="2">
        <v>21</v>
      </c>
      <c r="G701" t="s" s="2">
        <v>23</v>
      </c>
      <c r="H701" t="s" s="2">
        <v>20</v>
      </c>
      <c r="I701" s="3">
        <v>2</v>
      </c>
      <c r="J701" t="s" s="2">
        <v>18</v>
      </c>
      <c r="K701" t="s" s="2">
        <v>35</v>
      </c>
      <c r="L701" s="3">
        <v>43</v>
      </c>
      <c r="M701" t="s" s="2">
        <v>17</v>
      </c>
    </row>
    <row r="702" ht="13.55" customHeight="1">
      <c r="A702" s="3">
        <v>16795</v>
      </c>
      <c r="B702" t="s" s="2">
        <v>13</v>
      </c>
      <c r="C702" t="s" s="2">
        <v>14</v>
      </c>
      <c r="D702" s="4">
        <v>70000</v>
      </c>
      <c r="E702" s="3">
        <v>4</v>
      </c>
      <c r="F702" t="s" s="2">
        <v>15</v>
      </c>
      <c r="G702" t="s" s="2">
        <v>31</v>
      </c>
      <c r="H702" t="s" s="2">
        <v>17</v>
      </c>
      <c r="I702" s="3">
        <v>1</v>
      </c>
      <c r="J702" t="s" s="2">
        <v>29</v>
      </c>
      <c r="K702" t="s" s="2">
        <v>35</v>
      </c>
      <c r="L702" s="3">
        <v>59</v>
      </c>
      <c r="M702" t="s" s="2">
        <v>20</v>
      </c>
    </row>
    <row r="703" ht="13.55" customHeight="1">
      <c r="A703" s="3">
        <v>22014</v>
      </c>
      <c r="B703" t="s" s="2">
        <v>25</v>
      </c>
      <c r="C703" t="s" s="2">
        <v>13</v>
      </c>
      <c r="D703" s="4">
        <v>30000</v>
      </c>
      <c r="E703" s="3">
        <v>0</v>
      </c>
      <c r="F703" t="s" s="2">
        <v>30</v>
      </c>
      <c r="G703" t="s" s="2">
        <v>16</v>
      </c>
      <c r="H703" t="s" s="2">
        <v>17</v>
      </c>
      <c r="I703" s="3">
        <v>2</v>
      </c>
      <c r="J703" t="s" s="2">
        <v>26</v>
      </c>
      <c r="K703" t="s" s="2">
        <v>35</v>
      </c>
      <c r="L703" s="3">
        <v>26</v>
      </c>
      <c r="M703" t="s" s="2">
        <v>20</v>
      </c>
    </row>
    <row r="704" ht="13.55" customHeight="1">
      <c r="A704" s="3">
        <v>13314</v>
      </c>
      <c r="B704" t="s" s="2">
        <v>13</v>
      </c>
      <c r="C704" t="s" s="2">
        <v>13</v>
      </c>
      <c r="D704" s="4">
        <v>120000</v>
      </c>
      <c r="E704" s="3">
        <v>1</v>
      </c>
      <c r="F704" t="s" s="2">
        <v>30</v>
      </c>
      <c r="G704" t="s" s="2">
        <v>23</v>
      </c>
      <c r="H704" t="s" s="2">
        <v>17</v>
      </c>
      <c r="I704" s="3">
        <v>4</v>
      </c>
      <c r="J704" t="s" s="2">
        <v>26</v>
      </c>
      <c r="K704" t="s" s="2">
        <v>35</v>
      </c>
      <c r="L704" s="3">
        <v>46</v>
      </c>
      <c r="M704" t="s" s="2">
        <v>17</v>
      </c>
    </row>
    <row r="705" ht="13.55" customHeight="1">
      <c r="A705" s="3">
        <v>11619</v>
      </c>
      <c r="B705" t="s" s="2">
        <v>25</v>
      </c>
      <c r="C705" t="s" s="2">
        <v>14</v>
      </c>
      <c r="D705" s="4">
        <v>50000</v>
      </c>
      <c r="E705" s="3">
        <v>0</v>
      </c>
      <c r="F705" t="s" s="2">
        <v>34</v>
      </c>
      <c r="G705" t="s" s="2">
        <v>16</v>
      </c>
      <c r="H705" t="s" s="2">
        <v>17</v>
      </c>
      <c r="I705" s="3">
        <v>0</v>
      </c>
      <c r="J705" t="s" s="2">
        <v>29</v>
      </c>
      <c r="K705" t="s" s="2">
        <v>35</v>
      </c>
      <c r="L705" s="3">
        <v>33</v>
      </c>
      <c r="M705" t="s" s="2">
        <v>20</v>
      </c>
    </row>
    <row r="706" ht="13.55" customHeight="1">
      <c r="A706" s="3">
        <v>29132</v>
      </c>
      <c r="B706" t="s" s="2">
        <v>25</v>
      </c>
      <c r="C706" t="s" s="2">
        <v>14</v>
      </c>
      <c r="D706" s="4">
        <v>40000</v>
      </c>
      <c r="E706" s="3">
        <v>0</v>
      </c>
      <c r="F706" t="s" s="2">
        <v>15</v>
      </c>
      <c r="G706" t="s" s="2">
        <v>23</v>
      </c>
      <c r="H706" t="s" s="2">
        <v>17</v>
      </c>
      <c r="I706" s="3">
        <v>1</v>
      </c>
      <c r="J706" t="s" s="2">
        <v>24</v>
      </c>
      <c r="K706" t="s" s="2">
        <v>35</v>
      </c>
      <c r="L706" s="3">
        <v>42</v>
      </c>
      <c r="M706" t="s" s="2">
        <v>17</v>
      </c>
    </row>
    <row r="707" ht="13.55" customHeight="1">
      <c r="A707" s="3">
        <v>11199</v>
      </c>
      <c r="B707" t="s" s="2">
        <v>13</v>
      </c>
      <c r="C707" t="s" s="2">
        <v>14</v>
      </c>
      <c r="D707" s="4">
        <v>70000</v>
      </c>
      <c r="E707" s="3">
        <v>4</v>
      </c>
      <c r="F707" t="s" s="2">
        <v>15</v>
      </c>
      <c r="G707" t="s" s="2">
        <v>31</v>
      </c>
      <c r="H707" t="s" s="2">
        <v>17</v>
      </c>
      <c r="I707" s="3">
        <v>1</v>
      </c>
      <c r="J707" t="s" s="2">
        <v>33</v>
      </c>
      <c r="K707" t="s" s="2">
        <v>35</v>
      </c>
      <c r="L707" s="3">
        <v>59</v>
      </c>
      <c r="M707" t="s" s="2">
        <v>20</v>
      </c>
    </row>
    <row r="708" ht="13.55" customHeight="1">
      <c r="A708" s="3">
        <v>20296</v>
      </c>
      <c r="B708" t="s" s="2">
        <v>25</v>
      </c>
      <c r="C708" t="s" s="2">
        <v>14</v>
      </c>
      <c r="D708" s="4">
        <v>60000</v>
      </c>
      <c r="E708" s="3">
        <v>0</v>
      </c>
      <c r="F708" t="s" s="2">
        <v>21</v>
      </c>
      <c r="G708" t="s" s="2">
        <v>16</v>
      </c>
      <c r="H708" t="s" s="2">
        <v>20</v>
      </c>
      <c r="I708" s="3">
        <v>1</v>
      </c>
      <c r="J708" t="s" s="2">
        <v>29</v>
      </c>
      <c r="K708" t="s" s="2">
        <v>35</v>
      </c>
      <c r="L708" s="3">
        <v>33</v>
      </c>
      <c r="M708" t="s" s="2">
        <v>17</v>
      </c>
    </row>
    <row r="709" ht="13.55" customHeight="1">
      <c r="A709" s="3">
        <v>17546</v>
      </c>
      <c r="B709" t="s" s="2">
        <v>13</v>
      </c>
      <c r="C709" t="s" s="2">
        <v>14</v>
      </c>
      <c r="D709" s="4">
        <v>70000</v>
      </c>
      <c r="E709" s="3">
        <v>1</v>
      </c>
      <c r="F709" t="s" s="2">
        <v>21</v>
      </c>
      <c r="G709" t="s" s="2">
        <v>16</v>
      </c>
      <c r="H709" t="s" s="2">
        <v>17</v>
      </c>
      <c r="I709" s="3">
        <v>1</v>
      </c>
      <c r="J709" t="s" s="2">
        <v>18</v>
      </c>
      <c r="K709" t="s" s="2">
        <v>35</v>
      </c>
      <c r="L709" s="3">
        <v>44</v>
      </c>
      <c r="M709" t="s" s="2">
        <v>17</v>
      </c>
    </row>
    <row r="710" ht="13.55" customHeight="1">
      <c r="A710" s="3">
        <v>18069</v>
      </c>
      <c r="B710" t="s" s="2">
        <v>13</v>
      </c>
      <c r="C710" t="s" s="2">
        <v>13</v>
      </c>
      <c r="D710" s="4">
        <v>70000</v>
      </c>
      <c r="E710" s="3">
        <v>5</v>
      </c>
      <c r="F710" t="s" s="2">
        <v>15</v>
      </c>
      <c r="G710" t="s" s="2">
        <v>31</v>
      </c>
      <c r="H710" t="s" s="2">
        <v>17</v>
      </c>
      <c r="I710" s="3">
        <v>4</v>
      </c>
      <c r="J710" t="s" s="2">
        <v>33</v>
      </c>
      <c r="K710" t="s" s="2">
        <v>35</v>
      </c>
      <c r="L710" s="3">
        <v>60</v>
      </c>
      <c r="M710" t="s" s="2">
        <v>20</v>
      </c>
    </row>
    <row r="711" ht="13.55" customHeight="1">
      <c r="A711" s="3">
        <v>23712</v>
      </c>
      <c r="B711" t="s" s="2">
        <v>25</v>
      </c>
      <c r="C711" t="s" s="2">
        <v>14</v>
      </c>
      <c r="D711" s="4">
        <v>70000</v>
      </c>
      <c r="E711" s="3">
        <v>2</v>
      </c>
      <c r="F711" t="s" s="2">
        <v>15</v>
      </c>
      <c r="G711" t="s" s="2">
        <v>31</v>
      </c>
      <c r="H711" t="s" s="2">
        <v>17</v>
      </c>
      <c r="I711" s="3">
        <v>1</v>
      </c>
      <c r="J711" t="s" s="2">
        <v>33</v>
      </c>
      <c r="K711" t="s" s="2">
        <v>35</v>
      </c>
      <c r="L711" s="3">
        <v>59</v>
      </c>
      <c r="M711" t="s" s="2">
        <v>20</v>
      </c>
    </row>
    <row r="712" ht="13.55" customHeight="1">
      <c r="A712" s="3">
        <v>23358</v>
      </c>
      <c r="B712" t="s" s="2">
        <v>13</v>
      </c>
      <c r="C712" t="s" s="2">
        <v>13</v>
      </c>
      <c r="D712" s="4">
        <v>60000</v>
      </c>
      <c r="E712" s="3">
        <v>0</v>
      </c>
      <c r="F712" t="s" s="2">
        <v>30</v>
      </c>
      <c r="G712" t="s" s="2">
        <v>23</v>
      </c>
      <c r="H712" t="s" s="2">
        <v>17</v>
      </c>
      <c r="I712" s="3">
        <v>2</v>
      </c>
      <c r="J712" t="s" s="2">
        <v>26</v>
      </c>
      <c r="K712" t="s" s="2">
        <v>35</v>
      </c>
      <c r="L712" s="3">
        <v>32</v>
      </c>
      <c r="M712" t="s" s="2">
        <v>17</v>
      </c>
    </row>
    <row r="713" ht="13.55" customHeight="1">
      <c r="A713" s="3">
        <v>20518</v>
      </c>
      <c r="B713" t="s" s="2">
        <v>13</v>
      </c>
      <c r="C713" t="s" s="2">
        <v>14</v>
      </c>
      <c r="D713" s="4">
        <v>70000</v>
      </c>
      <c r="E713" s="3">
        <v>2</v>
      </c>
      <c r="F713" t="s" s="2">
        <v>21</v>
      </c>
      <c r="G713" t="s" s="2">
        <v>23</v>
      </c>
      <c r="H713" t="s" s="2">
        <v>17</v>
      </c>
      <c r="I713" s="3">
        <v>1</v>
      </c>
      <c r="J713" t="s" s="2">
        <v>33</v>
      </c>
      <c r="K713" t="s" s="2">
        <v>35</v>
      </c>
      <c r="L713" s="3">
        <v>58</v>
      </c>
      <c r="M713" t="s" s="2">
        <v>20</v>
      </c>
    </row>
    <row r="714" ht="13.55" customHeight="1">
      <c r="A714" s="3">
        <v>28026</v>
      </c>
      <c r="B714" t="s" s="2">
        <v>13</v>
      </c>
      <c r="C714" t="s" s="2">
        <v>14</v>
      </c>
      <c r="D714" s="4">
        <v>40000</v>
      </c>
      <c r="E714" s="3">
        <v>2</v>
      </c>
      <c r="F714" t="s" s="2">
        <v>30</v>
      </c>
      <c r="G714" t="s" s="2">
        <v>23</v>
      </c>
      <c r="H714" t="s" s="2">
        <v>20</v>
      </c>
      <c r="I714" s="3">
        <v>2</v>
      </c>
      <c r="J714" t="s" s="2">
        <v>24</v>
      </c>
      <c r="K714" t="s" s="2">
        <v>35</v>
      </c>
      <c r="L714" s="3">
        <v>59</v>
      </c>
      <c r="M714" t="s" s="2">
        <v>20</v>
      </c>
    </row>
    <row r="715" ht="13.55" customHeight="1">
      <c r="A715" s="3">
        <v>11669</v>
      </c>
      <c r="B715" t="s" s="2">
        <v>25</v>
      </c>
      <c r="C715" t="s" s="2">
        <v>14</v>
      </c>
      <c r="D715" s="4">
        <v>70000</v>
      </c>
      <c r="E715" s="3">
        <v>2</v>
      </c>
      <c r="F715" t="s" s="2">
        <v>15</v>
      </c>
      <c r="G715" t="s" s="2">
        <v>16</v>
      </c>
      <c r="H715" t="s" s="2">
        <v>17</v>
      </c>
      <c r="I715" s="3">
        <v>1</v>
      </c>
      <c r="J715" t="s" s="2">
        <v>24</v>
      </c>
      <c r="K715" t="s" s="2">
        <v>35</v>
      </c>
      <c r="L715" s="3">
        <v>38</v>
      </c>
      <c r="M715" t="s" s="2">
        <v>20</v>
      </c>
    </row>
    <row r="716" ht="13.55" customHeight="1">
      <c r="A716" s="3">
        <v>16020</v>
      </c>
      <c r="B716" t="s" s="2">
        <v>13</v>
      </c>
      <c r="C716" t="s" s="2">
        <v>13</v>
      </c>
      <c r="D716" s="4">
        <v>40000</v>
      </c>
      <c r="E716" s="3">
        <v>0</v>
      </c>
      <c r="F716" t="s" s="2">
        <v>30</v>
      </c>
      <c r="G716" t="s" s="2">
        <v>16</v>
      </c>
      <c r="H716" t="s" s="2">
        <v>17</v>
      </c>
      <c r="I716" s="3">
        <v>2</v>
      </c>
      <c r="J716" t="s" s="2">
        <v>26</v>
      </c>
      <c r="K716" t="s" s="2">
        <v>35</v>
      </c>
      <c r="L716" s="3">
        <v>28</v>
      </c>
      <c r="M716" t="s" s="2">
        <v>17</v>
      </c>
    </row>
    <row r="717" ht="13.55" customHeight="1">
      <c r="A717" s="3">
        <v>27090</v>
      </c>
      <c r="B717" t="s" s="2">
        <v>13</v>
      </c>
      <c r="C717" t="s" s="2">
        <v>14</v>
      </c>
      <c r="D717" s="4">
        <v>60000</v>
      </c>
      <c r="E717" s="3">
        <v>1</v>
      </c>
      <c r="F717" t="s" s="2">
        <v>34</v>
      </c>
      <c r="G717" t="s" s="2">
        <v>23</v>
      </c>
      <c r="H717" t="s" s="2">
        <v>17</v>
      </c>
      <c r="I717" s="3">
        <v>0</v>
      </c>
      <c r="J717" t="s" s="2">
        <v>24</v>
      </c>
      <c r="K717" t="s" s="2">
        <v>35</v>
      </c>
      <c r="L717" s="3">
        <v>37</v>
      </c>
      <c r="M717" t="s" s="2">
        <v>17</v>
      </c>
    </row>
    <row r="718" ht="13.55" customHeight="1">
      <c r="A718" s="3">
        <v>27198</v>
      </c>
      <c r="B718" t="s" s="2">
        <v>25</v>
      </c>
      <c r="C718" t="s" s="2">
        <v>14</v>
      </c>
      <c r="D718" s="4">
        <v>80000</v>
      </c>
      <c r="E718" s="3">
        <v>0</v>
      </c>
      <c r="F718" t="s" s="2">
        <v>34</v>
      </c>
      <c r="G718" t="s" s="2">
        <v>16</v>
      </c>
      <c r="H718" t="s" s="2">
        <v>20</v>
      </c>
      <c r="I718" s="3">
        <v>0</v>
      </c>
      <c r="J718" t="s" s="2">
        <v>18</v>
      </c>
      <c r="K718" t="s" s="2">
        <v>35</v>
      </c>
      <c r="L718" s="3">
        <v>40</v>
      </c>
      <c r="M718" t="s" s="2">
        <v>20</v>
      </c>
    </row>
    <row r="719" ht="13.55" customHeight="1">
      <c r="A719" s="3">
        <v>19661</v>
      </c>
      <c r="B719" t="s" s="2">
        <v>25</v>
      </c>
      <c r="C719" t="s" s="2">
        <v>13</v>
      </c>
      <c r="D719" s="4">
        <v>90000</v>
      </c>
      <c r="E719" s="3">
        <v>4</v>
      </c>
      <c r="F719" t="s" s="2">
        <v>15</v>
      </c>
      <c r="G719" t="s" s="2">
        <v>31</v>
      </c>
      <c r="H719" t="s" s="2">
        <v>17</v>
      </c>
      <c r="I719" s="3">
        <v>1</v>
      </c>
      <c r="J719" t="s" s="2">
        <v>29</v>
      </c>
      <c r="K719" t="s" s="2">
        <v>35</v>
      </c>
      <c r="L719" s="3">
        <v>38</v>
      </c>
      <c r="M719" t="s" s="2">
        <v>17</v>
      </c>
    </row>
    <row r="720" ht="13.55" customHeight="1">
      <c r="A720" s="3">
        <v>26327</v>
      </c>
      <c r="B720" t="s" s="2">
        <v>13</v>
      </c>
      <c r="C720" t="s" s="2">
        <v>13</v>
      </c>
      <c r="D720" s="4">
        <v>70000</v>
      </c>
      <c r="E720" s="3">
        <v>4</v>
      </c>
      <c r="F720" t="s" s="2">
        <v>34</v>
      </c>
      <c r="G720" t="s" s="2">
        <v>23</v>
      </c>
      <c r="H720" t="s" s="2">
        <v>17</v>
      </c>
      <c r="I720" s="3">
        <v>0</v>
      </c>
      <c r="J720" t="s" s="2">
        <v>24</v>
      </c>
      <c r="K720" t="s" s="2">
        <v>35</v>
      </c>
      <c r="L720" s="3">
        <v>36</v>
      </c>
      <c r="M720" t="s" s="2">
        <v>17</v>
      </c>
    </row>
    <row r="721" ht="13.55" customHeight="1">
      <c r="A721" s="3">
        <v>26341</v>
      </c>
      <c r="B721" t="s" s="2">
        <v>13</v>
      </c>
      <c r="C721" t="s" s="2">
        <v>14</v>
      </c>
      <c r="D721" s="4">
        <v>70000</v>
      </c>
      <c r="E721" s="3">
        <v>5</v>
      </c>
      <c r="F721" t="s" s="2">
        <v>34</v>
      </c>
      <c r="G721" t="s" s="2">
        <v>23</v>
      </c>
      <c r="H721" t="s" s="2">
        <v>17</v>
      </c>
      <c r="I721" s="3">
        <v>2</v>
      </c>
      <c r="J721" t="s" s="2">
        <v>18</v>
      </c>
      <c r="K721" t="s" s="2">
        <v>35</v>
      </c>
      <c r="L721" s="3">
        <v>37</v>
      </c>
      <c r="M721" t="s" s="2">
        <v>20</v>
      </c>
    </row>
    <row r="722" ht="13.55" customHeight="1">
      <c r="A722" s="3">
        <v>24958</v>
      </c>
      <c r="B722" t="s" s="2">
        <v>25</v>
      </c>
      <c r="C722" t="s" s="2">
        <v>14</v>
      </c>
      <c r="D722" s="4">
        <v>40000</v>
      </c>
      <c r="E722" s="3">
        <v>5</v>
      </c>
      <c r="F722" t="s" s="2">
        <v>30</v>
      </c>
      <c r="G722" t="s" s="2">
        <v>23</v>
      </c>
      <c r="H722" t="s" s="2">
        <v>20</v>
      </c>
      <c r="I722" s="3">
        <v>3</v>
      </c>
      <c r="J722" t="s" s="2">
        <v>24</v>
      </c>
      <c r="K722" t="s" s="2">
        <v>35</v>
      </c>
      <c r="L722" s="3">
        <v>60</v>
      </c>
      <c r="M722" t="s" s="2">
        <v>17</v>
      </c>
    </row>
    <row r="723" ht="13.55" customHeight="1">
      <c r="A723" s="3">
        <v>13287</v>
      </c>
      <c r="B723" t="s" s="2">
        <v>25</v>
      </c>
      <c r="C723" t="s" s="2">
        <v>13</v>
      </c>
      <c r="D723" s="4">
        <v>110000</v>
      </c>
      <c r="E723" s="3">
        <v>4</v>
      </c>
      <c r="F723" t="s" s="2">
        <v>15</v>
      </c>
      <c r="G723" t="s" s="2">
        <v>31</v>
      </c>
      <c r="H723" t="s" s="2">
        <v>17</v>
      </c>
      <c r="I723" s="3">
        <v>4</v>
      </c>
      <c r="J723" t="s" s="2">
        <v>26</v>
      </c>
      <c r="K723" t="s" s="2">
        <v>35</v>
      </c>
      <c r="L723" s="3">
        <v>42</v>
      </c>
      <c r="M723" t="s" s="2">
        <v>17</v>
      </c>
    </row>
    <row r="724" ht="13.55" customHeight="1">
      <c r="A724" s="3">
        <v>14493</v>
      </c>
      <c r="B724" t="s" s="2">
        <v>25</v>
      </c>
      <c r="C724" t="s" s="2">
        <v>14</v>
      </c>
      <c r="D724" s="4">
        <v>70000</v>
      </c>
      <c r="E724" s="3">
        <v>3</v>
      </c>
      <c r="F724" t="s" s="2">
        <v>34</v>
      </c>
      <c r="G724" t="s" s="2">
        <v>31</v>
      </c>
      <c r="H724" t="s" s="2">
        <v>20</v>
      </c>
      <c r="I724" s="3">
        <v>2</v>
      </c>
      <c r="J724" t="s" s="2">
        <v>29</v>
      </c>
      <c r="K724" t="s" s="2">
        <v>35</v>
      </c>
      <c r="L724" s="3">
        <v>53</v>
      </c>
      <c r="M724" t="s" s="2">
        <v>20</v>
      </c>
    </row>
    <row r="725" ht="13.55" customHeight="1">
      <c r="A725" s="3">
        <v>26678</v>
      </c>
      <c r="B725" t="s" s="2">
        <v>25</v>
      </c>
      <c r="C725" t="s" s="2">
        <v>14</v>
      </c>
      <c r="D725" s="4">
        <v>80000</v>
      </c>
      <c r="E725" s="3">
        <v>2</v>
      </c>
      <c r="F725" t="s" s="2">
        <v>32</v>
      </c>
      <c r="G725" t="s" s="2">
        <v>16</v>
      </c>
      <c r="H725" t="s" s="2">
        <v>17</v>
      </c>
      <c r="I725" s="3">
        <v>2</v>
      </c>
      <c r="J725" t="s" s="2">
        <v>26</v>
      </c>
      <c r="K725" t="s" s="2">
        <v>35</v>
      </c>
      <c r="L725" s="3">
        <v>49</v>
      </c>
      <c r="M725" t="s" s="2">
        <v>20</v>
      </c>
    </row>
    <row r="726" ht="13.55" customHeight="1">
      <c r="A726" s="3">
        <v>23275</v>
      </c>
      <c r="B726" t="s" s="2">
        <v>13</v>
      </c>
      <c r="C726" t="s" s="2">
        <v>13</v>
      </c>
      <c r="D726" s="4">
        <v>30000</v>
      </c>
      <c r="E726" s="3">
        <v>2</v>
      </c>
      <c r="F726" t="s" s="2">
        <v>30</v>
      </c>
      <c r="G726" t="s" s="2">
        <v>16</v>
      </c>
      <c r="H726" t="s" s="2">
        <v>17</v>
      </c>
      <c r="I726" s="3">
        <v>2</v>
      </c>
      <c r="J726" t="s" s="2">
        <v>29</v>
      </c>
      <c r="K726" t="s" s="2">
        <v>35</v>
      </c>
      <c r="L726" s="3">
        <v>49</v>
      </c>
      <c r="M726" t="s" s="2">
        <v>20</v>
      </c>
    </row>
    <row r="727" ht="13.55" customHeight="1">
      <c r="A727" s="3">
        <v>11270</v>
      </c>
      <c r="B727" t="s" s="2">
        <v>13</v>
      </c>
      <c r="C727" t="s" s="2">
        <v>13</v>
      </c>
      <c r="D727" s="4">
        <v>130000</v>
      </c>
      <c r="E727" s="3">
        <v>2</v>
      </c>
      <c r="F727" t="s" s="2">
        <v>34</v>
      </c>
      <c r="G727" t="s" s="2">
        <v>31</v>
      </c>
      <c r="H727" t="s" s="2">
        <v>17</v>
      </c>
      <c r="I727" s="3">
        <v>3</v>
      </c>
      <c r="J727" t="s" s="2">
        <v>18</v>
      </c>
      <c r="K727" t="s" s="2">
        <v>35</v>
      </c>
      <c r="L727" s="3">
        <v>42</v>
      </c>
      <c r="M727" t="s" s="2">
        <v>17</v>
      </c>
    </row>
    <row r="728" ht="13.55" customHeight="1">
      <c r="A728" s="3">
        <v>20084</v>
      </c>
      <c r="B728" t="s" s="2">
        <v>13</v>
      </c>
      <c r="C728" t="s" s="2">
        <v>13</v>
      </c>
      <c r="D728" s="4">
        <v>20000</v>
      </c>
      <c r="E728" s="3">
        <v>2</v>
      </c>
      <c r="F728" t="s" s="2">
        <v>30</v>
      </c>
      <c r="G728" t="s" s="2">
        <v>28</v>
      </c>
      <c r="H728" t="s" s="2">
        <v>20</v>
      </c>
      <c r="I728" s="3">
        <v>2</v>
      </c>
      <c r="J728" t="s" s="2">
        <v>18</v>
      </c>
      <c r="K728" t="s" s="2">
        <v>35</v>
      </c>
      <c r="L728" s="3">
        <v>53</v>
      </c>
      <c r="M728" t="s" s="2">
        <v>20</v>
      </c>
    </row>
    <row r="729" ht="13.55" customHeight="1">
      <c r="A729" s="3">
        <v>16144</v>
      </c>
      <c r="B729" t="s" s="2">
        <v>13</v>
      </c>
      <c r="C729" t="s" s="2">
        <v>13</v>
      </c>
      <c r="D729" s="4">
        <v>70000</v>
      </c>
      <c r="E729" s="3">
        <v>1</v>
      </c>
      <c r="F729" t="s" s="2">
        <v>34</v>
      </c>
      <c r="G729" t="s" s="2">
        <v>23</v>
      </c>
      <c r="H729" t="s" s="2">
        <v>17</v>
      </c>
      <c r="I729" s="3">
        <v>1</v>
      </c>
      <c r="J729" t="s" s="2">
        <v>18</v>
      </c>
      <c r="K729" t="s" s="2">
        <v>35</v>
      </c>
      <c r="L729" s="3">
        <v>46</v>
      </c>
      <c r="M729" t="s" s="2">
        <v>17</v>
      </c>
    </row>
    <row r="730" ht="13.55" customHeight="1">
      <c r="A730" s="3">
        <v>27731</v>
      </c>
      <c r="B730" t="s" s="2">
        <v>13</v>
      </c>
      <c r="C730" t="s" s="2">
        <v>13</v>
      </c>
      <c r="D730" s="4">
        <v>40000</v>
      </c>
      <c r="E730" s="3">
        <v>0</v>
      </c>
      <c r="F730" t="s" s="2">
        <v>30</v>
      </c>
      <c r="G730" t="s" s="2">
        <v>16</v>
      </c>
      <c r="H730" t="s" s="2">
        <v>17</v>
      </c>
      <c r="I730" s="3">
        <v>2</v>
      </c>
      <c r="J730" t="s" s="2">
        <v>26</v>
      </c>
      <c r="K730" t="s" s="2">
        <v>35</v>
      </c>
      <c r="L730" s="3">
        <v>27</v>
      </c>
      <c r="M730" t="s" s="2">
        <v>20</v>
      </c>
    </row>
    <row r="731" ht="13.55" customHeight="1">
      <c r="A731" s="3">
        <v>11886</v>
      </c>
      <c r="B731" t="s" s="2">
        <v>13</v>
      </c>
      <c r="C731" t="s" s="2">
        <v>14</v>
      </c>
      <c r="D731" s="4">
        <v>60000</v>
      </c>
      <c r="E731" s="3">
        <v>3</v>
      </c>
      <c r="F731" t="s" s="2">
        <v>15</v>
      </c>
      <c r="G731" t="s" s="2">
        <v>23</v>
      </c>
      <c r="H731" t="s" s="2">
        <v>17</v>
      </c>
      <c r="I731" s="3">
        <v>1</v>
      </c>
      <c r="J731" t="s" s="2">
        <v>18</v>
      </c>
      <c r="K731" t="s" s="2">
        <v>35</v>
      </c>
      <c r="L731" s="3">
        <v>48</v>
      </c>
      <c r="M731" t="s" s="2">
        <v>17</v>
      </c>
    </row>
    <row r="732" ht="13.55" customHeight="1">
      <c r="A732" s="3">
        <v>24324</v>
      </c>
      <c r="B732" t="s" s="2">
        <v>25</v>
      </c>
      <c r="C732" t="s" s="2">
        <v>14</v>
      </c>
      <c r="D732" s="4">
        <v>60000</v>
      </c>
      <c r="E732" s="3">
        <v>4</v>
      </c>
      <c r="F732" t="s" s="2">
        <v>15</v>
      </c>
      <c r="G732" t="s" s="2">
        <v>16</v>
      </c>
      <c r="H732" t="s" s="2">
        <v>17</v>
      </c>
      <c r="I732" s="3">
        <v>2</v>
      </c>
      <c r="J732" t="s" s="2">
        <v>24</v>
      </c>
      <c r="K732" t="s" s="2">
        <v>35</v>
      </c>
      <c r="L732" s="3">
        <v>41</v>
      </c>
      <c r="M732" t="s" s="2">
        <v>17</v>
      </c>
    </row>
    <row r="733" ht="13.55" customHeight="1">
      <c r="A733" s="3">
        <v>22220</v>
      </c>
      <c r="B733" t="s" s="2">
        <v>13</v>
      </c>
      <c r="C733" t="s" s="2">
        <v>13</v>
      </c>
      <c r="D733" s="4">
        <v>60000</v>
      </c>
      <c r="E733" s="3">
        <v>2</v>
      </c>
      <c r="F733" t="s" s="2">
        <v>30</v>
      </c>
      <c r="G733" t="s" s="2">
        <v>23</v>
      </c>
      <c r="H733" t="s" s="2">
        <v>20</v>
      </c>
      <c r="I733" s="3">
        <v>2</v>
      </c>
      <c r="J733" t="s" s="2">
        <v>29</v>
      </c>
      <c r="K733" t="s" s="2">
        <v>35</v>
      </c>
      <c r="L733" s="3">
        <v>49</v>
      </c>
      <c r="M733" t="s" s="2">
        <v>17</v>
      </c>
    </row>
    <row r="734" ht="13.55" customHeight="1">
      <c r="A734" s="3">
        <v>26625</v>
      </c>
      <c r="B734" t="s" s="2">
        <v>25</v>
      </c>
      <c r="C734" t="s" s="2">
        <v>14</v>
      </c>
      <c r="D734" s="4">
        <v>60000</v>
      </c>
      <c r="E734" s="3">
        <v>0</v>
      </c>
      <c r="F734" t="s" s="2">
        <v>34</v>
      </c>
      <c r="G734" t="s" s="2">
        <v>23</v>
      </c>
      <c r="H734" t="s" s="2">
        <v>17</v>
      </c>
      <c r="I734" s="3">
        <v>1</v>
      </c>
      <c r="J734" t="s" s="2">
        <v>24</v>
      </c>
      <c r="K734" t="s" s="2">
        <v>35</v>
      </c>
      <c r="L734" s="3">
        <v>38</v>
      </c>
      <c r="M734" t="s" s="2">
        <v>17</v>
      </c>
    </row>
    <row r="735" ht="13.55" customHeight="1">
      <c r="A735" s="3">
        <v>23027</v>
      </c>
      <c r="B735" t="s" s="2">
        <v>25</v>
      </c>
      <c r="C735" t="s" s="2">
        <v>13</v>
      </c>
      <c r="D735" s="4">
        <v>130000</v>
      </c>
      <c r="E735" s="3">
        <v>1</v>
      </c>
      <c r="F735" t="s" s="2">
        <v>15</v>
      </c>
      <c r="G735" t="s" s="2">
        <v>31</v>
      </c>
      <c r="H735" t="s" s="2">
        <v>20</v>
      </c>
      <c r="I735" s="3">
        <v>4</v>
      </c>
      <c r="J735" t="s" s="2">
        <v>18</v>
      </c>
      <c r="K735" t="s" s="2">
        <v>35</v>
      </c>
      <c r="L735" s="3">
        <v>44</v>
      </c>
      <c r="M735" t="s" s="2">
        <v>20</v>
      </c>
    </row>
    <row r="736" ht="13.55" customHeight="1">
      <c r="A736" s="3">
        <v>16867</v>
      </c>
      <c r="B736" t="s" s="2">
        <v>25</v>
      </c>
      <c r="C736" t="s" s="2">
        <v>14</v>
      </c>
      <c r="D736" s="4">
        <v>130000</v>
      </c>
      <c r="E736" s="3">
        <v>1</v>
      </c>
      <c r="F736" t="s" s="2">
        <v>15</v>
      </c>
      <c r="G736" t="s" s="2">
        <v>31</v>
      </c>
      <c r="H736" t="s" s="2">
        <v>20</v>
      </c>
      <c r="I736" s="3">
        <v>3</v>
      </c>
      <c r="J736" t="s" s="2">
        <v>18</v>
      </c>
      <c r="K736" t="s" s="2">
        <v>35</v>
      </c>
      <c r="L736" s="3">
        <v>45</v>
      </c>
      <c r="M736" t="s" s="2">
        <v>17</v>
      </c>
    </row>
    <row r="737" ht="13.55" customHeight="1">
      <c r="A737" s="3">
        <v>14514</v>
      </c>
      <c r="B737" t="s" s="2">
        <v>25</v>
      </c>
      <c r="C737" t="s" s="2">
        <v>14</v>
      </c>
      <c r="D737" s="4">
        <v>30000</v>
      </c>
      <c r="E737" s="3">
        <v>0</v>
      </c>
      <c r="F737" t="s" s="2">
        <v>21</v>
      </c>
      <c r="G737" t="s" s="2">
        <v>16</v>
      </c>
      <c r="H737" t="s" s="2">
        <v>17</v>
      </c>
      <c r="I737" s="3">
        <v>1</v>
      </c>
      <c r="J737" t="s" s="2">
        <v>26</v>
      </c>
      <c r="K737" t="s" s="2">
        <v>35</v>
      </c>
      <c r="L737" s="3">
        <v>26</v>
      </c>
      <c r="M737" t="s" s="2">
        <v>20</v>
      </c>
    </row>
    <row r="738" ht="13.55" customHeight="1">
      <c r="A738" s="3">
        <v>19634</v>
      </c>
      <c r="B738" t="s" s="2">
        <v>13</v>
      </c>
      <c r="C738" t="s" s="2">
        <v>13</v>
      </c>
      <c r="D738" s="4">
        <v>40000</v>
      </c>
      <c r="E738" s="3">
        <v>0</v>
      </c>
      <c r="F738" t="s" s="2">
        <v>30</v>
      </c>
      <c r="G738" t="s" s="2">
        <v>16</v>
      </c>
      <c r="H738" t="s" s="2">
        <v>17</v>
      </c>
      <c r="I738" s="3">
        <v>1</v>
      </c>
      <c r="J738" t="s" s="2">
        <v>26</v>
      </c>
      <c r="K738" t="s" s="2">
        <v>35</v>
      </c>
      <c r="L738" s="3">
        <v>31</v>
      </c>
      <c r="M738" t="s" s="2">
        <v>20</v>
      </c>
    </row>
    <row r="739" ht="13.55" customHeight="1">
      <c r="A739" s="3">
        <v>18504</v>
      </c>
      <c r="B739" t="s" s="2">
        <v>13</v>
      </c>
      <c r="C739" t="s" s="2">
        <v>13</v>
      </c>
      <c r="D739" s="4">
        <v>70000</v>
      </c>
      <c r="E739" s="3">
        <v>2</v>
      </c>
      <c r="F739" t="s" s="2">
        <v>32</v>
      </c>
      <c r="G739" t="s" s="2">
        <v>16</v>
      </c>
      <c r="H739" t="s" s="2">
        <v>20</v>
      </c>
      <c r="I739" s="3">
        <v>2</v>
      </c>
      <c r="J739" t="s" s="2">
        <v>29</v>
      </c>
      <c r="K739" t="s" s="2">
        <v>35</v>
      </c>
      <c r="L739" s="3">
        <v>49</v>
      </c>
      <c r="M739" t="s" s="2">
        <v>20</v>
      </c>
    </row>
    <row r="740" ht="13.55" customHeight="1">
      <c r="A740" s="3">
        <v>28799</v>
      </c>
      <c r="B740" t="s" s="2">
        <v>25</v>
      </c>
      <c r="C740" t="s" s="2">
        <v>14</v>
      </c>
      <c r="D740" s="4">
        <v>40000</v>
      </c>
      <c r="E740" s="3">
        <v>2</v>
      </c>
      <c r="F740" t="s" s="2">
        <v>21</v>
      </c>
      <c r="G740" t="s" s="2">
        <v>22</v>
      </c>
      <c r="H740" t="s" s="2">
        <v>20</v>
      </c>
      <c r="I740" s="3">
        <v>1</v>
      </c>
      <c r="J740" t="s" s="2">
        <v>29</v>
      </c>
      <c r="K740" t="s" s="2">
        <v>35</v>
      </c>
      <c r="L740" s="3">
        <v>47</v>
      </c>
      <c r="M740" t="s" s="2">
        <v>17</v>
      </c>
    </row>
    <row r="741" ht="13.55" customHeight="1">
      <c r="A741" s="3">
        <v>11225</v>
      </c>
      <c r="B741" t="s" s="2">
        <v>13</v>
      </c>
      <c r="C741" t="s" s="2">
        <v>14</v>
      </c>
      <c r="D741" s="4">
        <v>60000</v>
      </c>
      <c r="E741" s="3">
        <v>2</v>
      </c>
      <c r="F741" t="s" s="2">
        <v>21</v>
      </c>
      <c r="G741" t="s" s="2">
        <v>23</v>
      </c>
      <c r="H741" t="s" s="2">
        <v>17</v>
      </c>
      <c r="I741" s="3">
        <v>1</v>
      </c>
      <c r="J741" t="s" s="2">
        <v>33</v>
      </c>
      <c r="K741" t="s" s="2">
        <v>35</v>
      </c>
      <c r="L741" s="3">
        <v>55</v>
      </c>
      <c r="M741" t="s" s="2">
        <v>20</v>
      </c>
    </row>
    <row r="742" ht="13.55" customHeight="1">
      <c r="A742" s="3">
        <v>17657</v>
      </c>
      <c r="B742" t="s" s="2">
        <v>13</v>
      </c>
      <c r="C742" t="s" s="2">
        <v>13</v>
      </c>
      <c r="D742" s="4">
        <v>40000</v>
      </c>
      <c r="E742" s="3">
        <v>4</v>
      </c>
      <c r="F742" t="s" s="2">
        <v>21</v>
      </c>
      <c r="G742" t="s" s="2">
        <v>22</v>
      </c>
      <c r="H742" t="s" s="2">
        <v>20</v>
      </c>
      <c r="I742" s="3">
        <v>0</v>
      </c>
      <c r="J742" t="s" s="2">
        <v>18</v>
      </c>
      <c r="K742" t="s" s="2">
        <v>35</v>
      </c>
      <c r="L742" s="3">
        <v>30</v>
      </c>
      <c r="M742" t="s" s="2">
        <v>20</v>
      </c>
    </row>
    <row r="743" ht="13.55" customHeight="1">
      <c r="A743" s="3">
        <v>14913</v>
      </c>
      <c r="B743" t="s" s="2">
        <v>13</v>
      </c>
      <c r="C743" t="s" s="2">
        <v>14</v>
      </c>
      <c r="D743" s="4">
        <v>40000</v>
      </c>
      <c r="E743" s="3">
        <v>1</v>
      </c>
      <c r="F743" t="s" s="2">
        <v>21</v>
      </c>
      <c r="G743" t="s" s="2">
        <v>22</v>
      </c>
      <c r="H743" t="s" s="2">
        <v>17</v>
      </c>
      <c r="I743" s="3">
        <v>1</v>
      </c>
      <c r="J743" t="s" s="2">
        <v>29</v>
      </c>
      <c r="K743" t="s" s="2">
        <v>35</v>
      </c>
      <c r="L743" s="3">
        <v>48</v>
      </c>
      <c r="M743" t="s" s="2">
        <v>17</v>
      </c>
    </row>
    <row r="744" ht="13.55" customHeight="1">
      <c r="A744" s="3">
        <v>14077</v>
      </c>
      <c r="B744" t="s" s="2">
        <v>25</v>
      </c>
      <c r="C744" t="s" s="2">
        <v>13</v>
      </c>
      <c r="D744" s="4">
        <v>30000</v>
      </c>
      <c r="E744" s="3">
        <v>0</v>
      </c>
      <c r="F744" t="s" s="2">
        <v>30</v>
      </c>
      <c r="G744" t="s" s="2">
        <v>16</v>
      </c>
      <c r="H744" t="s" s="2">
        <v>17</v>
      </c>
      <c r="I744" s="3">
        <v>2</v>
      </c>
      <c r="J744" t="s" s="2">
        <v>26</v>
      </c>
      <c r="K744" t="s" s="2">
        <v>35</v>
      </c>
      <c r="L744" s="3">
        <v>30</v>
      </c>
      <c r="M744" t="s" s="2">
        <v>20</v>
      </c>
    </row>
    <row r="745" ht="13.55" customHeight="1">
      <c r="A745" s="3">
        <v>13296</v>
      </c>
      <c r="B745" t="s" s="2">
        <v>13</v>
      </c>
      <c r="C745" t="s" s="2">
        <v>13</v>
      </c>
      <c r="D745" s="4">
        <v>110000</v>
      </c>
      <c r="E745" s="3">
        <v>1</v>
      </c>
      <c r="F745" t="s" s="2">
        <v>15</v>
      </c>
      <c r="G745" t="s" s="2">
        <v>31</v>
      </c>
      <c r="H745" t="s" s="2">
        <v>17</v>
      </c>
      <c r="I745" s="3">
        <v>3</v>
      </c>
      <c r="J745" t="s" s="2">
        <v>26</v>
      </c>
      <c r="K745" t="s" s="2">
        <v>35</v>
      </c>
      <c r="L745" s="3">
        <v>45</v>
      </c>
      <c r="M745" t="s" s="2">
        <v>20</v>
      </c>
    </row>
    <row r="746" ht="13.55" customHeight="1">
      <c r="A746" s="3">
        <v>20535</v>
      </c>
      <c r="B746" t="s" s="2">
        <v>13</v>
      </c>
      <c r="C746" t="s" s="2">
        <v>14</v>
      </c>
      <c r="D746" s="4">
        <v>70000</v>
      </c>
      <c r="E746" s="3">
        <v>4</v>
      </c>
      <c r="F746" t="s" s="2">
        <v>21</v>
      </c>
      <c r="G746" t="s" s="2">
        <v>23</v>
      </c>
      <c r="H746" t="s" s="2">
        <v>17</v>
      </c>
      <c r="I746" s="3">
        <v>1</v>
      </c>
      <c r="J746" t="s" s="2">
        <v>33</v>
      </c>
      <c r="K746" t="s" s="2">
        <v>35</v>
      </c>
      <c r="L746" s="3">
        <v>56</v>
      </c>
      <c r="M746" t="s" s="2">
        <v>20</v>
      </c>
    </row>
    <row r="747" ht="13.55" customHeight="1">
      <c r="A747" s="3">
        <v>12452</v>
      </c>
      <c r="B747" t="s" s="2">
        <v>13</v>
      </c>
      <c r="C747" t="s" s="2">
        <v>13</v>
      </c>
      <c r="D747" s="4">
        <v>60000</v>
      </c>
      <c r="E747" s="3">
        <v>4</v>
      </c>
      <c r="F747" t="s" s="2">
        <v>34</v>
      </c>
      <c r="G747" t="s" s="2">
        <v>16</v>
      </c>
      <c r="H747" t="s" s="2">
        <v>17</v>
      </c>
      <c r="I747" s="3">
        <v>0</v>
      </c>
      <c r="J747" t="s" s="2">
        <v>29</v>
      </c>
      <c r="K747" t="s" s="2">
        <v>35</v>
      </c>
      <c r="L747" s="3">
        <v>47</v>
      </c>
      <c r="M747" t="s" s="2">
        <v>17</v>
      </c>
    </row>
    <row r="748" ht="13.55" customHeight="1">
      <c r="A748" s="3">
        <v>28043</v>
      </c>
      <c r="B748" t="s" s="2">
        <v>13</v>
      </c>
      <c r="C748" t="s" s="2">
        <v>14</v>
      </c>
      <c r="D748" s="4">
        <v>60000</v>
      </c>
      <c r="E748" s="3">
        <v>2</v>
      </c>
      <c r="F748" t="s" s="2">
        <v>15</v>
      </c>
      <c r="G748" t="s" s="2">
        <v>31</v>
      </c>
      <c r="H748" t="s" s="2">
        <v>17</v>
      </c>
      <c r="I748" s="3">
        <v>0</v>
      </c>
      <c r="J748" t="s" s="2">
        <v>33</v>
      </c>
      <c r="K748" t="s" s="2">
        <v>35</v>
      </c>
      <c r="L748" s="3">
        <v>56</v>
      </c>
      <c r="M748" t="s" s="2">
        <v>20</v>
      </c>
    </row>
    <row r="749" ht="13.55" customHeight="1">
      <c r="A749" s="3">
        <v>12957</v>
      </c>
      <c r="B749" t="s" s="2">
        <v>25</v>
      </c>
      <c r="C749" t="s" s="2">
        <v>14</v>
      </c>
      <c r="D749" s="4">
        <v>70000</v>
      </c>
      <c r="E749" s="3">
        <v>1</v>
      </c>
      <c r="F749" t="s" s="2">
        <v>15</v>
      </c>
      <c r="G749" t="s" s="2">
        <v>23</v>
      </c>
      <c r="H749" t="s" s="2">
        <v>20</v>
      </c>
      <c r="I749" s="3">
        <v>1</v>
      </c>
      <c r="J749" t="s" s="2">
        <v>18</v>
      </c>
      <c r="K749" t="s" s="2">
        <v>35</v>
      </c>
      <c r="L749" s="3">
        <v>44</v>
      </c>
      <c r="M749" t="s" s="2">
        <v>20</v>
      </c>
    </row>
    <row r="750" ht="13.55" customHeight="1">
      <c r="A750" s="3">
        <v>15412</v>
      </c>
      <c r="B750" t="s" s="2">
        <v>13</v>
      </c>
      <c r="C750" t="s" s="2">
        <v>13</v>
      </c>
      <c r="D750" s="4">
        <v>130000</v>
      </c>
      <c r="E750" s="3">
        <v>2</v>
      </c>
      <c r="F750" t="s" s="2">
        <v>34</v>
      </c>
      <c r="G750" t="s" s="2">
        <v>31</v>
      </c>
      <c r="H750" t="s" s="2">
        <v>17</v>
      </c>
      <c r="I750" s="3">
        <v>3</v>
      </c>
      <c r="J750" t="s" s="2">
        <v>24</v>
      </c>
      <c r="K750" t="s" s="2">
        <v>35</v>
      </c>
      <c r="L750" s="3">
        <v>69</v>
      </c>
      <c r="M750" t="s" s="2">
        <v>20</v>
      </c>
    </row>
    <row r="751" ht="13.55" customHeight="1">
      <c r="A751" s="3">
        <v>20514</v>
      </c>
      <c r="B751" t="s" s="2">
        <v>13</v>
      </c>
      <c r="C751" t="s" s="2">
        <v>14</v>
      </c>
      <c r="D751" s="4">
        <v>70000</v>
      </c>
      <c r="E751" s="3">
        <v>2</v>
      </c>
      <c r="F751" t="s" s="2">
        <v>21</v>
      </c>
      <c r="G751" t="s" s="2">
        <v>23</v>
      </c>
      <c r="H751" t="s" s="2">
        <v>17</v>
      </c>
      <c r="I751" s="3">
        <v>1</v>
      </c>
      <c r="J751" t="s" s="2">
        <v>24</v>
      </c>
      <c r="K751" t="s" s="2">
        <v>35</v>
      </c>
      <c r="L751" s="3">
        <v>59</v>
      </c>
      <c r="M751" t="s" s="2">
        <v>20</v>
      </c>
    </row>
    <row r="752" ht="13.55" customHeight="1">
      <c r="A752" s="3">
        <v>20758</v>
      </c>
      <c r="B752" t="s" s="2">
        <v>13</v>
      </c>
      <c r="C752" t="s" s="2">
        <v>13</v>
      </c>
      <c r="D752" s="4">
        <v>30000</v>
      </c>
      <c r="E752" s="3">
        <v>2</v>
      </c>
      <c r="F752" t="s" s="2">
        <v>30</v>
      </c>
      <c r="G752" t="s" s="2">
        <v>16</v>
      </c>
      <c r="H752" t="s" s="2">
        <v>17</v>
      </c>
      <c r="I752" s="3">
        <v>2</v>
      </c>
      <c r="J752" t="s" s="2">
        <v>29</v>
      </c>
      <c r="K752" t="s" s="2">
        <v>35</v>
      </c>
      <c r="L752" s="3">
        <v>50</v>
      </c>
      <c r="M752" t="s" s="2">
        <v>20</v>
      </c>
    </row>
    <row r="753" ht="13.55" customHeight="1">
      <c r="A753" s="3">
        <v>11801</v>
      </c>
      <c r="B753" t="s" s="2">
        <v>13</v>
      </c>
      <c r="C753" t="s" s="2">
        <v>13</v>
      </c>
      <c r="D753" s="4">
        <v>60000</v>
      </c>
      <c r="E753" s="3">
        <v>1</v>
      </c>
      <c r="F753" t="s" s="2">
        <v>34</v>
      </c>
      <c r="G753" t="s" s="2">
        <v>23</v>
      </c>
      <c r="H753" t="s" s="2">
        <v>17</v>
      </c>
      <c r="I753" s="3">
        <v>0</v>
      </c>
      <c r="J753" t="s" s="2">
        <v>24</v>
      </c>
      <c r="K753" t="s" s="2">
        <v>35</v>
      </c>
      <c r="L753" s="3">
        <v>36</v>
      </c>
      <c r="M753" t="s" s="2">
        <v>20</v>
      </c>
    </row>
    <row r="754" ht="13.55" customHeight="1">
      <c r="A754" s="3">
        <v>22211</v>
      </c>
      <c r="B754" t="s" s="2">
        <v>13</v>
      </c>
      <c r="C754" t="s" s="2">
        <v>13</v>
      </c>
      <c r="D754" s="4">
        <v>60000</v>
      </c>
      <c r="E754" s="3">
        <v>0</v>
      </c>
      <c r="F754" t="s" s="2">
        <v>21</v>
      </c>
      <c r="G754" t="s" s="2">
        <v>23</v>
      </c>
      <c r="H754" t="s" s="2">
        <v>17</v>
      </c>
      <c r="I754" s="3">
        <v>2</v>
      </c>
      <c r="J754" t="s" s="2">
        <v>26</v>
      </c>
      <c r="K754" t="s" s="2">
        <v>35</v>
      </c>
      <c r="L754" s="3">
        <v>32</v>
      </c>
      <c r="M754" t="s" s="2">
        <v>20</v>
      </c>
    </row>
    <row r="755" ht="13.55" customHeight="1">
      <c r="A755" s="3">
        <v>28087</v>
      </c>
      <c r="B755" t="s" s="2">
        <v>25</v>
      </c>
      <c r="C755" t="s" s="2">
        <v>14</v>
      </c>
      <c r="D755" s="4">
        <v>40000</v>
      </c>
      <c r="E755" s="3">
        <v>0</v>
      </c>
      <c r="F755" t="s" s="2">
        <v>21</v>
      </c>
      <c r="G755" t="s" s="2">
        <v>16</v>
      </c>
      <c r="H755" t="s" s="2">
        <v>20</v>
      </c>
      <c r="I755" s="3">
        <v>1</v>
      </c>
      <c r="J755" t="s" s="2">
        <v>29</v>
      </c>
      <c r="K755" t="s" s="2">
        <v>35</v>
      </c>
      <c r="L755" s="3">
        <v>27</v>
      </c>
      <c r="M755" t="s" s="2">
        <v>20</v>
      </c>
    </row>
    <row r="756" ht="13.55" customHeight="1">
      <c r="A756" s="3">
        <v>23668</v>
      </c>
      <c r="B756" t="s" s="2">
        <v>13</v>
      </c>
      <c r="C756" t="s" s="2">
        <v>14</v>
      </c>
      <c r="D756" s="4">
        <v>40000</v>
      </c>
      <c r="E756" s="3">
        <v>4</v>
      </c>
      <c r="F756" t="s" s="2">
        <v>30</v>
      </c>
      <c r="G756" t="s" s="2">
        <v>23</v>
      </c>
      <c r="H756" t="s" s="2">
        <v>17</v>
      </c>
      <c r="I756" s="3">
        <v>2</v>
      </c>
      <c r="J756" t="s" s="2">
        <v>26</v>
      </c>
      <c r="K756" t="s" s="2">
        <v>35</v>
      </c>
      <c r="L756" s="3">
        <v>59</v>
      </c>
      <c r="M756" t="s" s="2">
        <v>17</v>
      </c>
    </row>
    <row r="757" ht="13.55" customHeight="1">
      <c r="A757" s="3">
        <v>27441</v>
      </c>
      <c r="B757" t="s" s="2">
        <v>13</v>
      </c>
      <c r="C757" t="s" s="2">
        <v>13</v>
      </c>
      <c r="D757" s="4">
        <v>60000</v>
      </c>
      <c r="E757" s="3">
        <v>3</v>
      </c>
      <c r="F757" t="s" s="2">
        <v>30</v>
      </c>
      <c r="G757" t="s" s="2">
        <v>23</v>
      </c>
      <c r="H757" t="s" s="2">
        <v>20</v>
      </c>
      <c r="I757" s="3">
        <v>2</v>
      </c>
      <c r="J757" t="s" s="2">
        <v>24</v>
      </c>
      <c r="K757" t="s" s="2">
        <v>35</v>
      </c>
      <c r="L757" s="3">
        <v>53</v>
      </c>
      <c r="M757" t="s" s="2">
        <v>20</v>
      </c>
    </row>
    <row r="758" ht="13.55" customHeight="1">
      <c r="A758" s="3">
        <v>27261</v>
      </c>
      <c r="B758" t="s" s="2">
        <v>13</v>
      </c>
      <c r="C758" t="s" s="2">
        <v>13</v>
      </c>
      <c r="D758" s="4">
        <v>40000</v>
      </c>
      <c r="E758" s="3">
        <v>1</v>
      </c>
      <c r="F758" t="s" s="2">
        <v>15</v>
      </c>
      <c r="G758" t="s" s="2">
        <v>16</v>
      </c>
      <c r="H758" t="s" s="2">
        <v>20</v>
      </c>
      <c r="I758" s="3">
        <v>1</v>
      </c>
      <c r="J758" t="s" s="2">
        <v>18</v>
      </c>
      <c r="K758" t="s" s="2">
        <v>35</v>
      </c>
      <c r="L758" s="3">
        <v>36</v>
      </c>
      <c r="M758" t="s" s="2">
        <v>17</v>
      </c>
    </row>
    <row r="759" ht="13.55" customHeight="1">
      <c r="A759" s="3">
        <v>18649</v>
      </c>
      <c r="B759" t="s" s="2">
        <v>25</v>
      </c>
      <c r="C759" t="s" s="2">
        <v>13</v>
      </c>
      <c r="D759" s="4">
        <v>30000</v>
      </c>
      <c r="E759" s="3">
        <v>1</v>
      </c>
      <c r="F759" t="s" s="2">
        <v>30</v>
      </c>
      <c r="G759" t="s" s="2">
        <v>22</v>
      </c>
      <c r="H759" t="s" s="2">
        <v>17</v>
      </c>
      <c r="I759" s="3">
        <v>2</v>
      </c>
      <c r="J759" t="s" s="2">
        <v>29</v>
      </c>
      <c r="K759" t="s" s="2">
        <v>35</v>
      </c>
      <c r="L759" s="3">
        <v>51</v>
      </c>
      <c r="M759" t="s" s="2">
        <v>17</v>
      </c>
    </row>
    <row r="760" ht="13.55" customHeight="1">
      <c r="A760" s="3">
        <v>21714</v>
      </c>
      <c r="B760" t="s" s="2">
        <v>25</v>
      </c>
      <c r="C760" t="s" s="2">
        <v>14</v>
      </c>
      <c r="D760" s="4">
        <v>80000</v>
      </c>
      <c r="E760" s="3">
        <v>5</v>
      </c>
      <c r="F760" t="s" s="2">
        <v>34</v>
      </c>
      <c r="G760" t="s" s="2">
        <v>16</v>
      </c>
      <c r="H760" t="s" s="2">
        <v>20</v>
      </c>
      <c r="I760" s="3">
        <v>0</v>
      </c>
      <c r="J760" t="s" s="2">
        <v>18</v>
      </c>
      <c r="K760" t="s" s="2">
        <v>35</v>
      </c>
      <c r="L760" s="3">
        <v>47</v>
      </c>
      <c r="M760" t="s" s="2">
        <v>20</v>
      </c>
    </row>
    <row r="761" ht="13.55" customHeight="1">
      <c r="A761" s="3">
        <v>23217</v>
      </c>
      <c r="B761" t="s" s="2">
        <v>25</v>
      </c>
      <c r="C761" t="s" s="2">
        <v>14</v>
      </c>
      <c r="D761" s="4">
        <v>60000</v>
      </c>
      <c r="E761" s="3">
        <v>3</v>
      </c>
      <c r="F761" t="s" s="2">
        <v>34</v>
      </c>
      <c r="G761" t="s" s="2">
        <v>23</v>
      </c>
      <c r="H761" t="s" s="2">
        <v>17</v>
      </c>
      <c r="I761" s="3">
        <v>0</v>
      </c>
      <c r="J761" t="s" s="2">
        <v>24</v>
      </c>
      <c r="K761" t="s" s="2">
        <v>35</v>
      </c>
      <c r="L761" s="3">
        <v>43</v>
      </c>
      <c r="M761" t="s" s="2">
        <v>17</v>
      </c>
    </row>
    <row r="762" ht="13.55" customHeight="1">
      <c r="A762" s="3">
        <v>23797</v>
      </c>
      <c r="B762" t="s" s="2">
        <v>25</v>
      </c>
      <c r="C762" t="s" s="2">
        <v>13</v>
      </c>
      <c r="D762" s="4">
        <v>20000</v>
      </c>
      <c r="E762" s="3">
        <v>3</v>
      </c>
      <c r="F762" t="s" s="2">
        <v>32</v>
      </c>
      <c r="G762" t="s" s="2">
        <v>22</v>
      </c>
      <c r="H762" t="s" s="2">
        <v>20</v>
      </c>
      <c r="I762" s="3">
        <v>2</v>
      </c>
      <c r="J762" t="s" s="2">
        <v>18</v>
      </c>
      <c r="K762" t="s" s="2">
        <v>35</v>
      </c>
      <c r="L762" s="3">
        <v>50</v>
      </c>
      <c r="M762" t="s" s="2">
        <v>20</v>
      </c>
    </row>
    <row r="763" ht="13.55" customHeight="1">
      <c r="A763" s="3">
        <v>13216</v>
      </c>
      <c r="B763" t="s" s="2">
        <v>13</v>
      </c>
      <c r="C763" t="s" s="2">
        <v>14</v>
      </c>
      <c r="D763" s="4">
        <v>60000</v>
      </c>
      <c r="E763" s="3">
        <v>5</v>
      </c>
      <c r="F763" t="s" s="2">
        <v>15</v>
      </c>
      <c r="G763" t="s" s="2">
        <v>31</v>
      </c>
      <c r="H763" t="s" s="2">
        <v>17</v>
      </c>
      <c r="I763" s="3">
        <v>3</v>
      </c>
      <c r="J763" t="s" s="2">
        <v>33</v>
      </c>
      <c r="K763" t="s" s="2">
        <v>35</v>
      </c>
      <c r="L763" s="3">
        <v>59</v>
      </c>
      <c r="M763" t="s" s="2">
        <v>20</v>
      </c>
    </row>
    <row r="764" ht="13.55" customHeight="1">
      <c r="A764" s="3">
        <v>20657</v>
      </c>
      <c r="B764" t="s" s="2">
        <v>25</v>
      </c>
      <c r="C764" t="s" s="2">
        <v>13</v>
      </c>
      <c r="D764" s="4">
        <v>50000</v>
      </c>
      <c r="E764" s="3">
        <v>2</v>
      </c>
      <c r="F764" t="s" s="2">
        <v>15</v>
      </c>
      <c r="G764" t="s" s="2">
        <v>16</v>
      </c>
      <c r="H764" t="s" s="2">
        <v>17</v>
      </c>
      <c r="I764" s="3">
        <v>0</v>
      </c>
      <c r="J764" t="s" s="2">
        <v>24</v>
      </c>
      <c r="K764" t="s" s="2">
        <v>35</v>
      </c>
      <c r="L764" s="3">
        <v>37</v>
      </c>
      <c r="M764" t="s" s="2">
        <v>17</v>
      </c>
    </row>
    <row r="765" ht="13.55" customHeight="1">
      <c r="A765" s="3">
        <v>12882</v>
      </c>
      <c r="B765" t="s" s="2">
        <v>13</v>
      </c>
      <c r="C765" t="s" s="2">
        <v>13</v>
      </c>
      <c r="D765" s="4">
        <v>50000</v>
      </c>
      <c r="E765" s="3">
        <v>1</v>
      </c>
      <c r="F765" t="s" s="2">
        <v>34</v>
      </c>
      <c r="G765" t="s" s="2">
        <v>16</v>
      </c>
      <c r="H765" t="s" s="2">
        <v>17</v>
      </c>
      <c r="I765" s="3">
        <v>0</v>
      </c>
      <c r="J765" t="s" s="2">
        <v>18</v>
      </c>
      <c r="K765" t="s" s="2">
        <v>35</v>
      </c>
      <c r="L765" s="3">
        <v>33</v>
      </c>
      <c r="M765" t="s" s="2">
        <v>17</v>
      </c>
    </row>
    <row r="766" ht="13.55" customHeight="1">
      <c r="A766" s="3">
        <v>25908</v>
      </c>
      <c r="B766" t="s" s="2">
        <v>13</v>
      </c>
      <c r="C766" t="s" s="2">
        <v>14</v>
      </c>
      <c r="D766" s="4">
        <v>60000</v>
      </c>
      <c r="E766" s="3">
        <v>0</v>
      </c>
      <c r="F766" t="s" s="2">
        <v>21</v>
      </c>
      <c r="G766" t="s" s="2">
        <v>16</v>
      </c>
      <c r="H766" t="s" s="2">
        <v>20</v>
      </c>
      <c r="I766" s="3">
        <v>1</v>
      </c>
      <c r="J766" t="s" s="2">
        <v>29</v>
      </c>
      <c r="K766" t="s" s="2">
        <v>35</v>
      </c>
      <c r="L766" s="3">
        <v>27</v>
      </c>
      <c r="M766" t="s" s="2">
        <v>20</v>
      </c>
    </row>
    <row r="767" ht="13.55" customHeight="1">
      <c r="A767" s="3">
        <v>16753</v>
      </c>
      <c r="B767" t="s" s="2">
        <v>25</v>
      </c>
      <c r="C767" t="s" s="2">
        <v>14</v>
      </c>
      <c r="D767" s="4">
        <v>70000</v>
      </c>
      <c r="E767" s="3">
        <v>0</v>
      </c>
      <c r="F767" t="s" s="2">
        <v>21</v>
      </c>
      <c r="G767" t="s" s="2">
        <v>16</v>
      </c>
      <c r="H767" t="s" s="2">
        <v>17</v>
      </c>
      <c r="I767" s="3">
        <v>2</v>
      </c>
      <c r="J767" t="s" s="2">
        <v>26</v>
      </c>
      <c r="K767" t="s" s="2">
        <v>35</v>
      </c>
      <c r="L767" s="3">
        <v>34</v>
      </c>
      <c r="M767" t="s" s="2">
        <v>17</v>
      </c>
    </row>
    <row r="768" ht="13.55" customHeight="1">
      <c r="A768" s="3">
        <v>14608</v>
      </c>
      <c r="B768" t="s" s="2">
        <v>13</v>
      </c>
      <c r="C768" t="s" s="2">
        <v>13</v>
      </c>
      <c r="D768" s="4">
        <v>50000</v>
      </c>
      <c r="E768" s="3">
        <v>4</v>
      </c>
      <c r="F768" t="s" s="2">
        <v>15</v>
      </c>
      <c r="G768" t="s" s="2">
        <v>16</v>
      </c>
      <c r="H768" t="s" s="2">
        <v>17</v>
      </c>
      <c r="I768" s="3">
        <v>3</v>
      </c>
      <c r="J768" t="s" s="2">
        <v>33</v>
      </c>
      <c r="K768" t="s" s="2">
        <v>35</v>
      </c>
      <c r="L768" s="3">
        <v>42</v>
      </c>
      <c r="M768" t="s" s="2">
        <v>20</v>
      </c>
    </row>
    <row r="769" ht="13.55" customHeight="1">
      <c r="A769" s="3">
        <v>24979</v>
      </c>
      <c r="B769" t="s" s="2">
        <v>13</v>
      </c>
      <c r="C769" t="s" s="2">
        <v>14</v>
      </c>
      <c r="D769" s="4">
        <v>60000</v>
      </c>
      <c r="E769" s="3">
        <v>2</v>
      </c>
      <c r="F769" t="s" s="2">
        <v>21</v>
      </c>
      <c r="G769" t="s" s="2">
        <v>23</v>
      </c>
      <c r="H769" t="s" s="2">
        <v>17</v>
      </c>
      <c r="I769" s="3">
        <v>2</v>
      </c>
      <c r="J769" t="s" s="2">
        <v>24</v>
      </c>
      <c r="K769" t="s" s="2">
        <v>35</v>
      </c>
      <c r="L769" s="3">
        <v>57</v>
      </c>
      <c r="M769" t="s" s="2">
        <v>17</v>
      </c>
    </row>
    <row r="770" ht="13.55" customHeight="1">
      <c r="A770" s="3">
        <v>13313</v>
      </c>
      <c r="B770" t="s" s="2">
        <v>13</v>
      </c>
      <c r="C770" t="s" s="2">
        <v>14</v>
      </c>
      <c r="D770" s="4">
        <v>120000</v>
      </c>
      <c r="E770" s="3">
        <v>1</v>
      </c>
      <c r="F770" t="s" s="2">
        <v>30</v>
      </c>
      <c r="G770" t="s" s="2">
        <v>23</v>
      </c>
      <c r="H770" t="s" s="2">
        <v>20</v>
      </c>
      <c r="I770" s="3">
        <v>4</v>
      </c>
      <c r="J770" t="s" s="2">
        <v>24</v>
      </c>
      <c r="K770" t="s" s="2">
        <v>35</v>
      </c>
      <c r="L770" s="3">
        <v>45</v>
      </c>
      <c r="M770" t="s" s="2">
        <v>20</v>
      </c>
    </row>
    <row r="771" ht="13.55" customHeight="1">
      <c r="A771" s="3">
        <v>18952</v>
      </c>
      <c r="B771" t="s" s="2">
        <v>13</v>
      </c>
      <c r="C771" t="s" s="2">
        <v>14</v>
      </c>
      <c r="D771" s="4">
        <v>100000</v>
      </c>
      <c r="E771" s="3">
        <v>4</v>
      </c>
      <c r="F771" t="s" s="2">
        <v>15</v>
      </c>
      <c r="G771" t="s" s="2">
        <v>31</v>
      </c>
      <c r="H771" t="s" s="2">
        <v>17</v>
      </c>
      <c r="I771" s="3">
        <v>4</v>
      </c>
      <c r="J771" t="s" s="2">
        <v>18</v>
      </c>
      <c r="K771" t="s" s="2">
        <v>35</v>
      </c>
      <c r="L771" s="3">
        <v>40</v>
      </c>
      <c r="M771" t="s" s="2">
        <v>20</v>
      </c>
    </row>
    <row r="772" ht="13.55" customHeight="1">
      <c r="A772" s="3">
        <v>17699</v>
      </c>
      <c r="B772" t="s" s="2">
        <v>13</v>
      </c>
      <c r="C772" t="s" s="2">
        <v>13</v>
      </c>
      <c r="D772" s="4">
        <v>60000</v>
      </c>
      <c r="E772" s="3">
        <v>1</v>
      </c>
      <c r="F772" t="s" s="2">
        <v>34</v>
      </c>
      <c r="G772" t="s" s="2">
        <v>16</v>
      </c>
      <c r="H772" t="s" s="2">
        <v>20</v>
      </c>
      <c r="I772" s="3">
        <v>0</v>
      </c>
      <c r="J772" t="s" s="2">
        <v>18</v>
      </c>
      <c r="K772" t="s" s="2">
        <v>35</v>
      </c>
      <c r="L772" s="3">
        <v>55</v>
      </c>
      <c r="M772" t="s" s="2">
        <v>20</v>
      </c>
    </row>
    <row r="773" ht="13.55" customHeight="1">
      <c r="A773" s="3">
        <v>14657</v>
      </c>
      <c r="B773" t="s" s="2">
        <v>13</v>
      </c>
      <c r="C773" t="s" s="2">
        <v>13</v>
      </c>
      <c r="D773" s="4">
        <v>80000</v>
      </c>
      <c r="E773" s="3">
        <v>1</v>
      </c>
      <c r="F773" t="s" s="2">
        <v>21</v>
      </c>
      <c r="G773" t="s" s="2">
        <v>16</v>
      </c>
      <c r="H773" t="s" s="2">
        <v>20</v>
      </c>
      <c r="I773" s="3">
        <v>1</v>
      </c>
      <c r="J773" t="s" s="2">
        <v>18</v>
      </c>
      <c r="K773" t="s" s="2">
        <v>35</v>
      </c>
      <c r="L773" s="3">
        <v>47</v>
      </c>
      <c r="M773" t="s" s="2">
        <v>17</v>
      </c>
    </row>
    <row r="774" ht="13.55" customHeight="1">
      <c r="A774" s="3">
        <v>11540</v>
      </c>
      <c r="B774" t="s" s="2">
        <v>25</v>
      </c>
      <c r="C774" t="s" s="2">
        <v>13</v>
      </c>
      <c r="D774" s="4">
        <v>60000</v>
      </c>
      <c r="E774" s="3">
        <v>4</v>
      </c>
      <c r="F774" t="s" s="2">
        <v>34</v>
      </c>
      <c r="G774" t="s" s="2">
        <v>16</v>
      </c>
      <c r="H774" t="s" s="2">
        <v>17</v>
      </c>
      <c r="I774" s="3">
        <v>0</v>
      </c>
      <c r="J774" t="s" s="2">
        <v>29</v>
      </c>
      <c r="K774" t="s" s="2">
        <v>35</v>
      </c>
      <c r="L774" s="3">
        <v>47</v>
      </c>
      <c r="M774" t="s" s="2">
        <v>17</v>
      </c>
    </row>
    <row r="775" ht="13.55" customHeight="1">
      <c r="A775" s="3">
        <v>11783</v>
      </c>
      <c r="B775" t="s" s="2">
        <v>13</v>
      </c>
      <c r="C775" t="s" s="2">
        <v>14</v>
      </c>
      <c r="D775" s="4">
        <v>60000</v>
      </c>
      <c r="E775" s="3">
        <v>1</v>
      </c>
      <c r="F775" t="s" s="2">
        <v>34</v>
      </c>
      <c r="G775" t="s" s="2">
        <v>16</v>
      </c>
      <c r="H775" t="s" s="2">
        <v>17</v>
      </c>
      <c r="I775" s="3">
        <v>0</v>
      </c>
      <c r="J775" t="s" s="2">
        <v>18</v>
      </c>
      <c r="K775" t="s" s="2">
        <v>35</v>
      </c>
      <c r="L775" s="3">
        <v>34</v>
      </c>
      <c r="M775" t="s" s="2">
        <v>20</v>
      </c>
    </row>
    <row r="776" ht="13.55" customHeight="1">
      <c r="A776" s="3">
        <v>14602</v>
      </c>
      <c r="B776" t="s" s="2">
        <v>13</v>
      </c>
      <c r="C776" t="s" s="2">
        <v>14</v>
      </c>
      <c r="D776" s="4">
        <v>80000</v>
      </c>
      <c r="E776" s="3">
        <v>3</v>
      </c>
      <c r="F776" t="s" s="2">
        <v>34</v>
      </c>
      <c r="G776" t="s" s="2">
        <v>23</v>
      </c>
      <c r="H776" t="s" s="2">
        <v>17</v>
      </c>
      <c r="I776" s="3">
        <v>0</v>
      </c>
      <c r="J776" t="s" s="2">
        <v>18</v>
      </c>
      <c r="K776" t="s" s="2">
        <v>35</v>
      </c>
      <c r="L776" s="3">
        <v>36</v>
      </c>
      <c r="M776" t="s" s="2">
        <v>17</v>
      </c>
    </row>
    <row r="777" ht="13.55" customHeight="1">
      <c r="A777" s="3">
        <v>29030</v>
      </c>
      <c r="B777" t="s" s="2">
        <v>13</v>
      </c>
      <c r="C777" t="s" s="2">
        <v>13</v>
      </c>
      <c r="D777" s="4">
        <v>70000</v>
      </c>
      <c r="E777" s="3">
        <v>2</v>
      </c>
      <c r="F777" t="s" s="2">
        <v>32</v>
      </c>
      <c r="G777" t="s" s="2">
        <v>16</v>
      </c>
      <c r="H777" t="s" s="2">
        <v>17</v>
      </c>
      <c r="I777" s="3">
        <v>2</v>
      </c>
      <c r="J777" t="s" s="2">
        <v>33</v>
      </c>
      <c r="K777" t="s" s="2">
        <v>35</v>
      </c>
      <c r="L777" s="3">
        <v>54</v>
      </c>
      <c r="M777" t="s" s="2">
        <v>20</v>
      </c>
    </row>
    <row r="778" ht="13.55" customHeight="1">
      <c r="A778" s="3">
        <v>26490</v>
      </c>
      <c r="B778" t="s" s="2">
        <v>25</v>
      </c>
      <c r="C778" t="s" s="2">
        <v>13</v>
      </c>
      <c r="D778" s="4">
        <v>70000</v>
      </c>
      <c r="E778" s="3">
        <v>2</v>
      </c>
      <c r="F778" t="s" s="2">
        <v>15</v>
      </c>
      <c r="G778" t="s" s="2">
        <v>31</v>
      </c>
      <c r="H778" t="s" s="2">
        <v>20</v>
      </c>
      <c r="I778" s="3">
        <v>1</v>
      </c>
      <c r="J778" t="s" s="2">
        <v>24</v>
      </c>
      <c r="K778" t="s" s="2">
        <v>35</v>
      </c>
      <c r="L778" s="3">
        <v>59</v>
      </c>
      <c r="M778" t="s" s="2">
        <v>17</v>
      </c>
    </row>
    <row r="779" ht="13.55" customHeight="1">
      <c r="A779" s="3">
        <v>13151</v>
      </c>
      <c r="B779" t="s" s="2">
        <v>25</v>
      </c>
      <c r="C779" t="s" s="2">
        <v>13</v>
      </c>
      <c r="D779" s="4">
        <v>40000</v>
      </c>
      <c r="E779" s="3">
        <v>0</v>
      </c>
      <c r="F779" t="s" s="2">
        <v>30</v>
      </c>
      <c r="G779" t="s" s="2">
        <v>16</v>
      </c>
      <c r="H779" t="s" s="2">
        <v>17</v>
      </c>
      <c r="I779" s="3">
        <v>2</v>
      </c>
      <c r="J779" t="s" s="2">
        <v>26</v>
      </c>
      <c r="K779" t="s" s="2">
        <v>35</v>
      </c>
      <c r="L779" s="3">
        <v>27</v>
      </c>
      <c r="M779" t="s" s="2">
        <v>20</v>
      </c>
    </row>
    <row r="780" ht="13.55" customHeight="1">
      <c r="A780" s="3">
        <v>17260</v>
      </c>
      <c r="B780" t="s" s="2">
        <v>13</v>
      </c>
      <c r="C780" t="s" s="2">
        <v>13</v>
      </c>
      <c r="D780" s="4">
        <v>90000</v>
      </c>
      <c r="E780" s="3">
        <v>5</v>
      </c>
      <c r="F780" t="s" s="2">
        <v>21</v>
      </c>
      <c r="G780" t="s" s="2">
        <v>23</v>
      </c>
      <c r="H780" t="s" s="2">
        <v>17</v>
      </c>
      <c r="I780" s="3">
        <v>3</v>
      </c>
      <c r="J780" t="s" s="2">
        <v>18</v>
      </c>
      <c r="K780" t="s" s="2">
        <v>35</v>
      </c>
      <c r="L780" s="3">
        <v>41</v>
      </c>
      <c r="M780" t="s" s="2">
        <v>20</v>
      </c>
    </row>
    <row r="781" ht="13.55" customHeight="1">
      <c r="A781" s="3">
        <v>15372</v>
      </c>
      <c r="B781" t="s" s="2">
        <v>13</v>
      </c>
      <c r="C781" t="s" s="2">
        <v>13</v>
      </c>
      <c r="D781" s="4">
        <v>80000</v>
      </c>
      <c r="E781" s="3">
        <v>3</v>
      </c>
      <c r="F781" t="s" s="2">
        <v>21</v>
      </c>
      <c r="G781" t="s" s="2">
        <v>23</v>
      </c>
      <c r="H781" t="s" s="2">
        <v>20</v>
      </c>
      <c r="I781" s="3">
        <v>2</v>
      </c>
      <c r="J781" t="s" s="2">
        <v>24</v>
      </c>
      <c r="K781" t="s" s="2">
        <v>35</v>
      </c>
      <c r="L781" s="3">
        <v>50</v>
      </c>
      <c r="M781" t="s" s="2">
        <v>17</v>
      </c>
    </row>
    <row r="782" ht="13.55" customHeight="1">
      <c r="A782" s="3">
        <v>18105</v>
      </c>
      <c r="B782" t="s" s="2">
        <v>13</v>
      </c>
      <c r="C782" t="s" s="2">
        <v>14</v>
      </c>
      <c r="D782" s="4">
        <v>60000</v>
      </c>
      <c r="E782" s="3">
        <v>2</v>
      </c>
      <c r="F782" t="s" s="2">
        <v>21</v>
      </c>
      <c r="G782" t="s" s="2">
        <v>23</v>
      </c>
      <c r="H782" t="s" s="2">
        <v>17</v>
      </c>
      <c r="I782" s="3">
        <v>1</v>
      </c>
      <c r="J782" t="s" s="2">
        <v>33</v>
      </c>
      <c r="K782" t="s" s="2">
        <v>35</v>
      </c>
      <c r="L782" s="3">
        <v>55</v>
      </c>
      <c r="M782" t="s" s="2">
        <v>20</v>
      </c>
    </row>
    <row r="783" ht="13.55" customHeight="1">
      <c r="A783" s="3">
        <v>19660</v>
      </c>
      <c r="B783" t="s" s="2">
        <v>13</v>
      </c>
      <c r="C783" t="s" s="2">
        <v>13</v>
      </c>
      <c r="D783" s="4">
        <v>80000</v>
      </c>
      <c r="E783" s="3">
        <v>4</v>
      </c>
      <c r="F783" t="s" s="2">
        <v>15</v>
      </c>
      <c r="G783" t="s" s="2">
        <v>31</v>
      </c>
      <c r="H783" t="s" s="2">
        <v>17</v>
      </c>
      <c r="I783" s="3">
        <v>0</v>
      </c>
      <c r="J783" t="s" s="2">
        <v>18</v>
      </c>
      <c r="K783" t="s" s="2">
        <v>35</v>
      </c>
      <c r="L783" s="3">
        <v>43</v>
      </c>
      <c r="M783" t="s" s="2">
        <v>20</v>
      </c>
    </row>
    <row r="784" ht="13.55" customHeight="1">
      <c r="A784" s="3">
        <v>16112</v>
      </c>
      <c r="B784" t="s" s="2">
        <v>25</v>
      </c>
      <c r="C784" t="s" s="2">
        <v>13</v>
      </c>
      <c r="D784" s="4">
        <v>70000</v>
      </c>
      <c r="E784" s="3">
        <v>4</v>
      </c>
      <c r="F784" t="s" s="2">
        <v>15</v>
      </c>
      <c r="G784" t="s" s="2">
        <v>23</v>
      </c>
      <c r="H784" t="s" s="2">
        <v>17</v>
      </c>
      <c r="I784" s="3">
        <v>2</v>
      </c>
      <c r="J784" t="s" s="2">
        <v>24</v>
      </c>
      <c r="K784" t="s" s="2">
        <v>35</v>
      </c>
      <c r="L784" s="3">
        <v>43</v>
      </c>
      <c r="M784" t="s" s="2">
        <v>17</v>
      </c>
    </row>
    <row r="785" ht="13.55" customHeight="1">
      <c r="A785" s="3">
        <v>20698</v>
      </c>
      <c r="B785" t="s" s="2">
        <v>13</v>
      </c>
      <c r="C785" t="s" s="2">
        <v>13</v>
      </c>
      <c r="D785" s="4">
        <v>60000</v>
      </c>
      <c r="E785" s="3">
        <v>4</v>
      </c>
      <c r="F785" t="s" s="2">
        <v>15</v>
      </c>
      <c r="G785" t="s" s="2">
        <v>16</v>
      </c>
      <c r="H785" t="s" s="2">
        <v>17</v>
      </c>
      <c r="I785" s="3">
        <v>3</v>
      </c>
      <c r="J785" t="s" s="2">
        <v>26</v>
      </c>
      <c r="K785" t="s" s="2">
        <v>35</v>
      </c>
      <c r="L785" s="3">
        <v>42</v>
      </c>
      <c r="M785" t="s" s="2">
        <v>20</v>
      </c>
    </row>
    <row r="786" ht="13.55" customHeight="1">
      <c r="A786" s="3">
        <v>20076</v>
      </c>
      <c r="B786" t="s" s="2">
        <v>25</v>
      </c>
      <c r="C786" t="s" s="2">
        <v>14</v>
      </c>
      <c r="D786" s="4">
        <v>10000</v>
      </c>
      <c r="E786" s="3">
        <v>2</v>
      </c>
      <c r="F786" t="s" s="2">
        <v>30</v>
      </c>
      <c r="G786" t="s" s="2">
        <v>28</v>
      </c>
      <c r="H786" t="s" s="2">
        <v>17</v>
      </c>
      <c r="I786" s="3">
        <v>2</v>
      </c>
      <c r="J786" t="s" s="2">
        <v>29</v>
      </c>
      <c r="K786" t="s" s="2">
        <v>35</v>
      </c>
      <c r="L786" s="3">
        <v>53</v>
      </c>
      <c r="M786" t="s" s="2">
        <v>17</v>
      </c>
    </row>
    <row r="787" ht="13.55" customHeight="1">
      <c r="A787" s="3">
        <v>24496</v>
      </c>
      <c r="B787" t="s" s="2">
        <v>25</v>
      </c>
      <c r="C787" t="s" s="2">
        <v>14</v>
      </c>
      <c r="D787" s="4">
        <v>40000</v>
      </c>
      <c r="E787" s="3">
        <v>0</v>
      </c>
      <c r="F787" t="s" s="2">
        <v>30</v>
      </c>
      <c r="G787" t="s" s="2">
        <v>16</v>
      </c>
      <c r="H787" t="s" s="2">
        <v>20</v>
      </c>
      <c r="I787" s="3">
        <v>2</v>
      </c>
      <c r="J787" t="s" s="2">
        <v>18</v>
      </c>
      <c r="K787" t="s" s="2">
        <v>35</v>
      </c>
      <c r="L787" s="3">
        <v>28</v>
      </c>
      <c r="M787" t="s" s="2">
        <v>17</v>
      </c>
    </row>
    <row r="788" ht="13.55" customHeight="1">
      <c r="A788" s="3">
        <v>15468</v>
      </c>
      <c r="B788" t="s" s="2">
        <v>13</v>
      </c>
      <c r="C788" t="s" s="2">
        <v>14</v>
      </c>
      <c r="D788" s="4">
        <v>50000</v>
      </c>
      <c r="E788" s="3">
        <v>1</v>
      </c>
      <c r="F788" t="s" s="2">
        <v>15</v>
      </c>
      <c r="G788" t="s" s="2">
        <v>16</v>
      </c>
      <c r="H788" t="s" s="2">
        <v>17</v>
      </c>
      <c r="I788" s="3">
        <v>1</v>
      </c>
      <c r="J788" t="s" s="2">
        <v>18</v>
      </c>
      <c r="K788" t="s" s="2">
        <v>35</v>
      </c>
      <c r="L788" s="3">
        <v>35</v>
      </c>
      <c r="M788" t="s" s="2">
        <v>20</v>
      </c>
    </row>
    <row r="789" ht="13.55" customHeight="1">
      <c r="A789" s="3">
        <v>28031</v>
      </c>
      <c r="B789" t="s" s="2">
        <v>25</v>
      </c>
      <c r="C789" t="s" s="2">
        <v>14</v>
      </c>
      <c r="D789" s="4">
        <v>70000</v>
      </c>
      <c r="E789" s="3">
        <v>2</v>
      </c>
      <c r="F789" t="s" s="2">
        <v>15</v>
      </c>
      <c r="G789" t="s" s="2">
        <v>31</v>
      </c>
      <c r="H789" t="s" s="2">
        <v>20</v>
      </c>
      <c r="I789" s="3">
        <v>1</v>
      </c>
      <c r="J789" t="s" s="2">
        <v>24</v>
      </c>
      <c r="K789" t="s" s="2">
        <v>35</v>
      </c>
      <c r="L789" s="3">
        <v>59</v>
      </c>
      <c r="M789" t="s" s="2">
        <v>17</v>
      </c>
    </row>
    <row r="790" ht="13.55" customHeight="1">
      <c r="A790" s="3">
        <v>26270</v>
      </c>
      <c r="B790" t="s" s="2">
        <v>25</v>
      </c>
      <c r="C790" t="s" s="2">
        <v>14</v>
      </c>
      <c r="D790" s="4">
        <v>20000</v>
      </c>
      <c r="E790" s="3">
        <v>2</v>
      </c>
      <c r="F790" t="s" s="2">
        <v>32</v>
      </c>
      <c r="G790" t="s" s="2">
        <v>22</v>
      </c>
      <c r="H790" t="s" s="2">
        <v>17</v>
      </c>
      <c r="I790" s="3">
        <v>2</v>
      </c>
      <c r="J790" t="s" s="2">
        <v>29</v>
      </c>
      <c r="K790" t="s" s="2">
        <v>35</v>
      </c>
      <c r="L790" s="3">
        <v>49</v>
      </c>
      <c r="M790" t="s" s="2">
        <v>20</v>
      </c>
    </row>
    <row r="791" ht="13.55" customHeight="1">
      <c r="A791" s="3">
        <v>22221</v>
      </c>
      <c r="B791" t="s" s="2">
        <v>13</v>
      </c>
      <c r="C791" t="s" s="2">
        <v>13</v>
      </c>
      <c r="D791" s="4">
        <v>60000</v>
      </c>
      <c r="E791" s="3">
        <v>2</v>
      </c>
      <c r="F791" t="s" s="2">
        <v>30</v>
      </c>
      <c r="G791" t="s" s="2">
        <v>23</v>
      </c>
      <c r="H791" t="s" s="2">
        <v>20</v>
      </c>
      <c r="I791" s="3">
        <v>2</v>
      </c>
      <c r="J791" t="s" s="2">
        <v>29</v>
      </c>
      <c r="K791" t="s" s="2">
        <v>35</v>
      </c>
      <c r="L791" s="3">
        <v>48</v>
      </c>
      <c r="M791" t="s" s="2">
        <v>17</v>
      </c>
    </row>
    <row r="792" ht="13.55" customHeight="1">
      <c r="A792" s="3">
        <v>28228</v>
      </c>
      <c r="B792" t="s" s="2">
        <v>25</v>
      </c>
      <c r="C792" t="s" s="2">
        <v>14</v>
      </c>
      <c r="D792" s="4">
        <v>80000</v>
      </c>
      <c r="E792" s="3">
        <v>2</v>
      </c>
      <c r="F792" t="s" s="2">
        <v>32</v>
      </c>
      <c r="G792" t="s" s="2">
        <v>16</v>
      </c>
      <c r="H792" t="s" s="2">
        <v>20</v>
      </c>
      <c r="I792" s="3">
        <v>2</v>
      </c>
      <c r="J792" t="s" s="2">
        <v>29</v>
      </c>
      <c r="K792" t="s" s="2">
        <v>35</v>
      </c>
      <c r="L792" s="3">
        <v>50</v>
      </c>
      <c r="M792" t="s" s="2">
        <v>20</v>
      </c>
    </row>
    <row r="793" ht="13.55" customHeight="1">
      <c r="A793" s="3">
        <v>18363</v>
      </c>
      <c r="B793" t="s" s="2">
        <v>13</v>
      </c>
      <c r="C793" t="s" s="2">
        <v>13</v>
      </c>
      <c r="D793" s="4">
        <v>40000</v>
      </c>
      <c r="E793" s="3">
        <v>0</v>
      </c>
      <c r="F793" t="s" s="2">
        <v>30</v>
      </c>
      <c r="G793" t="s" s="2">
        <v>16</v>
      </c>
      <c r="H793" t="s" s="2">
        <v>17</v>
      </c>
      <c r="I793" s="3">
        <v>2</v>
      </c>
      <c r="J793" t="s" s="2">
        <v>26</v>
      </c>
      <c r="K793" t="s" s="2">
        <v>35</v>
      </c>
      <c r="L793" s="3">
        <v>28</v>
      </c>
      <c r="M793" t="s" s="2">
        <v>17</v>
      </c>
    </row>
    <row r="794" ht="13.55" customHeight="1">
      <c r="A794" s="3">
        <v>23256</v>
      </c>
      <c r="B794" t="s" s="2">
        <v>25</v>
      </c>
      <c r="C794" t="s" s="2">
        <v>13</v>
      </c>
      <c r="D794" s="4">
        <v>30000</v>
      </c>
      <c r="E794" s="3">
        <v>1</v>
      </c>
      <c r="F794" t="s" s="2">
        <v>30</v>
      </c>
      <c r="G794" t="s" s="2">
        <v>22</v>
      </c>
      <c r="H794" t="s" s="2">
        <v>20</v>
      </c>
      <c r="I794" s="3">
        <v>1</v>
      </c>
      <c r="J794" t="s" s="2">
        <v>26</v>
      </c>
      <c r="K794" t="s" s="2">
        <v>35</v>
      </c>
      <c r="L794" s="3">
        <v>52</v>
      </c>
      <c r="M794" t="s" s="2">
        <v>20</v>
      </c>
    </row>
    <row r="795" ht="13.55" customHeight="1">
      <c r="A795" s="3">
        <v>12768</v>
      </c>
      <c r="B795" t="s" s="2">
        <v>13</v>
      </c>
      <c r="C795" t="s" s="2">
        <v>13</v>
      </c>
      <c r="D795" s="4">
        <v>30000</v>
      </c>
      <c r="E795" s="3">
        <v>1</v>
      </c>
      <c r="F795" t="s" s="2">
        <v>30</v>
      </c>
      <c r="G795" t="s" s="2">
        <v>22</v>
      </c>
      <c r="H795" t="s" s="2">
        <v>17</v>
      </c>
      <c r="I795" s="3">
        <v>1</v>
      </c>
      <c r="J795" t="s" s="2">
        <v>24</v>
      </c>
      <c r="K795" t="s" s="2">
        <v>35</v>
      </c>
      <c r="L795" s="3">
        <v>52</v>
      </c>
      <c r="M795" t="s" s="2">
        <v>17</v>
      </c>
    </row>
    <row r="796" ht="13.55" customHeight="1">
      <c r="A796" s="3">
        <v>20361</v>
      </c>
      <c r="B796" t="s" s="2">
        <v>13</v>
      </c>
      <c r="C796" t="s" s="2">
        <v>13</v>
      </c>
      <c r="D796" s="4">
        <v>50000</v>
      </c>
      <c r="E796" s="3">
        <v>2</v>
      </c>
      <c r="F796" t="s" s="2">
        <v>34</v>
      </c>
      <c r="G796" t="s" s="2">
        <v>31</v>
      </c>
      <c r="H796" t="s" s="2">
        <v>17</v>
      </c>
      <c r="I796" s="3">
        <v>2</v>
      </c>
      <c r="J796" t="s" s="2">
        <v>26</v>
      </c>
      <c r="K796" t="s" s="2">
        <v>35</v>
      </c>
      <c r="L796" s="3">
        <v>69</v>
      </c>
      <c r="M796" t="s" s="2">
        <v>20</v>
      </c>
    </row>
    <row r="797" ht="13.55" customHeight="1">
      <c r="A797" s="3">
        <v>21306</v>
      </c>
      <c r="B797" t="s" s="2">
        <v>25</v>
      </c>
      <c r="C797" t="s" s="2">
        <v>13</v>
      </c>
      <c r="D797" s="4">
        <v>60000</v>
      </c>
      <c r="E797" s="3">
        <v>2</v>
      </c>
      <c r="F797" t="s" s="2">
        <v>30</v>
      </c>
      <c r="G797" t="s" s="2">
        <v>23</v>
      </c>
      <c r="H797" t="s" s="2">
        <v>17</v>
      </c>
      <c r="I797" s="3">
        <v>2</v>
      </c>
      <c r="J797" t="s" s="2">
        <v>26</v>
      </c>
      <c r="K797" t="s" s="2">
        <v>35</v>
      </c>
      <c r="L797" s="3">
        <v>51</v>
      </c>
      <c r="M797" t="s" s="2">
        <v>20</v>
      </c>
    </row>
    <row r="798" ht="13.55" customHeight="1">
      <c r="A798" s="3">
        <v>13382</v>
      </c>
      <c r="B798" t="s" s="2">
        <v>13</v>
      </c>
      <c r="C798" t="s" s="2">
        <v>13</v>
      </c>
      <c r="D798" s="4">
        <v>70000</v>
      </c>
      <c r="E798" s="3">
        <v>5</v>
      </c>
      <c r="F798" t="s" s="2">
        <v>21</v>
      </c>
      <c r="G798" t="s" s="2">
        <v>23</v>
      </c>
      <c r="H798" t="s" s="2">
        <v>17</v>
      </c>
      <c r="I798" s="3">
        <v>2</v>
      </c>
      <c r="J798" t="s" s="2">
        <v>29</v>
      </c>
      <c r="K798" t="s" s="2">
        <v>35</v>
      </c>
      <c r="L798" s="3">
        <v>57</v>
      </c>
      <c r="M798" t="s" s="2">
        <v>17</v>
      </c>
    </row>
    <row r="799" ht="13.55" customHeight="1">
      <c r="A799" s="3">
        <v>20310</v>
      </c>
      <c r="B799" t="s" s="2">
        <v>25</v>
      </c>
      <c r="C799" t="s" s="2">
        <v>13</v>
      </c>
      <c r="D799" s="4">
        <v>60000</v>
      </c>
      <c r="E799" s="3">
        <v>0</v>
      </c>
      <c r="F799" t="s" s="2">
        <v>21</v>
      </c>
      <c r="G799" t="s" s="2">
        <v>16</v>
      </c>
      <c r="H799" t="s" s="2">
        <v>17</v>
      </c>
      <c r="I799" s="3">
        <v>1</v>
      </c>
      <c r="J799" t="s" s="2">
        <v>26</v>
      </c>
      <c r="K799" t="s" s="2">
        <v>35</v>
      </c>
      <c r="L799" s="3">
        <v>27</v>
      </c>
      <c r="M799" t="s" s="2">
        <v>17</v>
      </c>
    </row>
    <row r="800" ht="13.55" customHeight="1">
      <c r="A800" s="3">
        <v>22971</v>
      </c>
      <c r="B800" t="s" s="2">
        <v>25</v>
      </c>
      <c r="C800" t="s" s="2">
        <v>14</v>
      </c>
      <c r="D800" s="4">
        <v>30000</v>
      </c>
      <c r="E800" s="3">
        <v>0</v>
      </c>
      <c r="F800" t="s" s="2">
        <v>30</v>
      </c>
      <c r="G800" t="s" s="2">
        <v>16</v>
      </c>
      <c r="H800" t="s" s="2">
        <v>20</v>
      </c>
      <c r="I800" s="3">
        <v>2</v>
      </c>
      <c r="J800" t="s" s="2">
        <v>18</v>
      </c>
      <c r="K800" t="s" s="2">
        <v>35</v>
      </c>
      <c r="L800" s="3">
        <v>25</v>
      </c>
      <c r="M800" t="s" s="2">
        <v>17</v>
      </c>
    </row>
    <row r="801" ht="13.55" customHeight="1">
      <c r="A801" s="3">
        <v>15287</v>
      </c>
      <c r="B801" t="s" s="2">
        <v>25</v>
      </c>
      <c r="C801" t="s" s="2">
        <v>14</v>
      </c>
      <c r="D801" s="4">
        <v>50000</v>
      </c>
      <c r="E801" s="3">
        <v>1</v>
      </c>
      <c r="F801" t="s" s="2">
        <v>34</v>
      </c>
      <c r="G801" t="s" s="2">
        <v>16</v>
      </c>
      <c r="H801" t="s" s="2">
        <v>17</v>
      </c>
      <c r="I801" s="3">
        <v>0</v>
      </c>
      <c r="J801" t="s" s="2">
        <v>29</v>
      </c>
      <c r="K801" t="s" s="2">
        <v>35</v>
      </c>
      <c r="L801" s="3">
        <v>33</v>
      </c>
      <c r="M801" t="s" s="2">
        <v>17</v>
      </c>
    </row>
    <row r="802" ht="13.55" customHeight="1">
      <c r="A802" s="3">
        <v>15532</v>
      </c>
      <c r="B802" t="s" s="2">
        <v>25</v>
      </c>
      <c r="C802" t="s" s="2">
        <v>13</v>
      </c>
      <c r="D802" s="4">
        <v>60000</v>
      </c>
      <c r="E802" s="3">
        <v>4</v>
      </c>
      <c r="F802" t="s" s="2">
        <v>15</v>
      </c>
      <c r="G802" t="s" s="2">
        <v>23</v>
      </c>
      <c r="H802" t="s" s="2">
        <v>17</v>
      </c>
      <c r="I802" s="3">
        <v>2</v>
      </c>
      <c r="J802" t="s" s="2">
        <v>24</v>
      </c>
      <c r="K802" t="s" s="2">
        <v>35</v>
      </c>
      <c r="L802" s="3">
        <v>43</v>
      </c>
      <c r="M802" t="s" s="2">
        <v>17</v>
      </c>
    </row>
    <row r="803" ht="13.55" customHeight="1">
      <c r="A803" s="3">
        <v>11255</v>
      </c>
      <c r="B803" t="s" s="2">
        <v>13</v>
      </c>
      <c r="C803" t="s" s="2">
        <v>13</v>
      </c>
      <c r="D803" s="4">
        <v>70000</v>
      </c>
      <c r="E803" s="3">
        <v>4</v>
      </c>
      <c r="F803" t="s" s="2">
        <v>34</v>
      </c>
      <c r="G803" t="s" s="2">
        <v>31</v>
      </c>
      <c r="H803" t="s" s="2">
        <v>17</v>
      </c>
      <c r="I803" s="3">
        <v>2</v>
      </c>
      <c r="J803" t="s" s="2">
        <v>26</v>
      </c>
      <c r="K803" t="s" s="2">
        <v>35</v>
      </c>
      <c r="L803" s="3">
        <v>73</v>
      </c>
      <c r="M803" t="s" s="2">
        <v>20</v>
      </c>
    </row>
    <row r="804" ht="13.55" customHeight="1">
      <c r="A804" s="3">
        <v>28090</v>
      </c>
      <c r="B804" t="s" s="2">
        <v>13</v>
      </c>
      <c r="C804" t="s" s="2">
        <v>13</v>
      </c>
      <c r="D804" s="4">
        <v>40000</v>
      </c>
      <c r="E804" s="3">
        <v>0</v>
      </c>
      <c r="F804" t="s" s="2">
        <v>21</v>
      </c>
      <c r="G804" t="s" s="2">
        <v>16</v>
      </c>
      <c r="H804" t="s" s="2">
        <v>17</v>
      </c>
      <c r="I804" s="3">
        <v>1</v>
      </c>
      <c r="J804" t="s" s="2">
        <v>26</v>
      </c>
      <c r="K804" t="s" s="2">
        <v>35</v>
      </c>
      <c r="L804" s="3">
        <v>27</v>
      </c>
      <c r="M804" t="s" s="2">
        <v>20</v>
      </c>
    </row>
    <row r="805" ht="13.55" customHeight="1">
      <c r="A805" s="3">
        <v>15255</v>
      </c>
      <c r="B805" t="s" s="2">
        <v>13</v>
      </c>
      <c r="C805" t="s" s="2">
        <v>13</v>
      </c>
      <c r="D805" s="4">
        <v>40000</v>
      </c>
      <c r="E805" s="3">
        <v>0</v>
      </c>
      <c r="F805" t="s" s="2">
        <v>30</v>
      </c>
      <c r="G805" t="s" s="2">
        <v>16</v>
      </c>
      <c r="H805" t="s" s="2">
        <v>17</v>
      </c>
      <c r="I805" s="3">
        <v>2</v>
      </c>
      <c r="J805" t="s" s="2">
        <v>26</v>
      </c>
      <c r="K805" t="s" s="2">
        <v>35</v>
      </c>
      <c r="L805" s="3">
        <v>28</v>
      </c>
      <c r="M805" t="s" s="2">
        <v>17</v>
      </c>
    </row>
    <row r="806" ht="13.55" customHeight="1">
      <c r="A806" s="3">
        <v>13154</v>
      </c>
      <c r="B806" t="s" s="2">
        <v>13</v>
      </c>
      <c r="C806" t="s" s="2">
        <v>13</v>
      </c>
      <c r="D806" s="4">
        <v>40000</v>
      </c>
      <c r="E806" s="3">
        <v>0</v>
      </c>
      <c r="F806" t="s" s="2">
        <v>30</v>
      </c>
      <c r="G806" t="s" s="2">
        <v>16</v>
      </c>
      <c r="H806" t="s" s="2">
        <v>20</v>
      </c>
      <c r="I806" s="3">
        <v>2</v>
      </c>
      <c r="J806" t="s" s="2">
        <v>18</v>
      </c>
      <c r="K806" t="s" s="2">
        <v>35</v>
      </c>
      <c r="L806" s="3">
        <v>27</v>
      </c>
      <c r="M806" t="s" s="2">
        <v>17</v>
      </c>
    </row>
    <row r="807" ht="13.55" customHeight="1">
      <c r="A807" s="3">
        <v>26778</v>
      </c>
      <c r="B807" t="s" s="2">
        <v>25</v>
      </c>
      <c r="C807" t="s" s="2">
        <v>14</v>
      </c>
      <c r="D807" s="4">
        <v>40000</v>
      </c>
      <c r="E807" s="3">
        <v>0</v>
      </c>
      <c r="F807" t="s" s="2">
        <v>30</v>
      </c>
      <c r="G807" t="s" s="2">
        <v>16</v>
      </c>
      <c r="H807" t="s" s="2">
        <v>17</v>
      </c>
      <c r="I807" s="3">
        <v>2</v>
      </c>
      <c r="J807" t="s" s="2">
        <v>26</v>
      </c>
      <c r="K807" t="s" s="2">
        <v>35</v>
      </c>
      <c r="L807" s="3">
        <v>31</v>
      </c>
      <c r="M807" t="s" s="2">
        <v>20</v>
      </c>
    </row>
    <row r="808" ht="13.55" customHeight="1">
      <c r="A808" s="3">
        <v>23248</v>
      </c>
      <c r="B808" t="s" s="2">
        <v>13</v>
      </c>
      <c r="C808" t="s" s="2">
        <v>14</v>
      </c>
      <c r="D808" s="4">
        <v>10000</v>
      </c>
      <c r="E808" s="3">
        <v>2</v>
      </c>
      <c r="F808" t="s" s="2">
        <v>30</v>
      </c>
      <c r="G808" t="s" s="2">
        <v>28</v>
      </c>
      <c r="H808" t="s" s="2">
        <v>17</v>
      </c>
      <c r="I808" s="3">
        <v>2</v>
      </c>
      <c r="J808" t="s" s="2">
        <v>29</v>
      </c>
      <c r="K808" t="s" s="2">
        <v>35</v>
      </c>
      <c r="L808" s="3">
        <v>53</v>
      </c>
      <c r="M808" t="s" s="2">
        <v>20</v>
      </c>
    </row>
    <row r="809" ht="13.55" customHeight="1">
      <c r="A809" s="3">
        <v>21417</v>
      </c>
      <c r="B809" t="s" s="2">
        <v>25</v>
      </c>
      <c r="C809" t="s" s="2">
        <v>14</v>
      </c>
      <c r="D809" s="4">
        <v>60000</v>
      </c>
      <c r="E809" s="3">
        <v>0</v>
      </c>
      <c r="F809" t="s" s="2">
        <v>21</v>
      </c>
      <c r="G809" t="s" s="2">
        <v>23</v>
      </c>
      <c r="H809" t="s" s="2">
        <v>20</v>
      </c>
      <c r="I809" s="3">
        <v>2</v>
      </c>
      <c r="J809" t="s" s="2">
        <v>29</v>
      </c>
      <c r="K809" t="s" s="2">
        <v>35</v>
      </c>
      <c r="L809" s="3">
        <v>32</v>
      </c>
      <c r="M809" t="s" s="2">
        <v>17</v>
      </c>
    </row>
    <row r="810" ht="13.55" customHeight="1">
      <c r="A810" s="3">
        <v>17668</v>
      </c>
      <c r="B810" t="s" s="2">
        <v>25</v>
      </c>
      <c r="C810" t="s" s="2">
        <v>13</v>
      </c>
      <c r="D810" s="4">
        <v>30000</v>
      </c>
      <c r="E810" s="3">
        <v>2</v>
      </c>
      <c r="F810" t="s" s="2">
        <v>30</v>
      </c>
      <c r="G810" t="s" s="2">
        <v>16</v>
      </c>
      <c r="H810" t="s" s="2">
        <v>17</v>
      </c>
      <c r="I810" s="3">
        <v>2</v>
      </c>
      <c r="J810" t="s" s="2">
        <v>29</v>
      </c>
      <c r="K810" t="s" s="2">
        <v>35</v>
      </c>
      <c r="L810" s="3">
        <v>50</v>
      </c>
      <c r="M810" t="s" s="2">
        <v>17</v>
      </c>
    </row>
    <row r="811" ht="13.55" customHeight="1">
      <c r="A811" s="3">
        <v>27994</v>
      </c>
      <c r="B811" t="s" s="2">
        <v>13</v>
      </c>
      <c r="C811" t="s" s="2">
        <v>14</v>
      </c>
      <c r="D811" s="4">
        <v>40000</v>
      </c>
      <c r="E811" s="3">
        <v>4</v>
      </c>
      <c r="F811" t="s" s="2">
        <v>30</v>
      </c>
      <c r="G811" t="s" s="2">
        <v>23</v>
      </c>
      <c r="H811" t="s" s="2">
        <v>17</v>
      </c>
      <c r="I811" s="3">
        <v>2</v>
      </c>
      <c r="J811" t="s" s="2">
        <v>26</v>
      </c>
      <c r="K811" t="s" s="2">
        <v>35</v>
      </c>
      <c r="L811" s="3">
        <v>69</v>
      </c>
      <c r="M811" t="s" s="2">
        <v>20</v>
      </c>
    </row>
    <row r="812" ht="13.55" customHeight="1">
      <c r="A812" s="3">
        <v>20376</v>
      </c>
      <c r="B812" t="s" s="2">
        <v>25</v>
      </c>
      <c r="C812" t="s" s="2">
        <v>14</v>
      </c>
      <c r="D812" s="4">
        <v>70000</v>
      </c>
      <c r="E812" s="3">
        <v>3</v>
      </c>
      <c r="F812" t="s" s="2">
        <v>34</v>
      </c>
      <c r="G812" t="s" s="2">
        <v>31</v>
      </c>
      <c r="H812" t="s" s="2">
        <v>17</v>
      </c>
      <c r="I812" s="3">
        <v>2</v>
      </c>
      <c r="J812" t="s" s="2">
        <v>26</v>
      </c>
      <c r="K812" t="s" s="2">
        <v>35</v>
      </c>
      <c r="L812" s="3">
        <v>52</v>
      </c>
      <c r="M812" t="s" s="2">
        <v>17</v>
      </c>
    </row>
    <row r="813" ht="13.55" customHeight="1">
      <c r="A813" s="3">
        <v>25954</v>
      </c>
      <c r="B813" t="s" s="2">
        <v>13</v>
      </c>
      <c r="C813" t="s" s="2">
        <v>13</v>
      </c>
      <c r="D813" s="4">
        <v>60000</v>
      </c>
      <c r="E813" s="3">
        <v>0</v>
      </c>
      <c r="F813" t="s" s="2">
        <v>21</v>
      </c>
      <c r="G813" t="s" s="2">
        <v>16</v>
      </c>
      <c r="H813" t="s" s="2">
        <v>20</v>
      </c>
      <c r="I813" s="3">
        <v>2</v>
      </c>
      <c r="J813" t="s" s="2">
        <v>29</v>
      </c>
      <c r="K813" t="s" s="2">
        <v>35</v>
      </c>
      <c r="L813" s="3">
        <v>31</v>
      </c>
      <c r="M813" t="s" s="2">
        <v>20</v>
      </c>
    </row>
    <row r="814" ht="13.55" customHeight="1">
      <c r="A814" s="3">
        <v>15749</v>
      </c>
      <c r="B814" t="s" s="2">
        <v>25</v>
      </c>
      <c r="C814" t="s" s="2">
        <v>14</v>
      </c>
      <c r="D814" s="4">
        <v>70000</v>
      </c>
      <c r="E814" s="3">
        <v>4</v>
      </c>
      <c r="F814" t="s" s="2">
        <v>15</v>
      </c>
      <c r="G814" t="s" s="2">
        <v>31</v>
      </c>
      <c r="H814" t="s" s="2">
        <v>17</v>
      </c>
      <c r="I814" s="3">
        <v>2</v>
      </c>
      <c r="J814" t="s" s="2">
        <v>33</v>
      </c>
      <c r="K814" t="s" s="2">
        <v>35</v>
      </c>
      <c r="L814" s="3">
        <v>61</v>
      </c>
      <c r="M814" t="s" s="2">
        <v>20</v>
      </c>
    </row>
    <row r="815" ht="13.55" customHeight="1">
      <c r="A815" s="3">
        <v>25899</v>
      </c>
      <c r="B815" t="s" s="2">
        <v>13</v>
      </c>
      <c r="C815" t="s" s="2">
        <v>14</v>
      </c>
      <c r="D815" s="4">
        <v>70000</v>
      </c>
      <c r="E815" s="3">
        <v>2</v>
      </c>
      <c r="F815" t="s" s="2">
        <v>30</v>
      </c>
      <c r="G815" t="s" s="2">
        <v>23</v>
      </c>
      <c r="H815" t="s" s="2">
        <v>17</v>
      </c>
      <c r="I815" s="3">
        <v>2</v>
      </c>
      <c r="J815" t="s" s="2">
        <v>33</v>
      </c>
      <c r="K815" t="s" s="2">
        <v>35</v>
      </c>
      <c r="L815" s="3">
        <v>53</v>
      </c>
      <c r="M815" t="s" s="2">
        <v>20</v>
      </c>
    </row>
    <row r="816" ht="13.55" customHeight="1">
      <c r="A816" s="3">
        <v>13351</v>
      </c>
      <c r="B816" t="s" s="2">
        <v>25</v>
      </c>
      <c r="C816" t="s" s="2">
        <v>14</v>
      </c>
      <c r="D816" s="4">
        <v>70000</v>
      </c>
      <c r="E816" s="3">
        <v>4</v>
      </c>
      <c r="F816" t="s" s="2">
        <v>15</v>
      </c>
      <c r="G816" t="s" s="2">
        <v>31</v>
      </c>
      <c r="H816" t="s" s="2">
        <v>17</v>
      </c>
      <c r="I816" s="3">
        <v>2</v>
      </c>
      <c r="J816" t="s" s="2">
        <v>29</v>
      </c>
      <c r="K816" t="s" s="2">
        <v>35</v>
      </c>
      <c r="L816" s="3">
        <v>62</v>
      </c>
      <c r="M816" t="s" s="2">
        <v>17</v>
      </c>
    </row>
    <row r="817" ht="13.55" customHeight="1">
      <c r="A817" s="3">
        <v>23333</v>
      </c>
      <c r="B817" t="s" s="2">
        <v>13</v>
      </c>
      <c r="C817" t="s" s="2">
        <v>13</v>
      </c>
      <c r="D817" s="4">
        <v>40000</v>
      </c>
      <c r="E817" s="3">
        <v>0</v>
      </c>
      <c r="F817" t="s" s="2">
        <v>21</v>
      </c>
      <c r="G817" t="s" s="2">
        <v>16</v>
      </c>
      <c r="H817" t="s" s="2">
        <v>20</v>
      </c>
      <c r="I817" s="3">
        <v>2</v>
      </c>
      <c r="J817" t="s" s="2">
        <v>29</v>
      </c>
      <c r="K817" t="s" s="2">
        <v>35</v>
      </c>
      <c r="L817" s="3">
        <v>30</v>
      </c>
      <c r="M817" t="s" s="2">
        <v>20</v>
      </c>
    </row>
    <row r="818" ht="13.55" customHeight="1">
      <c r="A818" s="3">
        <v>21660</v>
      </c>
      <c r="B818" t="s" s="2">
        <v>13</v>
      </c>
      <c r="C818" t="s" s="2">
        <v>14</v>
      </c>
      <c r="D818" s="4">
        <v>60000</v>
      </c>
      <c r="E818" s="3">
        <v>3</v>
      </c>
      <c r="F818" t="s" s="2">
        <v>34</v>
      </c>
      <c r="G818" t="s" s="2">
        <v>23</v>
      </c>
      <c r="H818" t="s" s="2">
        <v>17</v>
      </c>
      <c r="I818" s="3">
        <v>0</v>
      </c>
      <c r="J818" t="s" s="2">
        <v>24</v>
      </c>
      <c r="K818" t="s" s="2">
        <v>35</v>
      </c>
      <c r="L818" s="3">
        <v>43</v>
      </c>
      <c r="M818" t="s" s="2">
        <v>17</v>
      </c>
    </row>
    <row r="819" ht="13.55" customHeight="1">
      <c r="A819" s="3">
        <v>17012</v>
      </c>
      <c r="B819" t="s" s="2">
        <v>13</v>
      </c>
      <c r="C819" t="s" s="2">
        <v>14</v>
      </c>
      <c r="D819" s="4">
        <v>60000</v>
      </c>
      <c r="E819" s="3">
        <v>3</v>
      </c>
      <c r="F819" t="s" s="2">
        <v>34</v>
      </c>
      <c r="G819" t="s" s="2">
        <v>23</v>
      </c>
      <c r="H819" t="s" s="2">
        <v>17</v>
      </c>
      <c r="I819" s="3">
        <v>0</v>
      </c>
      <c r="J819" t="s" s="2">
        <v>24</v>
      </c>
      <c r="K819" t="s" s="2">
        <v>35</v>
      </c>
      <c r="L819" s="3">
        <v>42</v>
      </c>
      <c r="M819" t="s" s="2">
        <v>17</v>
      </c>
    </row>
    <row r="820" ht="13.55" customHeight="1">
      <c r="A820" s="3">
        <v>24514</v>
      </c>
      <c r="B820" t="s" s="2">
        <v>13</v>
      </c>
      <c r="C820" t="s" s="2">
        <v>13</v>
      </c>
      <c r="D820" s="4">
        <v>40000</v>
      </c>
      <c r="E820" s="3">
        <v>0</v>
      </c>
      <c r="F820" t="s" s="2">
        <v>21</v>
      </c>
      <c r="G820" t="s" s="2">
        <v>16</v>
      </c>
      <c r="H820" t="s" s="2">
        <v>17</v>
      </c>
      <c r="I820" s="3">
        <v>1</v>
      </c>
      <c r="J820" t="s" s="2">
        <v>26</v>
      </c>
      <c r="K820" t="s" s="2">
        <v>35</v>
      </c>
      <c r="L820" s="3">
        <v>30</v>
      </c>
      <c r="M820" t="s" s="2">
        <v>20</v>
      </c>
    </row>
    <row r="821" ht="13.55" customHeight="1">
      <c r="A821" s="3">
        <v>27505</v>
      </c>
      <c r="B821" t="s" s="2">
        <v>25</v>
      </c>
      <c r="C821" t="s" s="2">
        <v>14</v>
      </c>
      <c r="D821" s="4">
        <v>40000</v>
      </c>
      <c r="E821" s="3">
        <v>0</v>
      </c>
      <c r="F821" t="s" s="2">
        <v>30</v>
      </c>
      <c r="G821" t="s" s="2">
        <v>16</v>
      </c>
      <c r="H821" t="s" s="2">
        <v>17</v>
      </c>
      <c r="I821" s="3">
        <v>2</v>
      </c>
      <c r="J821" t="s" s="2">
        <v>26</v>
      </c>
      <c r="K821" t="s" s="2">
        <v>35</v>
      </c>
      <c r="L821" s="3">
        <v>30</v>
      </c>
      <c r="M821" t="s" s="2">
        <v>20</v>
      </c>
    </row>
    <row r="822" ht="13.55" customHeight="1">
      <c r="A822" s="3">
        <v>29243</v>
      </c>
      <c r="B822" t="s" s="2">
        <v>25</v>
      </c>
      <c r="C822" t="s" s="2">
        <v>13</v>
      </c>
      <c r="D822" s="4">
        <v>110000</v>
      </c>
      <c r="E822" s="3">
        <v>1</v>
      </c>
      <c r="F822" t="s" s="2">
        <v>15</v>
      </c>
      <c r="G822" t="s" s="2">
        <v>31</v>
      </c>
      <c r="H822" t="s" s="2">
        <v>17</v>
      </c>
      <c r="I822" s="3">
        <v>1</v>
      </c>
      <c r="J822" t="s" s="2">
        <v>26</v>
      </c>
      <c r="K822" t="s" s="2">
        <v>35</v>
      </c>
      <c r="L822" s="3">
        <v>43</v>
      </c>
      <c r="M822" t="s" s="2">
        <v>20</v>
      </c>
    </row>
    <row r="823" ht="13.55" customHeight="1">
      <c r="A823" s="3">
        <v>26582</v>
      </c>
      <c r="B823" t="s" s="2">
        <v>13</v>
      </c>
      <c r="C823" t="s" s="2">
        <v>13</v>
      </c>
      <c r="D823" s="4">
        <v>60000</v>
      </c>
      <c r="E823" s="3">
        <v>0</v>
      </c>
      <c r="F823" t="s" s="2">
        <v>21</v>
      </c>
      <c r="G823" t="s" s="2">
        <v>16</v>
      </c>
      <c r="H823" t="s" s="2">
        <v>17</v>
      </c>
      <c r="I823" s="3">
        <v>2</v>
      </c>
      <c r="J823" t="s" s="2">
        <v>26</v>
      </c>
      <c r="K823" t="s" s="2">
        <v>35</v>
      </c>
      <c r="L823" s="3">
        <v>33</v>
      </c>
      <c r="M823" t="s" s="2">
        <v>17</v>
      </c>
    </row>
    <row r="824" ht="13.55" customHeight="1">
      <c r="A824" s="3">
        <v>14271</v>
      </c>
      <c r="B824" t="s" s="2">
        <v>13</v>
      </c>
      <c r="C824" t="s" s="2">
        <v>13</v>
      </c>
      <c r="D824" s="4">
        <v>30000</v>
      </c>
      <c r="E824" s="3">
        <v>0</v>
      </c>
      <c r="F824" t="s" s="2">
        <v>30</v>
      </c>
      <c r="G824" t="s" s="2">
        <v>16</v>
      </c>
      <c r="H824" t="s" s="2">
        <v>17</v>
      </c>
      <c r="I824" s="3">
        <v>2</v>
      </c>
      <c r="J824" t="s" s="2">
        <v>26</v>
      </c>
      <c r="K824" t="s" s="2">
        <v>35</v>
      </c>
      <c r="L824" s="3">
        <v>32</v>
      </c>
      <c r="M824" t="s" s="2">
        <v>20</v>
      </c>
    </row>
    <row r="825" ht="13.55" customHeight="1">
      <c r="A825" s="3">
        <v>23041</v>
      </c>
      <c r="B825" t="s" s="2">
        <v>25</v>
      </c>
      <c r="C825" t="s" s="2">
        <v>14</v>
      </c>
      <c r="D825" s="4">
        <v>70000</v>
      </c>
      <c r="E825" s="3">
        <v>4</v>
      </c>
      <c r="F825" t="s" s="2">
        <v>30</v>
      </c>
      <c r="G825" t="s" s="2">
        <v>23</v>
      </c>
      <c r="H825" t="s" s="2">
        <v>17</v>
      </c>
      <c r="I825" s="3">
        <v>0</v>
      </c>
      <c r="J825" t="s" s="2">
        <v>26</v>
      </c>
      <c r="K825" t="s" s="2">
        <v>35</v>
      </c>
      <c r="L825" s="3">
        <v>50</v>
      </c>
      <c r="M825" t="s" s="2">
        <v>17</v>
      </c>
    </row>
    <row r="826" ht="13.55" customHeight="1">
      <c r="A826" s="3">
        <v>29048</v>
      </c>
      <c r="B826" t="s" s="2">
        <v>25</v>
      </c>
      <c r="C826" t="s" s="2">
        <v>13</v>
      </c>
      <c r="D826" s="4">
        <v>110000</v>
      </c>
      <c r="E826" s="3">
        <v>2</v>
      </c>
      <c r="F826" t="s" s="2">
        <v>15</v>
      </c>
      <c r="G826" t="s" s="2">
        <v>31</v>
      </c>
      <c r="H826" t="s" s="2">
        <v>20</v>
      </c>
      <c r="I826" s="3">
        <v>3</v>
      </c>
      <c r="J826" t="s" s="2">
        <v>18</v>
      </c>
      <c r="K826" t="s" s="2">
        <v>35</v>
      </c>
      <c r="L826" s="3">
        <v>37</v>
      </c>
      <c r="M826" t="s" s="2">
        <v>17</v>
      </c>
    </row>
    <row r="827" ht="13.55" customHeight="1">
      <c r="A827" s="3">
        <v>24433</v>
      </c>
      <c r="B827" t="s" s="2">
        <v>13</v>
      </c>
      <c r="C827" t="s" s="2">
        <v>13</v>
      </c>
      <c r="D827" s="4">
        <v>70000</v>
      </c>
      <c r="E827" s="3">
        <v>3</v>
      </c>
      <c r="F827" t="s" s="2">
        <v>30</v>
      </c>
      <c r="G827" t="s" s="2">
        <v>23</v>
      </c>
      <c r="H827" t="s" s="2">
        <v>20</v>
      </c>
      <c r="I827" s="3">
        <v>1</v>
      </c>
      <c r="J827" t="s" s="2">
        <v>29</v>
      </c>
      <c r="K827" t="s" s="2">
        <v>35</v>
      </c>
      <c r="L827" s="3">
        <v>52</v>
      </c>
      <c r="M827" t="s" s="2">
        <v>17</v>
      </c>
    </row>
    <row r="828" ht="13.55" customHeight="1">
      <c r="A828" s="3">
        <v>15501</v>
      </c>
      <c r="B828" t="s" s="2">
        <v>13</v>
      </c>
      <c r="C828" t="s" s="2">
        <v>13</v>
      </c>
      <c r="D828" s="4">
        <v>70000</v>
      </c>
      <c r="E828" s="3">
        <v>4</v>
      </c>
      <c r="F828" t="s" s="2">
        <v>34</v>
      </c>
      <c r="G828" t="s" s="2">
        <v>23</v>
      </c>
      <c r="H828" t="s" s="2">
        <v>17</v>
      </c>
      <c r="I828" s="3">
        <v>0</v>
      </c>
      <c r="J828" t="s" s="2">
        <v>24</v>
      </c>
      <c r="K828" t="s" s="2">
        <v>35</v>
      </c>
      <c r="L828" s="3">
        <v>36</v>
      </c>
      <c r="M828" t="s" s="2">
        <v>17</v>
      </c>
    </row>
    <row r="829" ht="13.55" customHeight="1">
      <c r="A829" s="3">
        <v>13911</v>
      </c>
      <c r="B829" t="s" s="2">
        <v>25</v>
      </c>
      <c r="C829" t="s" s="2">
        <v>14</v>
      </c>
      <c r="D829" s="4">
        <v>80000</v>
      </c>
      <c r="E829" s="3">
        <v>3</v>
      </c>
      <c r="F829" t="s" s="2">
        <v>15</v>
      </c>
      <c r="G829" t="s" s="2">
        <v>16</v>
      </c>
      <c r="H829" t="s" s="2">
        <v>17</v>
      </c>
      <c r="I829" s="3">
        <v>2</v>
      </c>
      <c r="J829" t="s" s="2">
        <v>24</v>
      </c>
      <c r="K829" t="s" s="2">
        <v>35</v>
      </c>
      <c r="L829" s="3">
        <v>41</v>
      </c>
      <c r="M829" t="s" s="2">
        <v>17</v>
      </c>
    </row>
    <row r="830" ht="13.55" customHeight="1">
      <c r="A830" s="3">
        <v>20421</v>
      </c>
      <c r="B830" t="s" s="2">
        <v>25</v>
      </c>
      <c r="C830" t="s" s="2">
        <v>14</v>
      </c>
      <c r="D830" s="4">
        <v>40000</v>
      </c>
      <c r="E830" s="3">
        <v>0</v>
      </c>
      <c r="F830" t="s" s="2">
        <v>32</v>
      </c>
      <c r="G830" t="s" s="2">
        <v>22</v>
      </c>
      <c r="H830" t="s" s="2">
        <v>17</v>
      </c>
      <c r="I830" s="3">
        <v>2</v>
      </c>
      <c r="J830" t="s" s="2">
        <v>26</v>
      </c>
      <c r="K830" t="s" s="2">
        <v>35</v>
      </c>
      <c r="L830" s="3">
        <v>26</v>
      </c>
      <c r="M830" t="s" s="2">
        <v>20</v>
      </c>
    </row>
    <row r="831" ht="13.55" customHeight="1">
      <c r="A831" s="3">
        <v>16009</v>
      </c>
      <c r="B831" t="s" s="2">
        <v>25</v>
      </c>
      <c r="C831" t="s" s="2">
        <v>13</v>
      </c>
      <c r="D831" s="4">
        <v>170000</v>
      </c>
      <c r="E831" s="3">
        <v>1</v>
      </c>
      <c r="F831" t="s" s="2">
        <v>34</v>
      </c>
      <c r="G831" t="s" s="2">
        <v>31</v>
      </c>
      <c r="H831" t="s" s="2">
        <v>20</v>
      </c>
      <c r="I831" s="3">
        <v>4</v>
      </c>
      <c r="J831" t="s" s="2">
        <v>18</v>
      </c>
      <c r="K831" t="s" s="2">
        <v>35</v>
      </c>
      <c r="L831" s="3">
        <v>66</v>
      </c>
      <c r="M831" t="s" s="2">
        <v>20</v>
      </c>
    </row>
    <row r="832" ht="13.55" customHeight="1">
      <c r="A832" s="3">
        <v>18411</v>
      </c>
      <c r="B832" t="s" s="2">
        <v>13</v>
      </c>
      <c r="C832" t="s" s="2">
        <v>13</v>
      </c>
      <c r="D832" s="4">
        <v>60000</v>
      </c>
      <c r="E832" s="3">
        <v>2</v>
      </c>
      <c r="F832" t="s" s="2">
        <v>30</v>
      </c>
      <c r="G832" t="s" s="2">
        <v>23</v>
      </c>
      <c r="H832" t="s" s="2">
        <v>20</v>
      </c>
      <c r="I832" s="3">
        <v>2</v>
      </c>
      <c r="J832" t="s" s="2">
        <v>26</v>
      </c>
      <c r="K832" t="s" s="2">
        <v>35</v>
      </c>
      <c r="L832" s="3">
        <v>51</v>
      </c>
      <c r="M832" t="s" s="2">
        <v>20</v>
      </c>
    </row>
    <row r="833" ht="13.55" customHeight="1">
      <c r="A833" s="3">
        <v>19163</v>
      </c>
      <c r="B833" t="s" s="2">
        <v>13</v>
      </c>
      <c r="C833" t="s" s="2">
        <v>14</v>
      </c>
      <c r="D833" s="4">
        <v>70000</v>
      </c>
      <c r="E833" s="3">
        <v>4</v>
      </c>
      <c r="F833" t="s" s="2">
        <v>15</v>
      </c>
      <c r="G833" t="s" s="2">
        <v>23</v>
      </c>
      <c r="H833" t="s" s="2">
        <v>17</v>
      </c>
      <c r="I833" s="3">
        <v>2</v>
      </c>
      <c r="J833" t="s" s="2">
        <v>18</v>
      </c>
      <c r="K833" t="s" s="2">
        <v>35</v>
      </c>
      <c r="L833" s="3">
        <v>43</v>
      </c>
      <c r="M833" t="s" s="2">
        <v>17</v>
      </c>
    </row>
    <row r="834" ht="13.55" customHeight="1">
      <c r="A834" s="3">
        <v>18572</v>
      </c>
      <c r="B834" t="s" s="2">
        <v>13</v>
      </c>
      <c r="C834" t="s" s="2">
        <v>14</v>
      </c>
      <c r="D834" s="4">
        <v>60000</v>
      </c>
      <c r="E834" s="3">
        <v>0</v>
      </c>
      <c r="F834" t="s" s="2">
        <v>34</v>
      </c>
      <c r="G834" t="s" s="2">
        <v>23</v>
      </c>
      <c r="H834" t="s" s="2">
        <v>17</v>
      </c>
      <c r="I834" s="3">
        <v>0</v>
      </c>
      <c r="J834" t="s" s="2">
        <v>18</v>
      </c>
      <c r="K834" t="s" s="2">
        <v>35</v>
      </c>
      <c r="L834" s="3">
        <v>39</v>
      </c>
      <c r="M834" t="s" s="2">
        <v>20</v>
      </c>
    </row>
    <row r="835" ht="13.55" customHeight="1">
      <c r="A835" s="3">
        <v>27540</v>
      </c>
      <c r="B835" t="s" s="2">
        <v>25</v>
      </c>
      <c r="C835" t="s" s="2">
        <v>14</v>
      </c>
      <c r="D835" s="4">
        <v>70000</v>
      </c>
      <c r="E835" s="3">
        <v>0</v>
      </c>
      <c r="F835" t="s" s="2">
        <v>15</v>
      </c>
      <c r="G835" t="s" s="2">
        <v>23</v>
      </c>
      <c r="H835" t="s" s="2">
        <v>20</v>
      </c>
      <c r="I835" s="3">
        <v>1</v>
      </c>
      <c r="J835" t="s" s="2">
        <v>18</v>
      </c>
      <c r="K835" t="s" s="2">
        <v>35</v>
      </c>
      <c r="L835" s="3">
        <v>37</v>
      </c>
      <c r="M835" t="s" s="2">
        <v>17</v>
      </c>
    </row>
    <row r="836" ht="13.55" customHeight="1">
      <c r="A836" s="3">
        <v>19889</v>
      </c>
      <c r="B836" t="s" s="2">
        <v>25</v>
      </c>
      <c r="C836" t="s" s="2">
        <v>14</v>
      </c>
      <c r="D836" s="4">
        <v>70000</v>
      </c>
      <c r="E836" s="3">
        <v>2</v>
      </c>
      <c r="F836" t="s" s="2">
        <v>32</v>
      </c>
      <c r="G836" t="s" s="2">
        <v>16</v>
      </c>
      <c r="H836" t="s" s="2">
        <v>20</v>
      </c>
      <c r="I836" s="3">
        <v>2</v>
      </c>
      <c r="J836" t="s" s="2">
        <v>24</v>
      </c>
      <c r="K836" t="s" s="2">
        <v>35</v>
      </c>
      <c r="L836" s="3">
        <v>54</v>
      </c>
      <c r="M836" t="s" s="2">
        <v>17</v>
      </c>
    </row>
    <row r="837" ht="13.55" customHeight="1">
      <c r="A837" s="3">
        <v>12922</v>
      </c>
      <c r="B837" t="s" s="2">
        <v>25</v>
      </c>
      <c r="C837" t="s" s="2">
        <v>14</v>
      </c>
      <c r="D837" s="4">
        <v>60000</v>
      </c>
      <c r="E837" s="3">
        <v>3</v>
      </c>
      <c r="F837" t="s" s="2">
        <v>15</v>
      </c>
      <c r="G837" t="s" s="2">
        <v>16</v>
      </c>
      <c r="H837" t="s" s="2">
        <v>17</v>
      </c>
      <c r="I837" s="3">
        <v>0</v>
      </c>
      <c r="J837" t="s" s="2">
        <v>24</v>
      </c>
      <c r="K837" t="s" s="2">
        <v>35</v>
      </c>
      <c r="L837" s="3">
        <v>40</v>
      </c>
      <c r="M837" t="s" s="2">
        <v>17</v>
      </c>
    </row>
    <row r="838" ht="13.55" customHeight="1">
      <c r="A838" s="3">
        <v>18891</v>
      </c>
      <c r="B838" t="s" s="2">
        <v>13</v>
      </c>
      <c r="C838" t="s" s="2">
        <v>14</v>
      </c>
      <c r="D838" s="4">
        <v>40000</v>
      </c>
      <c r="E838" s="3">
        <v>0</v>
      </c>
      <c r="F838" t="s" s="2">
        <v>21</v>
      </c>
      <c r="G838" t="s" s="2">
        <v>16</v>
      </c>
      <c r="H838" t="s" s="2">
        <v>17</v>
      </c>
      <c r="I838" s="3">
        <v>2</v>
      </c>
      <c r="J838" t="s" s="2">
        <v>26</v>
      </c>
      <c r="K838" t="s" s="2">
        <v>35</v>
      </c>
      <c r="L838" s="3">
        <v>28</v>
      </c>
      <c r="M838" t="s" s="2">
        <v>20</v>
      </c>
    </row>
    <row r="839" ht="13.55" customHeight="1">
      <c r="A839" s="3">
        <v>16773</v>
      </c>
      <c r="B839" t="s" s="2">
        <v>13</v>
      </c>
      <c r="C839" t="s" s="2">
        <v>13</v>
      </c>
      <c r="D839" s="4">
        <v>60000</v>
      </c>
      <c r="E839" s="3">
        <v>1</v>
      </c>
      <c r="F839" t="s" s="2">
        <v>34</v>
      </c>
      <c r="G839" t="s" s="2">
        <v>16</v>
      </c>
      <c r="H839" t="s" s="2">
        <v>17</v>
      </c>
      <c r="I839" s="3">
        <v>0</v>
      </c>
      <c r="J839" t="s" s="2">
        <v>18</v>
      </c>
      <c r="K839" t="s" s="2">
        <v>35</v>
      </c>
      <c r="L839" s="3">
        <v>33</v>
      </c>
      <c r="M839" t="s" s="2">
        <v>20</v>
      </c>
    </row>
    <row r="840" ht="13.55" customHeight="1">
      <c r="A840" s="3">
        <v>19143</v>
      </c>
      <c r="B840" t="s" s="2">
        <v>25</v>
      </c>
      <c r="C840" t="s" s="2">
        <v>14</v>
      </c>
      <c r="D840" s="4">
        <v>80000</v>
      </c>
      <c r="E840" s="3">
        <v>3</v>
      </c>
      <c r="F840" t="s" s="2">
        <v>15</v>
      </c>
      <c r="G840" t="s" s="2">
        <v>16</v>
      </c>
      <c r="H840" t="s" s="2">
        <v>17</v>
      </c>
      <c r="I840" s="3">
        <v>2</v>
      </c>
      <c r="J840" t="s" s="2">
        <v>24</v>
      </c>
      <c r="K840" t="s" s="2">
        <v>35</v>
      </c>
      <c r="L840" s="3">
        <v>41</v>
      </c>
      <c r="M840" t="s" s="2">
        <v>17</v>
      </c>
    </row>
    <row r="841" ht="13.55" customHeight="1">
      <c r="A841" s="3">
        <v>23882</v>
      </c>
      <c r="B841" t="s" s="2">
        <v>25</v>
      </c>
      <c r="C841" t="s" s="2">
        <v>14</v>
      </c>
      <c r="D841" s="4">
        <v>80000</v>
      </c>
      <c r="E841" s="3">
        <v>3</v>
      </c>
      <c r="F841" t="s" s="2">
        <v>34</v>
      </c>
      <c r="G841" t="s" s="2">
        <v>23</v>
      </c>
      <c r="H841" t="s" s="2">
        <v>17</v>
      </c>
      <c r="I841" s="3">
        <v>0</v>
      </c>
      <c r="J841" t="s" s="2">
        <v>18</v>
      </c>
      <c r="K841" t="s" s="2">
        <v>35</v>
      </c>
      <c r="L841" s="3">
        <v>37</v>
      </c>
      <c r="M841" t="s" s="2">
        <v>17</v>
      </c>
    </row>
    <row r="842" ht="13.55" customHeight="1">
      <c r="A842" s="3">
        <v>11233</v>
      </c>
      <c r="B842" t="s" s="2">
        <v>13</v>
      </c>
      <c r="C842" t="s" s="2">
        <v>13</v>
      </c>
      <c r="D842" s="4">
        <v>70000</v>
      </c>
      <c r="E842" s="3">
        <v>4</v>
      </c>
      <c r="F842" t="s" s="2">
        <v>21</v>
      </c>
      <c r="G842" t="s" s="2">
        <v>23</v>
      </c>
      <c r="H842" t="s" s="2">
        <v>17</v>
      </c>
      <c r="I842" s="3">
        <v>2</v>
      </c>
      <c r="J842" t="s" s="2">
        <v>33</v>
      </c>
      <c r="K842" t="s" s="2">
        <v>35</v>
      </c>
      <c r="L842" s="3">
        <v>53</v>
      </c>
      <c r="M842" t="s" s="2">
        <v>20</v>
      </c>
    </row>
    <row r="843" ht="13.55" customHeight="1">
      <c r="A843" s="3">
        <v>12056</v>
      </c>
      <c r="B843" t="s" s="2">
        <v>13</v>
      </c>
      <c r="C843" t="s" s="2">
        <v>13</v>
      </c>
      <c r="D843" s="4">
        <v>120000</v>
      </c>
      <c r="E843" s="3">
        <v>2</v>
      </c>
      <c r="F843" t="s" s="2">
        <v>34</v>
      </c>
      <c r="G843" t="s" s="2">
        <v>31</v>
      </c>
      <c r="H843" t="s" s="2">
        <v>17</v>
      </c>
      <c r="I843" s="3">
        <v>3</v>
      </c>
      <c r="J843" t="s" s="2">
        <v>26</v>
      </c>
      <c r="K843" t="s" s="2">
        <v>35</v>
      </c>
      <c r="L843" s="3">
        <v>64</v>
      </c>
      <c r="M843" t="s" s="2">
        <v>20</v>
      </c>
    </row>
    <row r="844" ht="13.55" customHeight="1">
      <c r="A844" s="3">
        <v>15555</v>
      </c>
      <c r="B844" t="s" s="2">
        <v>13</v>
      </c>
      <c r="C844" t="s" s="2">
        <v>14</v>
      </c>
      <c r="D844" s="4">
        <v>60000</v>
      </c>
      <c r="E844" s="3">
        <v>1</v>
      </c>
      <c r="F844" t="s" s="2">
        <v>21</v>
      </c>
      <c r="G844" t="s" s="2">
        <v>16</v>
      </c>
      <c r="H844" t="s" s="2">
        <v>17</v>
      </c>
      <c r="I844" s="3">
        <v>1</v>
      </c>
      <c r="J844" t="s" s="2">
        <v>24</v>
      </c>
      <c r="K844" t="s" s="2">
        <v>35</v>
      </c>
      <c r="L844" s="3">
        <v>45</v>
      </c>
      <c r="M844" t="s" s="2">
        <v>17</v>
      </c>
    </row>
    <row r="845" ht="13.55" customHeight="1">
      <c r="A845" s="3">
        <v>18423</v>
      </c>
      <c r="B845" t="s" s="2">
        <v>25</v>
      </c>
      <c r="C845" t="s" s="2">
        <v>13</v>
      </c>
      <c r="D845" s="4">
        <v>80000</v>
      </c>
      <c r="E845" s="3">
        <v>2</v>
      </c>
      <c r="F845" t="s" s="2">
        <v>32</v>
      </c>
      <c r="G845" t="s" s="2">
        <v>16</v>
      </c>
      <c r="H845" t="s" s="2">
        <v>20</v>
      </c>
      <c r="I845" s="3">
        <v>2</v>
      </c>
      <c r="J845" t="s" s="2">
        <v>29</v>
      </c>
      <c r="K845" t="s" s="2">
        <v>35</v>
      </c>
      <c r="L845" s="3">
        <v>52</v>
      </c>
      <c r="M845" t="s" s="2">
        <v>20</v>
      </c>
    </row>
    <row r="846" ht="13.55" customHeight="1">
      <c r="A846" s="3">
        <v>22743</v>
      </c>
      <c r="B846" t="s" s="2">
        <v>13</v>
      </c>
      <c r="C846" t="s" s="2">
        <v>14</v>
      </c>
      <c r="D846" s="4">
        <v>40000</v>
      </c>
      <c r="E846" s="3">
        <v>5</v>
      </c>
      <c r="F846" t="s" s="2">
        <v>30</v>
      </c>
      <c r="G846" t="s" s="2">
        <v>23</v>
      </c>
      <c r="H846" t="s" s="2">
        <v>17</v>
      </c>
      <c r="I846" s="3">
        <v>2</v>
      </c>
      <c r="J846" t="s" s="2">
        <v>33</v>
      </c>
      <c r="K846" t="s" s="2">
        <v>35</v>
      </c>
      <c r="L846" s="3">
        <v>60</v>
      </c>
      <c r="M846" t="s" s="2">
        <v>20</v>
      </c>
    </row>
    <row r="847" ht="13.55" customHeight="1">
      <c r="A847" s="3">
        <v>25343</v>
      </c>
      <c r="B847" t="s" s="2">
        <v>25</v>
      </c>
      <c r="C847" t="s" s="2">
        <v>14</v>
      </c>
      <c r="D847" s="4">
        <v>20000</v>
      </c>
      <c r="E847" s="3">
        <v>3</v>
      </c>
      <c r="F847" t="s" s="2">
        <v>32</v>
      </c>
      <c r="G847" t="s" s="2">
        <v>22</v>
      </c>
      <c r="H847" t="s" s="2">
        <v>17</v>
      </c>
      <c r="I847" s="3">
        <v>2</v>
      </c>
      <c r="J847" t="s" s="2">
        <v>29</v>
      </c>
      <c r="K847" t="s" s="2">
        <v>35</v>
      </c>
      <c r="L847" s="3">
        <v>50</v>
      </c>
      <c r="M847" t="s" s="2">
        <v>20</v>
      </c>
    </row>
    <row r="848" ht="13.55" customHeight="1">
      <c r="A848" s="3">
        <v>13390</v>
      </c>
      <c r="B848" t="s" s="2">
        <v>13</v>
      </c>
      <c r="C848" t="s" s="2">
        <v>14</v>
      </c>
      <c r="D848" s="4">
        <v>70000</v>
      </c>
      <c r="E848" s="3">
        <v>4</v>
      </c>
      <c r="F848" t="s" s="2">
        <v>21</v>
      </c>
      <c r="G848" t="s" s="2">
        <v>23</v>
      </c>
      <c r="H848" t="s" s="2">
        <v>20</v>
      </c>
      <c r="I848" s="3">
        <v>1</v>
      </c>
      <c r="J848" t="s" s="2">
        <v>29</v>
      </c>
      <c r="K848" t="s" s="2">
        <v>35</v>
      </c>
      <c r="L848" s="3">
        <v>56</v>
      </c>
      <c r="M848" t="s" s="2">
        <v>20</v>
      </c>
    </row>
    <row r="849" ht="13.55" customHeight="1">
      <c r="A849" s="3">
        <v>17482</v>
      </c>
      <c r="B849" t="s" s="2">
        <v>25</v>
      </c>
      <c r="C849" t="s" s="2">
        <v>14</v>
      </c>
      <c r="D849" s="4">
        <v>40000</v>
      </c>
      <c r="E849" s="3">
        <v>0</v>
      </c>
      <c r="F849" t="s" s="2">
        <v>32</v>
      </c>
      <c r="G849" t="s" s="2">
        <v>22</v>
      </c>
      <c r="H849" t="s" s="2">
        <v>17</v>
      </c>
      <c r="I849" s="3">
        <v>2</v>
      </c>
      <c r="J849" t="s" s="2">
        <v>26</v>
      </c>
      <c r="K849" t="s" s="2">
        <v>35</v>
      </c>
      <c r="L849" s="3">
        <v>29</v>
      </c>
      <c r="M849" t="s" s="2">
        <v>20</v>
      </c>
    </row>
    <row r="850" ht="13.55" customHeight="1">
      <c r="A850" s="3">
        <v>13176</v>
      </c>
      <c r="B850" t="s" s="2">
        <v>25</v>
      </c>
      <c r="C850" t="s" s="2">
        <v>13</v>
      </c>
      <c r="D850" s="4">
        <v>130000</v>
      </c>
      <c r="E850" s="3">
        <v>0</v>
      </c>
      <c r="F850" t="s" s="2">
        <v>34</v>
      </c>
      <c r="G850" t="s" s="2">
        <v>31</v>
      </c>
      <c r="H850" t="s" s="2">
        <v>20</v>
      </c>
      <c r="I850" s="3">
        <v>2</v>
      </c>
      <c r="J850" t="s" s="2">
        <v>18</v>
      </c>
      <c r="K850" t="s" s="2">
        <v>35</v>
      </c>
      <c r="L850" s="3">
        <v>38</v>
      </c>
      <c r="M850" t="s" s="2">
        <v>17</v>
      </c>
    </row>
    <row r="851" ht="13.55" customHeight="1">
      <c r="A851" s="3">
        <v>20504</v>
      </c>
      <c r="B851" t="s" s="2">
        <v>13</v>
      </c>
      <c r="C851" t="s" s="2">
        <v>14</v>
      </c>
      <c r="D851" s="4">
        <v>40000</v>
      </c>
      <c r="E851" s="3">
        <v>5</v>
      </c>
      <c r="F851" t="s" s="2">
        <v>30</v>
      </c>
      <c r="G851" t="s" s="2">
        <v>23</v>
      </c>
      <c r="H851" t="s" s="2">
        <v>20</v>
      </c>
      <c r="I851" s="3">
        <v>2</v>
      </c>
      <c r="J851" t="s" s="2">
        <v>24</v>
      </c>
      <c r="K851" t="s" s="2">
        <v>35</v>
      </c>
      <c r="L851" s="3">
        <v>60</v>
      </c>
      <c r="M851" t="s" s="2">
        <v>20</v>
      </c>
    </row>
    <row r="852" ht="13.55" customHeight="1">
      <c r="A852" s="3">
        <v>12205</v>
      </c>
      <c r="B852" t="s" s="2">
        <v>25</v>
      </c>
      <c r="C852" t="s" s="2">
        <v>14</v>
      </c>
      <c r="D852" s="4">
        <v>130000</v>
      </c>
      <c r="E852" s="3">
        <v>2</v>
      </c>
      <c r="F852" t="s" s="2">
        <v>15</v>
      </c>
      <c r="G852" t="s" s="2">
        <v>31</v>
      </c>
      <c r="H852" t="s" s="2">
        <v>20</v>
      </c>
      <c r="I852" s="3">
        <v>4</v>
      </c>
      <c r="J852" t="s" s="2">
        <v>18</v>
      </c>
      <c r="K852" t="s" s="2">
        <v>35</v>
      </c>
      <c r="L852" s="3">
        <v>67</v>
      </c>
      <c r="M852" t="s" s="2">
        <v>20</v>
      </c>
    </row>
    <row r="853" ht="13.55" customHeight="1">
      <c r="A853" s="3">
        <v>16751</v>
      </c>
      <c r="B853" t="s" s="2">
        <v>13</v>
      </c>
      <c r="C853" t="s" s="2">
        <v>13</v>
      </c>
      <c r="D853" s="4">
        <v>60000</v>
      </c>
      <c r="E853" s="3">
        <v>0</v>
      </c>
      <c r="F853" t="s" s="2">
        <v>21</v>
      </c>
      <c r="G853" t="s" s="2">
        <v>16</v>
      </c>
      <c r="H853" t="s" s="2">
        <v>17</v>
      </c>
      <c r="I853" s="3">
        <v>1</v>
      </c>
      <c r="J853" t="s" s="2">
        <v>26</v>
      </c>
      <c r="K853" t="s" s="2">
        <v>35</v>
      </c>
      <c r="L853" s="3">
        <v>32</v>
      </c>
      <c r="M853" t="s" s="2">
        <v>17</v>
      </c>
    </row>
    <row r="854" ht="13.55" customHeight="1">
      <c r="A854" s="3">
        <v>21613</v>
      </c>
      <c r="B854" t="s" s="2">
        <v>25</v>
      </c>
      <c r="C854" t="s" s="2">
        <v>13</v>
      </c>
      <c r="D854" s="4">
        <v>50000</v>
      </c>
      <c r="E854" s="3">
        <v>2</v>
      </c>
      <c r="F854" t="s" s="2">
        <v>15</v>
      </c>
      <c r="G854" t="s" s="2">
        <v>16</v>
      </c>
      <c r="H854" t="s" s="2">
        <v>20</v>
      </c>
      <c r="I854" s="3">
        <v>1</v>
      </c>
      <c r="J854" t="s" s="2">
        <v>18</v>
      </c>
      <c r="K854" t="s" s="2">
        <v>35</v>
      </c>
      <c r="L854" s="3">
        <v>39</v>
      </c>
      <c r="M854" t="s" s="2">
        <v>17</v>
      </c>
    </row>
    <row r="855" ht="13.55" customHeight="1">
      <c r="A855" s="3">
        <v>24801</v>
      </c>
      <c r="B855" t="s" s="2">
        <v>25</v>
      </c>
      <c r="C855" t="s" s="2">
        <v>13</v>
      </c>
      <c r="D855" s="4">
        <v>60000</v>
      </c>
      <c r="E855" s="3">
        <v>1</v>
      </c>
      <c r="F855" t="s" s="2">
        <v>34</v>
      </c>
      <c r="G855" t="s" s="2">
        <v>23</v>
      </c>
      <c r="H855" t="s" s="2">
        <v>17</v>
      </c>
      <c r="I855" s="3">
        <v>0</v>
      </c>
      <c r="J855" t="s" s="2">
        <v>24</v>
      </c>
      <c r="K855" t="s" s="2">
        <v>35</v>
      </c>
      <c r="L855" s="3">
        <v>35</v>
      </c>
      <c r="M855" t="s" s="2">
        <v>17</v>
      </c>
    </row>
    <row r="856" ht="13.55" customHeight="1">
      <c r="A856" s="3">
        <v>17519</v>
      </c>
      <c r="B856" t="s" s="2">
        <v>13</v>
      </c>
      <c r="C856" t="s" s="2">
        <v>14</v>
      </c>
      <c r="D856" s="4">
        <v>60000</v>
      </c>
      <c r="E856" s="3">
        <v>0</v>
      </c>
      <c r="F856" t="s" s="2">
        <v>21</v>
      </c>
      <c r="G856" t="s" s="2">
        <v>23</v>
      </c>
      <c r="H856" t="s" s="2">
        <v>17</v>
      </c>
      <c r="I856" s="3">
        <v>2</v>
      </c>
      <c r="J856" t="s" s="2">
        <v>26</v>
      </c>
      <c r="K856" t="s" s="2">
        <v>35</v>
      </c>
      <c r="L856" s="3">
        <v>32</v>
      </c>
      <c r="M856" t="s" s="2">
        <v>20</v>
      </c>
    </row>
    <row r="857" ht="13.55" customHeight="1">
      <c r="A857" s="3">
        <v>18347</v>
      </c>
      <c r="B857" t="s" s="2">
        <v>25</v>
      </c>
      <c r="C857" t="s" s="2">
        <v>14</v>
      </c>
      <c r="D857" s="4">
        <v>30000</v>
      </c>
      <c r="E857" s="3">
        <v>0</v>
      </c>
      <c r="F857" t="s" s="2">
        <v>21</v>
      </c>
      <c r="G857" t="s" s="2">
        <v>16</v>
      </c>
      <c r="H857" t="s" s="2">
        <v>20</v>
      </c>
      <c r="I857" s="3">
        <v>1</v>
      </c>
      <c r="J857" t="s" s="2">
        <v>29</v>
      </c>
      <c r="K857" t="s" s="2">
        <v>35</v>
      </c>
      <c r="L857" s="3">
        <v>31</v>
      </c>
      <c r="M857" t="s" s="2">
        <v>20</v>
      </c>
    </row>
    <row r="858" ht="13.55" customHeight="1">
      <c r="A858" s="3">
        <v>29052</v>
      </c>
      <c r="B858" t="s" s="2">
        <v>25</v>
      </c>
      <c r="C858" t="s" s="2">
        <v>13</v>
      </c>
      <c r="D858" s="4">
        <v>40000</v>
      </c>
      <c r="E858" s="3">
        <v>0</v>
      </c>
      <c r="F858" t="s" s="2">
        <v>21</v>
      </c>
      <c r="G858" t="s" s="2">
        <v>16</v>
      </c>
      <c r="H858" t="s" s="2">
        <v>17</v>
      </c>
      <c r="I858" s="3">
        <v>1</v>
      </c>
      <c r="J858" t="s" s="2">
        <v>26</v>
      </c>
      <c r="K858" t="s" s="2">
        <v>35</v>
      </c>
      <c r="L858" s="3">
        <v>27</v>
      </c>
      <c r="M858" t="s" s="2">
        <v>20</v>
      </c>
    </row>
    <row r="859" ht="13.55" customHeight="1">
      <c r="A859" s="3">
        <v>11745</v>
      </c>
      <c r="B859" t="s" s="2">
        <v>13</v>
      </c>
      <c r="C859" t="s" s="2">
        <v>14</v>
      </c>
      <c r="D859" s="4">
        <v>60000</v>
      </c>
      <c r="E859" s="3">
        <v>1</v>
      </c>
      <c r="F859" t="s" s="2">
        <v>15</v>
      </c>
      <c r="G859" t="s" s="2">
        <v>23</v>
      </c>
      <c r="H859" t="s" s="2">
        <v>17</v>
      </c>
      <c r="I859" s="3">
        <v>1</v>
      </c>
      <c r="J859" t="s" s="2">
        <v>18</v>
      </c>
      <c r="K859" t="s" s="2">
        <v>35</v>
      </c>
      <c r="L859" s="3">
        <v>47</v>
      </c>
      <c r="M859" t="s" s="2">
        <v>17</v>
      </c>
    </row>
    <row r="860" ht="13.55" customHeight="1">
      <c r="A860" s="3">
        <v>19147</v>
      </c>
      <c r="B860" t="s" s="2">
        <v>13</v>
      </c>
      <c r="C860" t="s" s="2">
        <v>13</v>
      </c>
      <c r="D860" s="4">
        <v>40000</v>
      </c>
      <c r="E860" s="3">
        <v>0</v>
      </c>
      <c r="F860" t="s" s="2">
        <v>15</v>
      </c>
      <c r="G860" t="s" s="2">
        <v>23</v>
      </c>
      <c r="H860" t="s" s="2">
        <v>20</v>
      </c>
      <c r="I860" s="3">
        <v>1</v>
      </c>
      <c r="J860" t="s" s="2">
        <v>18</v>
      </c>
      <c r="K860" t="s" s="2">
        <v>35</v>
      </c>
      <c r="L860" s="3">
        <v>42</v>
      </c>
      <c r="M860" t="s" s="2">
        <v>20</v>
      </c>
    </row>
    <row r="861" ht="13.55" customHeight="1">
      <c r="A861" s="3">
        <v>19217</v>
      </c>
      <c r="B861" t="s" s="2">
        <v>13</v>
      </c>
      <c r="C861" t="s" s="2">
        <v>13</v>
      </c>
      <c r="D861" s="4">
        <v>30000</v>
      </c>
      <c r="E861" s="3">
        <v>2</v>
      </c>
      <c r="F861" t="s" s="2">
        <v>30</v>
      </c>
      <c r="G861" t="s" s="2">
        <v>16</v>
      </c>
      <c r="H861" t="s" s="2">
        <v>17</v>
      </c>
      <c r="I861" s="3">
        <v>2</v>
      </c>
      <c r="J861" t="s" s="2">
        <v>29</v>
      </c>
      <c r="K861" t="s" s="2">
        <v>35</v>
      </c>
      <c r="L861" s="3">
        <v>49</v>
      </c>
      <c r="M861" t="s" s="2">
        <v>20</v>
      </c>
    </row>
    <row r="862" ht="13.55" customHeight="1">
      <c r="A862" s="3">
        <v>15839</v>
      </c>
      <c r="B862" t="s" s="2">
        <v>25</v>
      </c>
      <c r="C862" t="s" s="2">
        <v>13</v>
      </c>
      <c r="D862" s="4">
        <v>30000</v>
      </c>
      <c r="E862" s="3">
        <v>0</v>
      </c>
      <c r="F862" t="s" s="2">
        <v>21</v>
      </c>
      <c r="G862" t="s" s="2">
        <v>16</v>
      </c>
      <c r="H862" t="s" s="2">
        <v>17</v>
      </c>
      <c r="I862" s="3">
        <v>1</v>
      </c>
      <c r="J862" t="s" s="2">
        <v>26</v>
      </c>
      <c r="K862" t="s" s="2">
        <v>35</v>
      </c>
      <c r="L862" s="3">
        <v>32</v>
      </c>
      <c r="M862" t="s" s="2">
        <v>20</v>
      </c>
    </row>
    <row r="863" ht="13.55" customHeight="1">
      <c r="A863" s="3">
        <v>13714</v>
      </c>
      <c r="B863" t="s" s="2">
        <v>13</v>
      </c>
      <c r="C863" t="s" s="2">
        <v>14</v>
      </c>
      <c r="D863" s="4">
        <v>20000</v>
      </c>
      <c r="E863" s="3">
        <v>2</v>
      </c>
      <c r="F863" t="s" s="2">
        <v>30</v>
      </c>
      <c r="G863" t="s" s="2">
        <v>28</v>
      </c>
      <c r="H863" t="s" s="2">
        <v>20</v>
      </c>
      <c r="I863" s="3">
        <v>2</v>
      </c>
      <c r="J863" t="s" s="2">
        <v>29</v>
      </c>
      <c r="K863" t="s" s="2">
        <v>35</v>
      </c>
      <c r="L863" s="3">
        <v>53</v>
      </c>
      <c r="M863" t="s" s="2">
        <v>17</v>
      </c>
    </row>
    <row r="864" ht="13.55" customHeight="1">
      <c r="A864" s="3">
        <v>22330</v>
      </c>
      <c r="B864" t="s" s="2">
        <v>13</v>
      </c>
      <c r="C864" t="s" s="2">
        <v>13</v>
      </c>
      <c r="D864" s="4">
        <v>50000</v>
      </c>
      <c r="E864" s="3">
        <v>0</v>
      </c>
      <c r="F864" t="s" s="2">
        <v>34</v>
      </c>
      <c r="G864" t="s" s="2">
        <v>16</v>
      </c>
      <c r="H864" t="s" s="2">
        <v>17</v>
      </c>
      <c r="I864" s="3">
        <v>0</v>
      </c>
      <c r="J864" t="s" s="2">
        <v>29</v>
      </c>
      <c r="K864" t="s" s="2">
        <v>35</v>
      </c>
      <c r="L864" s="3">
        <v>32</v>
      </c>
      <c r="M864" t="s" s="2">
        <v>17</v>
      </c>
    </row>
    <row r="865" ht="13.55" customHeight="1">
      <c r="A865" s="3">
        <v>18783</v>
      </c>
      <c r="B865" t="s" s="2">
        <v>25</v>
      </c>
      <c r="C865" t="s" s="2">
        <v>13</v>
      </c>
      <c r="D865" s="4">
        <v>80000</v>
      </c>
      <c r="E865" s="3">
        <v>0</v>
      </c>
      <c r="F865" t="s" s="2">
        <v>15</v>
      </c>
      <c r="G865" t="s" s="2">
        <v>31</v>
      </c>
      <c r="H865" t="s" s="2">
        <v>20</v>
      </c>
      <c r="I865" s="3">
        <v>1</v>
      </c>
      <c r="J865" t="s" s="2">
        <v>18</v>
      </c>
      <c r="K865" t="s" s="2">
        <v>35</v>
      </c>
      <c r="L865" s="3">
        <v>38</v>
      </c>
      <c r="M865" t="s" s="2">
        <v>17</v>
      </c>
    </row>
    <row r="866" ht="13.55" customHeight="1">
      <c r="A866" s="3">
        <v>25041</v>
      </c>
      <c r="B866" t="s" s="2">
        <v>25</v>
      </c>
      <c r="C866" t="s" s="2">
        <v>13</v>
      </c>
      <c r="D866" s="4">
        <v>40000</v>
      </c>
      <c r="E866" s="3">
        <v>0</v>
      </c>
      <c r="F866" t="s" s="2">
        <v>30</v>
      </c>
      <c r="G866" t="s" s="2">
        <v>16</v>
      </c>
      <c r="H866" t="s" s="2">
        <v>17</v>
      </c>
      <c r="I866" s="3">
        <v>2</v>
      </c>
      <c r="J866" t="s" s="2">
        <v>26</v>
      </c>
      <c r="K866" t="s" s="2">
        <v>35</v>
      </c>
      <c r="L866" s="3">
        <v>31</v>
      </c>
      <c r="M866" t="s" s="2">
        <v>20</v>
      </c>
    </row>
    <row r="867" ht="13.55" customHeight="1">
      <c r="A867" s="3">
        <v>22046</v>
      </c>
      <c r="B867" t="s" s="2">
        <v>25</v>
      </c>
      <c r="C867" t="s" s="2">
        <v>14</v>
      </c>
      <c r="D867" s="4">
        <v>80000</v>
      </c>
      <c r="E867" s="3">
        <v>0</v>
      </c>
      <c r="F867" t="s" s="2">
        <v>15</v>
      </c>
      <c r="G867" t="s" s="2">
        <v>31</v>
      </c>
      <c r="H867" t="s" s="2">
        <v>20</v>
      </c>
      <c r="I867" s="3">
        <v>1</v>
      </c>
      <c r="J867" t="s" s="2">
        <v>18</v>
      </c>
      <c r="K867" t="s" s="2">
        <v>35</v>
      </c>
      <c r="L867" s="3">
        <v>38</v>
      </c>
      <c r="M867" t="s" s="2">
        <v>17</v>
      </c>
    </row>
    <row r="868" ht="13.55" customHeight="1">
      <c r="A868" s="3">
        <v>28052</v>
      </c>
      <c r="B868" t="s" s="2">
        <v>13</v>
      </c>
      <c r="C868" t="s" s="2">
        <v>13</v>
      </c>
      <c r="D868" s="4">
        <v>60000</v>
      </c>
      <c r="E868" s="3">
        <v>2</v>
      </c>
      <c r="F868" t="s" s="2">
        <v>30</v>
      </c>
      <c r="G868" t="s" s="2">
        <v>23</v>
      </c>
      <c r="H868" t="s" s="2">
        <v>17</v>
      </c>
      <c r="I868" s="3">
        <v>2</v>
      </c>
      <c r="J868" t="s" s="2">
        <v>33</v>
      </c>
      <c r="K868" t="s" s="2">
        <v>35</v>
      </c>
      <c r="L868" s="3">
        <v>55</v>
      </c>
      <c r="M868" t="s" s="2">
        <v>20</v>
      </c>
    </row>
    <row r="869" ht="13.55" customHeight="1">
      <c r="A869" s="3">
        <v>26693</v>
      </c>
      <c r="B869" t="s" s="2">
        <v>13</v>
      </c>
      <c r="C869" t="s" s="2">
        <v>13</v>
      </c>
      <c r="D869" s="4">
        <v>70000</v>
      </c>
      <c r="E869" s="3">
        <v>3</v>
      </c>
      <c r="F869" t="s" s="2">
        <v>21</v>
      </c>
      <c r="G869" t="s" s="2">
        <v>23</v>
      </c>
      <c r="H869" t="s" s="2">
        <v>17</v>
      </c>
      <c r="I869" s="3">
        <v>1</v>
      </c>
      <c r="J869" t="s" s="2">
        <v>26</v>
      </c>
      <c r="K869" t="s" s="2">
        <v>35</v>
      </c>
      <c r="L869" s="3">
        <v>49</v>
      </c>
      <c r="M869" t="s" s="2">
        <v>20</v>
      </c>
    </row>
    <row r="870" ht="13.55" customHeight="1">
      <c r="A870" s="3">
        <v>24955</v>
      </c>
      <c r="B870" t="s" s="2">
        <v>25</v>
      </c>
      <c r="C870" t="s" s="2">
        <v>13</v>
      </c>
      <c r="D870" s="4">
        <v>30000</v>
      </c>
      <c r="E870" s="3">
        <v>5</v>
      </c>
      <c r="F870" t="s" s="2">
        <v>32</v>
      </c>
      <c r="G870" t="s" s="2">
        <v>16</v>
      </c>
      <c r="H870" t="s" s="2">
        <v>17</v>
      </c>
      <c r="I870" s="3">
        <v>3</v>
      </c>
      <c r="J870" t="s" s="2">
        <v>33</v>
      </c>
      <c r="K870" t="s" s="2">
        <v>35</v>
      </c>
      <c r="L870" s="3">
        <v>60</v>
      </c>
      <c r="M870" t="s" s="2">
        <v>17</v>
      </c>
    </row>
    <row r="871" ht="13.55" customHeight="1">
      <c r="A871" s="3">
        <v>26065</v>
      </c>
      <c r="B871" t="s" s="2">
        <v>25</v>
      </c>
      <c r="C871" t="s" s="2">
        <v>14</v>
      </c>
      <c r="D871" s="4">
        <v>110000</v>
      </c>
      <c r="E871" s="3">
        <v>3</v>
      </c>
      <c r="F871" t="s" s="2">
        <v>15</v>
      </c>
      <c r="G871" t="s" s="2">
        <v>31</v>
      </c>
      <c r="H871" t="s" s="2">
        <v>20</v>
      </c>
      <c r="I871" s="3">
        <v>4</v>
      </c>
      <c r="J871" t="s" s="2">
        <v>29</v>
      </c>
      <c r="K871" t="s" s="2">
        <v>35</v>
      </c>
      <c r="L871" s="3">
        <v>42</v>
      </c>
      <c r="M871" t="s" s="2">
        <v>20</v>
      </c>
    </row>
    <row r="872" ht="13.55" customHeight="1">
      <c r="A872" s="3">
        <v>13942</v>
      </c>
      <c r="B872" t="s" s="2">
        <v>13</v>
      </c>
      <c r="C872" t="s" s="2">
        <v>13</v>
      </c>
      <c r="D872" s="4">
        <v>60000</v>
      </c>
      <c r="E872" s="3">
        <v>1</v>
      </c>
      <c r="F872" t="s" s="2">
        <v>21</v>
      </c>
      <c r="G872" t="s" s="2">
        <v>16</v>
      </c>
      <c r="H872" t="s" s="2">
        <v>17</v>
      </c>
      <c r="I872" s="3">
        <v>1</v>
      </c>
      <c r="J872" t="s" s="2">
        <v>18</v>
      </c>
      <c r="K872" t="s" s="2">
        <v>35</v>
      </c>
      <c r="L872" s="3">
        <v>46</v>
      </c>
      <c r="M872" t="s" s="2">
        <v>20</v>
      </c>
    </row>
    <row r="873" ht="13.55" customHeight="1">
      <c r="A873" s="3">
        <v>11219</v>
      </c>
      <c r="B873" t="s" s="2">
        <v>13</v>
      </c>
      <c r="C873" t="s" s="2">
        <v>13</v>
      </c>
      <c r="D873" s="4">
        <v>60000</v>
      </c>
      <c r="E873" s="3">
        <v>2</v>
      </c>
      <c r="F873" t="s" s="2">
        <v>30</v>
      </c>
      <c r="G873" t="s" s="2">
        <v>23</v>
      </c>
      <c r="H873" t="s" s="2">
        <v>17</v>
      </c>
      <c r="I873" s="3">
        <v>2</v>
      </c>
      <c r="J873" t="s" s="2">
        <v>33</v>
      </c>
      <c r="K873" t="s" s="2">
        <v>35</v>
      </c>
      <c r="L873" s="3">
        <v>55</v>
      </c>
      <c r="M873" t="s" s="2">
        <v>20</v>
      </c>
    </row>
    <row r="874" ht="13.55" customHeight="1">
      <c r="A874" s="3">
        <v>22118</v>
      </c>
      <c r="B874" t="s" s="2">
        <v>25</v>
      </c>
      <c r="C874" t="s" s="2">
        <v>14</v>
      </c>
      <c r="D874" s="4">
        <v>70000</v>
      </c>
      <c r="E874" s="3">
        <v>3</v>
      </c>
      <c r="F874" t="s" s="2">
        <v>34</v>
      </c>
      <c r="G874" t="s" s="2">
        <v>31</v>
      </c>
      <c r="H874" t="s" s="2">
        <v>17</v>
      </c>
      <c r="I874" s="3">
        <v>2</v>
      </c>
      <c r="J874" t="s" s="2">
        <v>26</v>
      </c>
      <c r="K874" t="s" s="2">
        <v>35</v>
      </c>
      <c r="L874" s="3">
        <v>53</v>
      </c>
      <c r="M874" t="s" s="2">
        <v>17</v>
      </c>
    </row>
    <row r="875" ht="13.55" customHeight="1">
      <c r="A875" s="3">
        <v>23197</v>
      </c>
      <c r="B875" t="s" s="2">
        <v>13</v>
      </c>
      <c r="C875" t="s" s="2">
        <v>13</v>
      </c>
      <c r="D875" s="4">
        <v>50000</v>
      </c>
      <c r="E875" s="3">
        <v>3</v>
      </c>
      <c r="F875" t="s" s="2">
        <v>15</v>
      </c>
      <c r="G875" t="s" s="2">
        <v>16</v>
      </c>
      <c r="H875" t="s" s="2">
        <v>17</v>
      </c>
      <c r="I875" s="3">
        <v>2</v>
      </c>
      <c r="J875" t="s" s="2">
        <v>24</v>
      </c>
      <c r="K875" t="s" s="2">
        <v>35</v>
      </c>
      <c r="L875" s="3">
        <v>40</v>
      </c>
      <c r="M875" t="s" s="2">
        <v>20</v>
      </c>
    </row>
    <row r="876" ht="13.55" customHeight="1">
      <c r="A876" s="3">
        <v>14883</v>
      </c>
      <c r="B876" t="s" s="2">
        <v>13</v>
      </c>
      <c r="C876" t="s" s="2">
        <v>14</v>
      </c>
      <c r="D876" s="4">
        <v>30000</v>
      </c>
      <c r="E876" s="3">
        <v>1</v>
      </c>
      <c r="F876" t="s" s="2">
        <v>15</v>
      </c>
      <c r="G876" t="s" s="2">
        <v>16</v>
      </c>
      <c r="H876" t="s" s="2">
        <v>17</v>
      </c>
      <c r="I876" s="3">
        <v>1</v>
      </c>
      <c r="J876" t="s" s="2">
        <v>26</v>
      </c>
      <c r="K876" t="s" s="2">
        <v>35</v>
      </c>
      <c r="L876" s="3">
        <v>53</v>
      </c>
      <c r="M876" t="s" s="2">
        <v>17</v>
      </c>
    </row>
    <row r="877" ht="13.55" customHeight="1">
      <c r="A877" s="3">
        <v>27279</v>
      </c>
      <c r="B877" t="s" s="2">
        <v>25</v>
      </c>
      <c r="C877" t="s" s="2">
        <v>14</v>
      </c>
      <c r="D877" s="4">
        <v>70000</v>
      </c>
      <c r="E877" s="3">
        <v>2</v>
      </c>
      <c r="F877" t="s" s="2">
        <v>15</v>
      </c>
      <c r="G877" t="s" s="2">
        <v>16</v>
      </c>
      <c r="H877" t="s" s="2">
        <v>17</v>
      </c>
      <c r="I877" s="3">
        <v>0</v>
      </c>
      <c r="J877" t="s" s="2">
        <v>24</v>
      </c>
      <c r="K877" t="s" s="2">
        <v>35</v>
      </c>
      <c r="L877" s="3">
        <v>38</v>
      </c>
      <c r="M877" t="s" s="2">
        <v>17</v>
      </c>
    </row>
    <row r="878" ht="13.55" customHeight="1">
      <c r="A878" s="3">
        <v>18322</v>
      </c>
      <c r="B878" t="s" s="2">
        <v>25</v>
      </c>
      <c r="C878" t="s" s="2">
        <v>13</v>
      </c>
      <c r="D878" s="4">
        <v>30000</v>
      </c>
      <c r="E878" s="3">
        <v>0</v>
      </c>
      <c r="F878" t="s" s="2">
        <v>32</v>
      </c>
      <c r="G878" t="s" s="2">
        <v>22</v>
      </c>
      <c r="H878" t="s" s="2">
        <v>20</v>
      </c>
      <c r="I878" s="3">
        <v>2</v>
      </c>
      <c r="J878" t="s" s="2">
        <v>18</v>
      </c>
      <c r="K878" t="s" s="2">
        <v>35</v>
      </c>
      <c r="L878" s="3">
        <v>26</v>
      </c>
      <c r="M878" t="s" s="2">
        <v>20</v>
      </c>
    </row>
    <row r="879" ht="13.55" customHeight="1">
      <c r="A879" s="3">
        <v>15879</v>
      </c>
      <c r="B879" t="s" s="2">
        <v>13</v>
      </c>
      <c r="C879" t="s" s="2">
        <v>13</v>
      </c>
      <c r="D879" s="4">
        <v>70000</v>
      </c>
      <c r="E879" s="3">
        <v>5</v>
      </c>
      <c r="F879" t="s" s="2">
        <v>15</v>
      </c>
      <c r="G879" t="s" s="2">
        <v>31</v>
      </c>
      <c r="H879" t="s" s="2">
        <v>17</v>
      </c>
      <c r="I879" s="3">
        <v>2</v>
      </c>
      <c r="J879" t="s" s="2">
        <v>24</v>
      </c>
      <c r="K879" t="s" s="2">
        <v>35</v>
      </c>
      <c r="L879" s="3">
        <v>61</v>
      </c>
      <c r="M879" t="s" s="2">
        <v>20</v>
      </c>
    </row>
    <row r="880" ht="13.55" customHeight="1">
      <c r="A880" s="3">
        <v>28278</v>
      </c>
      <c r="B880" t="s" s="2">
        <v>13</v>
      </c>
      <c r="C880" t="s" s="2">
        <v>13</v>
      </c>
      <c r="D880" s="4">
        <v>50000</v>
      </c>
      <c r="E880" s="3">
        <v>2</v>
      </c>
      <c r="F880" t="s" s="2">
        <v>34</v>
      </c>
      <c r="G880" t="s" s="2">
        <v>31</v>
      </c>
      <c r="H880" t="s" s="2">
        <v>17</v>
      </c>
      <c r="I880" s="3">
        <v>2</v>
      </c>
      <c r="J880" t="s" s="2">
        <v>26</v>
      </c>
      <c r="K880" t="s" s="2">
        <v>35</v>
      </c>
      <c r="L880" s="3">
        <v>71</v>
      </c>
      <c r="M880" t="s" s="2">
        <v>20</v>
      </c>
    </row>
    <row r="881" ht="13.55" customHeight="1">
      <c r="A881" s="3">
        <v>24416</v>
      </c>
      <c r="B881" t="s" s="2">
        <v>13</v>
      </c>
      <c r="C881" t="s" s="2">
        <v>13</v>
      </c>
      <c r="D881" s="4">
        <v>90000</v>
      </c>
      <c r="E881" s="3">
        <v>4</v>
      </c>
      <c r="F881" t="s" s="2">
        <v>30</v>
      </c>
      <c r="G881" t="s" s="2">
        <v>23</v>
      </c>
      <c r="H881" t="s" s="2">
        <v>17</v>
      </c>
      <c r="I881" s="3">
        <v>2</v>
      </c>
      <c r="J881" t="s" s="2">
        <v>29</v>
      </c>
      <c r="K881" t="s" s="2">
        <v>35</v>
      </c>
      <c r="L881" s="3">
        <v>45</v>
      </c>
      <c r="M881" t="s" s="2">
        <v>20</v>
      </c>
    </row>
    <row r="882" ht="13.55" customHeight="1">
      <c r="A882" s="3">
        <v>28066</v>
      </c>
      <c r="B882" t="s" s="2">
        <v>13</v>
      </c>
      <c r="C882" t="s" s="2">
        <v>13</v>
      </c>
      <c r="D882" s="4">
        <v>80000</v>
      </c>
      <c r="E882" s="3">
        <v>2</v>
      </c>
      <c r="F882" t="s" s="2">
        <v>34</v>
      </c>
      <c r="G882" t="s" s="2">
        <v>23</v>
      </c>
      <c r="H882" t="s" s="2">
        <v>17</v>
      </c>
      <c r="I882" s="3">
        <v>0</v>
      </c>
      <c r="J882" t="s" s="2">
        <v>18</v>
      </c>
      <c r="K882" t="s" s="2">
        <v>35</v>
      </c>
      <c r="L882" s="3">
        <v>37</v>
      </c>
      <c r="M882" t="s" s="2">
        <v>17</v>
      </c>
    </row>
    <row r="883" ht="13.55" customHeight="1">
      <c r="A883" s="3">
        <v>11275</v>
      </c>
      <c r="B883" t="s" s="2">
        <v>13</v>
      </c>
      <c r="C883" t="s" s="2">
        <v>14</v>
      </c>
      <c r="D883" s="4">
        <v>80000</v>
      </c>
      <c r="E883" s="3">
        <v>4</v>
      </c>
      <c r="F883" t="s" s="2">
        <v>34</v>
      </c>
      <c r="G883" t="s" s="2">
        <v>31</v>
      </c>
      <c r="H883" t="s" s="2">
        <v>17</v>
      </c>
      <c r="I883" s="3">
        <v>2</v>
      </c>
      <c r="J883" t="s" s="2">
        <v>18</v>
      </c>
      <c r="K883" t="s" s="2">
        <v>35</v>
      </c>
      <c r="L883" s="3">
        <v>72</v>
      </c>
      <c r="M883" t="s" s="2">
        <v>17</v>
      </c>
    </row>
    <row r="884" ht="13.55" customHeight="1">
      <c r="A884" s="3">
        <v>14872</v>
      </c>
      <c r="B884" t="s" s="2">
        <v>13</v>
      </c>
      <c r="C884" t="s" s="2">
        <v>13</v>
      </c>
      <c r="D884" s="4">
        <v>30000</v>
      </c>
      <c r="E884" s="3">
        <v>0</v>
      </c>
      <c r="F884" t="s" s="2">
        <v>34</v>
      </c>
      <c r="G884" t="s" s="2">
        <v>16</v>
      </c>
      <c r="H884" t="s" s="2">
        <v>17</v>
      </c>
      <c r="I884" s="3">
        <v>0</v>
      </c>
      <c r="J884" t="s" s="2">
        <v>18</v>
      </c>
      <c r="K884" t="s" s="2">
        <v>35</v>
      </c>
      <c r="L884" s="3">
        <v>32</v>
      </c>
      <c r="M884" t="s" s="2">
        <v>20</v>
      </c>
    </row>
    <row r="885" ht="13.55" customHeight="1">
      <c r="A885" s="3">
        <v>16151</v>
      </c>
      <c r="B885" t="s" s="2">
        <v>13</v>
      </c>
      <c r="C885" t="s" s="2">
        <v>14</v>
      </c>
      <c r="D885" s="4">
        <v>60000</v>
      </c>
      <c r="E885" s="3">
        <v>1</v>
      </c>
      <c r="F885" t="s" s="2">
        <v>15</v>
      </c>
      <c r="G885" t="s" s="2">
        <v>23</v>
      </c>
      <c r="H885" t="s" s="2">
        <v>17</v>
      </c>
      <c r="I885" s="3">
        <v>1</v>
      </c>
      <c r="J885" t="s" s="2">
        <v>24</v>
      </c>
      <c r="K885" t="s" s="2">
        <v>35</v>
      </c>
      <c r="L885" s="3">
        <v>48</v>
      </c>
      <c r="M885" t="s" s="2">
        <v>17</v>
      </c>
    </row>
    <row r="886" ht="13.55" customHeight="1">
      <c r="A886" s="3">
        <v>19731</v>
      </c>
      <c r="B886" t="s" s="2">
        <v>13</v>
      </c>
      <c r="C886" t="s" s="2">
        <v>13</v>
      </c>
      <c r="D886" s="4">
        <v>80000</v>
      </c>
      <c r="E886" s="3">
        <v>4</v>
      </c>
      <c r="F886" t="s" s="2">
        <v>34</v>
      </c>
      <c r="G886" t="s" s="2">
        <v>31</v>
      </c>
      <c r="H886" t="s" s="2">
        <v>17</v>
      </c>
      <c r="I886" s="3">
        <v>2</v>
      </c>
      <c r="J886" t="s" s="2">
        <v>26</v>
      </c>
      <c r="K886" t="s" s="2">
        <v>35</v>
      </c>
      <c r="L886" s="3">
        <v>68</v>
      </c>
      <c r="M886" t="s" s="2">
        <v>20</v>
      </c>
    </row>
    <row r="887" ht="13.55" customHeight="1">
      <c r="A887" s="3">
        <v>23801</v>
      </c>
      <c r="B887" t="s" s="2">
        <v>13</v>
      </c>
      <c r="C887" t="s" s="2">
        <v>14</v>
      </c>
      <c r="D887" s="4">
        <v>20000</v>
      </c>
      <c r="E887" s="3">
        <v>2</v>
      </c>
      <c r="F887" t="s" s="2">
        <v>32</v>
      </c>
      <c r="G887" t="s" s="2">
        <v>22</v>
      </c>
      <c r="H887" t="s" s="2">
        <v>17</v>
      </c>
      <c r="I887" s="3">
        <v>2</v>
      </c>
      <c r="J887" t="s" s="2">
        <v>18</v>
      </c>
      <c r="K887" t="s" s="2">
        <v>35</v>
      </c>
      <c r="L887" s="3">
        <v>49</v>
      </c>
      <c r="M887" t="s" s="2">
        <v>20</v>
      </c>
    </row>
    <row r="888" ht="13.55" customHeight="1">
      <c r="A888" s="3">
        <v>11807</v>
      </c>
      <c r="B888" t="s" s="2">
        <v>13</v>
      </c>
      <c r="C888" t="s" s="2">
        <v>13</v>
      </c>
      <c r="D888" s="4">
        <v>70000</v>
      </c>
      <c r="E888" s="3">
        <v>3</v>
      </c>
      <c r="F888" t="s" s="2">
        <v>34</v>
      </c>
      <c r="G888" t="s" s="2">
        <v>23</v>
      </c>
      <c r="H888" t="s" s="2">
        <v>17</v>
      </c>
      <c r="I888" s="3">
        <v>0</v>
      </c>
      <c r="J888" t="s" s="2">
        <v>24</v>
      </c>
      <c r="K888" t="s" s="2">
        <v>35</v>
      </c>
      <c r="L888" s="3">
        <v>34</v>
      </c>
      <c r="M888" t="s" s="2">
        <v>20</v>
      </c>
    </row>
    <row r="889" ht="13.55" customHeight="1">
      <c r="A889" s="3">
        <v>11622</v>
      </c>
      <c r="B889" t="s" s="2">
        <v>13</v>
      </c>
      <c r="C889" t="s" s="2">
        <v>13</v>
      </c>
      <c r="D889" s="4">
        <v>50000</v>
      </c>
      <c r="E889" s="3">
        <v>0</v>
      </c>
      <c r="F889" t="s" s="2">
        <v>34</v>
      </c>
      <c r="G889" t="s" s="2">
        <v>16</v>
      </c>
      <c r="H889" t="s" s="2">
        <v>17</v>
      </c>
      <c r="I889" s="3">
        <v>0</v>
      </c>
      <c r="J889" t="s" s="2">
        <v>18</v>
      </c>
      <c r="K889" t="s" s="2">
        <v>35</v>
      </c>
      <c r="L889" s="3">
        <v>32</v>
      </c>
      <c r="M889" t="s" s="2">
        <v>20</v>
      </c>
    </row>
    <row r="890" ht="13.55" customHeight="1">
      <c r="A890" s="3">
        <v>26597</v>
      </c>
      <c r="B890" t="s" s="2">
        <v>25</v>
      </c>
      <c r="C890" t="s" s="2">
        <v>14</v>
      </c>
      <c r="D890" s="4">
        <v>60000</v>
      </c>
      <c r="E890" s="3">
        <v>4</v>
      </c>
      <c r="F890" t="s" s="2">
        <v>15</v>
      </c>
      <c r="G890" t="s" s="2">
        <v>16</v>
      </c>
      <c r="H890" t="s" s="2">
        <v>20</v>
      </c>
      <c r="I890" s="3">
        <v>2</v>
      </c>
      <c r="J890" t="s" s="2">
        <v>18</v>
      </c>
      <c r="K890" t="s" s="2">
        <v>35</v>
      </c>
      <c r="L890" s="3">
        <v>42</v>
      </c>
      <c r="M890" t="s" s="2">
        <v>20</v>
      </c>
    </row>
    <row r="891" ht="13.55" customHeight="1">
      <c r="A891" s="3">
        <v>27074</v>
      </c>
      <c r="B891" t="s" s="2">
        <v>13</v>
      </c>
      <c r="C891" t="s" s="2">
        <v>14</v>
      </c>
      <c r="D891" s="4">
        <v>70000</v>
      </c>
      <c r="E891" s="3">
        <v>1</v>
      </c>
      <c r="F891" t="s" s="2">
        <v>34</v>
      </c>
      <c r="G891" t="s" s="2">
        <v>16</v>
      </c>
      <c r="H891" t="s" s="2">
        <v>17</v>
      </c>
      <c r="I891" s="3">
        <v>0</v>
      </c>
      <c r="J891" t="s" s="2">
        <v>18</v>
      </c>
      <c r="K891" t="s" s="2">
        <v>35</v>
      </c>
      <c r="L891" s="3">
        <v>35</v>
      </c>
      <c r="M891" t="s" s="2">
        <v>17</v>
      </c>
    </row>
    <row r="892" ht="13.55" customHeight="1">
      <c r="A892" s="3">
        <v>19228</v>
      </c>
      <c r="B892" t="s" s="2">
        <v>13</v>
      </c>
      <c r="C892" t="s" s="2">
        <v>14</v>
      </c>
      <c r="D892" s="4">
        <v>40000</v>
      </c>
      <c r="E892" s="3">
        <v>2</v>
      </c>
      <c r="F892" t="s" s="2">
        <v>21</v>
      </c>
      <c r="G892" t="s" s="2">
        <v>22</v>
      </c>
      <c r="H892" t="s" s="2">
        <v>17</v>
      </c>
      <c r="I892" s="3">
        <v>1</v>
      </c>
      <c r="J892" t="s" s="2">
        <v>18</v>
      </c>
      <c r="K892" t="s" s="2">
        <v>35</v>
      </c>
      <c r="L892" s="3">
        <v>48</v>
      </c>
      <c r="M892" t="s" s="2">
        <v>20</v>
      </c>
    </row>
    <row r="893" ht="13.55" customHeight="1">
      <c r="A893" s="3">
        <v>13415</v>
      </c>
      <c r="B893" t="s" s="2">
        <v>25</v>
      </c>
      <c r="C893" t="s" s="2">
        <v>13</v>
      </c>
      <c r="D893" s="4">
        <v>100000</v>
      </c>
      <c r="E893" s="3">
        <v>1</v>
      </c>
      <c r="F893" t="s" s="2">
        <v>34</v>
      </c>
      <c r="G893" t="s" s="2">
        <v>31</v>
      </c>
      <c r="H893" t="s" s="2">
        <v>17</v>
      </c>
      <c r="I893" s="3">
        <v>3</v>
      </c>
      <c r="J893" t="s" s="2">
        <v>24</v>
      </c>
      <c r="K893" t="s" s="2">
        <v>35</v>
      </c>
      <c r="L893" s="3">
        <v>73</v>
      </c>
      <c r="M893" t="s" s="2">
        <v>17</v>
      </c>
    </row>
    <row r="894" ht="13.55" customHeight="1">
      <c r="A894" s="3">
        <v>17000</v>
      </c>
      <c r="B894" t="s" s="2">
        <v>25</v>
      </c>
      <c r="C894" t="s" s="2">
        <v>14</v>
      </c>
      <c r="D894" s="4">
        <v>70000</v>
      </c>
      <c r="E894" s="3">
        <v>4</v>
      </c>
      <c r="F894" t="s" s="2">
        <v>15</v>
      </c>
      <c r="G894" t="s" s="2">
        <v>16</v>
      </c>
      <c r="H894" t="s" s="2">
        <v>17</v>
      </c>
      <c r="I894" s="3">
        <v>2</v>
      </c>
      <c r="J894" t="s" s="2">
        <v>24</v>
      </c>
      <c r="K894" t="s" s="2">
        <v>35</v>
      </c>
      <c r="L894" s="3">
        <v>43</v>
      </c>
      <c r="M894" t="s" s="2">
        <v>17</v>
      </c>
    </row>
    <row r="895" ht="13.55" customHeight="1">
      <c r="A895" s="3">
        <v>14569</v>
      </c>
      <c r="B895" t="s" s="2">
        <v>13</v>
      </c>
      <c r="C895" t="s" s="2">
        <v>13</v>
      </c>
      <c r="D895" s="4">
        <v>60000</v>
      </c>
      <c r="E895" s="3">
        <v>1</v>
      </c>
      <c r="F895" t="s" s="2">
        <v>34</v>
      </c>
      <c r="G895" t="s" s="2">
        <v>23</v>
      </c>
      <c r="H895" t="s" s="2">
        <v>17</v>
      </c>
      <c r="I895" s="3">
        <v>0</v>
      </c>
      <c r="J895" t="s" s="2">
        <v>18</v>
      </c>
      <c r="K895" t="s" s="2">
        <v>35</v>
      </c>
      <c r="L895" s="3">
        <v>35</v>
      </c>
      <c r="M895" t="s" s="2">
        <v>20</v>
      </c>
    </row>
    <row r="896" ht="13.55" customHeight="1">
      <c r="A896" s="3">
        <v>13873</v>
      </c>
      <c r="B896" t="s" s="2">
        <v>13</v>
      </c>
      <c r="C896" t="s" s="2">
        <v>13</v>
      </c>
      <c r="D896" s="4">
        <v>70000</v>
      </c>
      <c r="E896" s="3">
        <v>3</v>
      </c>
      <c r="F896" t="s" s="2">
        <v>34</v>
      </c>
      <c r="G896" t="s" s="2">
        <v>23</v>
      </c>
      <c r="H896" t="s" s="2">
        <v>17</v>
      </c>
      <c r="I896" s="3">
        <v>0</v>
      </c>
      <c r="J896" t="s" s="2">
        <v>18</v>
      </c>
      <c r="K896" t="s" s="2">
        <v>35</v>
      </c>
      <c r="L896" s="3">
        <v>35</v>
      </c>
      <c r="M896" t="s" s="2">
        <v>17</v>
      </c>
    </row>
    <row r="897" ht="13.55" customHeight="1">
      <c r="A897" s="3">
        <v>20401</v>
      </c>
      <c r="B897" t="s" s="2">
        <v>13</v>
      </c>
      <c r="C897" t="s" s="2">
        <v>14</v>
      </c>
      <c r="D897" s="4">
        <v>50000</v>
      </c>
      <c r="E897" s="3">
        <v>4</v>
      </c>
      <c r="F897" t="s" s="2">
        <v>15</v>
      </c>
      <c r="G897" t="s" s="2">
        <v>31</v>
      </c>
      <c r="H897" t="s" s="2">
        <v>17</v>
      </c>
      <c r="I897" s="3">
        <v>2</v>
      </c>
      <c r="J897" t="s" s="2">
        <v>29</v>
      </c>
      <c r="K897" t="s" s="2">
        <v>35</v>
      </c>
      <c r="L897" s="3">
        <v>64</v>
      </c>
      <c r="M897" t="s" s="2">
        <v>17</v>
      </c>
    </row>
    <row r="898" ht="13.55" customHeight="1">
      <c r="A898" s="3">
        <v>21583</v>
      </c>
      <c r="B898" t="s" s="2">
        <v>13</v>
      </c>
      <c r="C898" t="s" s="2">
        <v>14</v>
      </c>
      <c r="D898" s="4">
        <v>50000</v>
      </c>
      <c r="E898" s="3">
        <v>1</v>
      </c>
      <c r="F898" t="s" s="2">
        <v>15</v>
      </c>
      <c r="G898" t="s" s="2">
        <v>16</v>
      </c>
      <c r="H898" t="s" s="2">
        <v>17</v>
      </c>
      <c r="I898" s="3">
        <v>0</v>
      </c>
      <c r="J898" t="s" s="2">
        <v>18</v>
      </c>
      <c r="K898" t="s" s="2">
        <v>35</v>
      </c>
      <c r="L898" s="3">
        <v>34</v>
      </c>
      <c r="M898" t="s" s="2">
        <v>17</v>
      </c>
    </row>
    <row r="899" ht="13.55" customHeight="1">
      <c r="A899" s="3">
        <v>12029</v>
      </c>
      <c r="B899" t="s" s="2">
        <v>13</v>
      </c>
      <c r="C899" t="s" s="2">
        <v>13</v>
      </c>
      <c r="D899" s="4">
        <v>30000</v>
      </c>
      <c r="E899" s="3">
        <v>0</v>
      </c>
      <c r="F899" t="s" s="2">
        <v>32</v>
      </c>
      <c r="G899" t="s" s="2">
        <v>22</v>
      </c>
      <c r="H899" t="s" s="2">
        <v>20</v>
      </c>
      <c r="I899" s="3">
        <v>2</v>
      </c>
      <c r="J899" t="s" s="2">
        <v>18</v>
      </c>
      <c r="K899" t="s" s="2">
        <v>35</v>
      </c>
      <c r="L899" s="3">
        <v>28</v>
      </c>
      <c r="M899" t="s" s="2">
        <v>20</v>
      </c>
    </row>
    <row r="900" ht="13.55" customHeight="1">
      <c r="A900" s="3">
        <v>18066</v>
      </c>
      <c r="B900" t="s" s="2">
        <v>25</v>
      </c>
      <c r="C900" t="s" s="2">
        <v>13</v>
      </c>
      <c r="D900" s="4">
        <v>70000</v>
      </c>
      <c r="E900" s="3">
        <v>5</v>
      </c>
      <c r="F900" t="s" s="2">
        <v>15</v>
      </c>
      <c r="G900" t="s" s="2">
        <v>31</v>
      </c>
      <c r="H900" t="s" s="2">
        <v>17</v>
      </c>
      <c r="I900" s="3">
        <v>3</v>
      </c>
      <c r="J900" t="s" s="2">
        <v>33</v>
      </c>
      <c r="K900" t="s" s="2">
        <v>35</v>
      </c>
      <c r="L900" s="3">
        <v>60</v>
      </c>
      <c r="M900" t="s" s="2">
        <v>17</v>
      </c>
    </row>
    <row r="901" ht="13.55" customHeight="1">
      <c r="A901" s="3">
        <v>28192</v>
      </c>
      <c r="B901" t="s" s="2">
        <v>13</v>
      </c>
      <c r="C901" t="s" s="2">
        <v>14</v>
      </c>
      <c r="D901" s="4">
        <v>70000</v>
      </c>
      <c r="E901" s="3">
        <v>5</v>
      </c>
      <c r="F901" t="s" s="2">
        <v>34</v>
      </c>
      <c r="G901" t="s" s="2">
        <v>23</v>
      </c>
      <c r="H901" t="s" s="2">
        <v>17</v>
      </c>
      <c r="I901" s="3">
        <v>3</v>
      </c>
      <c r="J901" t="s" s="2">
        <v>33</v>
      </c>
      <c r="K901" t="s" s="2">
        <v>35</v>
      </c>
      <c r="L901" s="3">
        <v>46</v>
      </c>
      <c r="M901" t="s" s="2">
        <v>20</v>
      </c>
    </row>
    <row r="902" ht="13.55" customHeight="1">
      <c r="A902" s="3">
        <v>16122</v>
      </c>
      <c r="B902" t="s" s="2">
        <v>13</v>
      </c>
      <c r="C902" t="s" s="2">
        <v>13</v>
      </c>
      <c r="D902" s="4">
        <v>40000</v>
      </c>
      <c r="E902" s="3">
        <v>4</v>
      </c>
      <c r="F902" t="s" s="2">
        <v>30</v>
      </c>
      <c r="G902" t="s" s="2">
        <v>16</v>
      </c>
      <c r="H902" t="s" s="2">
        <v>17</v>
      </c>
      <c r="I902" s="3">
        <v>2</v>
      </c>
      <c r="J902" t="s" s="2">
        <v>18</v>
      </c>
      <c r="K902" t="s" s="2">
        <v>35</v>
      </c>
      <c r="L902" s="3">
        <v>44</v>
      </c>
      <c r="M902" t="s" s="2">
        <v>17</v>
      </c>
    </row>
    <row r="903" ht="13.55" customHeight="1">
      <c r="A903" s="3">
        <v>18607</v>
      </c>
      <c r="B903" t="s" s="2">
        <v>25</v>
      </c>
      <c r="C903" t="s" s="2">
        <v>14</v>
      </c>
      <c r="D903" s="4">
        <v>60000</v>
      </c>
      <c r="E903" s="3">
        <v>4</v>
      </c>
      <c r="F903" t="s" s="2">
        <v>15</v>
      </c>
      <c r="G903" t="s" s="2">
        <v>16</v>
      </c>
      <c r="H903" t="s" s="2">
        <v>17</v>
      </c>
      <c r="I903" s="3">
        <v>2</v>
      </c>
      <c r="J903" t="s" s="2">
        <v>24</v>
      </c>
      <c r="K903" t="s" s="2">
        <v>35</v>
      </c>
      <c r="L903" s="3">
        <v>42</v>
      </c>
      <c r="M903" t="s" s="2">
        <v>17</v>
      </c>
    </row>
    <row r="904" ht="13.55" customHeight="1">
      <c r="A904" s="3">
        <v>28858</v>
      </c>
      <c r="B904" t="s" s="2">
        <v>25</v>
      </c>
      <c r="C904" t="s" s="2">
        <v>13</v>
      </c>
      <c r="D904" s="4">
        <v>80000</v>
      </c>
      <c r="E904" s="3">
        <v>3</v>
      </c>
      <c r="F904" t="s" s="2">
        <v>15</v>
      </c>
      <c r="G904" t="s" s="2">
        <v>16</v>
      </c>
      <c r="H904" t="s" s="2">
        <v>17</v>
      </c>
      <c r="I904" s="3">
        <v>0</v>
      </c>
      <c r="J904" t="s" s="2">
        <v>24</v>
      </c>
      <c r="K904" t="s" s="2">
        <v>35</v>
      </c>
      <c r="L904" s="3">
        <v>40</v>
      </c>
      <c r="M904" t="s" s="2">
        <v>20</v>
      </c>
    </row>
    <row r="905" ht="13.55" customHeight="1">
      <c r="A905" s="3">
        <v>14432</v>
      </c>
      <c r="B905" t="s" s="2">
        <v>25</v>
      </c>
      <c r="C905" t="s" s="2">
        <v>13</v>
      </c>
      <c r="D905" s="4">
        <v>90000</v>
      </c>
      <c r="E905" s="3">
        <v>4</v>
      </c>
      <c r="F905" t="s" s="2">
        <v>34</v>
      </c>
      <c r="G905" t="s" s="2">
        <v>31</v>
      </c>
      <c r="H905" t="s" s="2">
        <v>17</v>
      </c>
      <c r="I905" s="3">
        <v>1</v>
      </c>
      <c r="J905" t="s" s="2">
        <v>26</v>
      </c>
      <c r="K905" t="s" s="2">
        <v>35</v>
      </c>
      <c r="L905" s="3">
        <v>73</v>
      </c>
      <c r="M905" t="s" s="2">
        <v>20</v>
      </c>
    </row>
    <row r="906" ht="13.55" customHeight="1">
      <c r="A906" s="3">
        <v>26305</v>
      </c>
      <c r="B906" t="s" s="2">
        <v>25</v>
      </c>
      <c r="C906" t="s" s="2">
        <v>14</v>
      </c>
      <c r="D906" s="4">
        <v>60000</v>
      </c>
      <c r="E906" s="3">
        <v>2</v>
      </c>
      <c r="F906" t="s" s="2">
        <v>15</v>
      </c>
      <c r="G906" t="s" s="2">
        <v>16</v>
      </c>
      <c r="H906" t="s" s="2">
        <v>20</v>
      </c>
      <c r="I906" s="3">
        <v>0</v>
      </c>
      <c r="J906" t="s" s="2">
        <v>18</v>
      </c>
      <c r="K906" t="s" s="2">
        <v>35</v>
      </c>
      <c r="L906" s="3">
        <v>36</v>
      </c>
      <c r="M906" t="s" s="2">
        <v>17</v>
      </c>
    </row>
    <row r="907" ht="13.55" customHeight="1">
      <c r="A907" s="3">
        <v>22050</v>
      </c>
      <c r="B907" t="s" s="2">
        <v>25</v>
      </c>
      <c r="C907" t="s" s="2">
        <v>13</v>
      </c>
      <c r="D907" s="4">
        <v>90000</v>
      </c>
      <c r="E907" s="3">
        <v>4</v>
      </c>
      <c r="F907" t="s" s="2">
        <v>15</v>
      </c>
      <c r="G907" t="s" s="2">
        <v>31</v>
      </c>
      <c r="H907" t="s" s="2">
        <v>17</v>
      </c>
      <c r="I907" s="3">
        <v>1</v>
      </c>
      <c r="J907" t="s" s="2">
        <v>29</v>
      </c>
      <c r="K907" t="s" s="2">
        <v>35</v>
      </c>
      <c r="L907" s="3">
        <v>38</v>
      </c>
      <c r="M907" t="s" s="2">
        <v>17</v>
      </c>
    </row>
    <row r="908" ht="13.55" customHeight="1">
      <c r="A908" s="3">
        <v>25394</v>
      </c>
      <c r="B908" t="s" s="2">
        <v>13</v>
      </c>
      <c r="C908" t="s" s="2">
        <v>13</v>
      </c>
      <c r="D908" s="4">
        <v>60000</v>
      </c>
      <c r="E908" s="3">
        <v>1</v>
      </c>
      <c r="F908" t="s" s="2">
        <v>34</v>
      </c>
      <c r="G908" t="s" s="2">
        <v>23</v>
      </c>
      <c r="H908" t="s" s="2">
        <v>17</v>
      </c>
      <c r="I908" s="3">
        <v>0</v>
      </c>
      <c r="J908" t="s" s="2">
        <v>24</v>
      </c>
      <c r="K908" t="s" s="2">
        <v>35</v>
      </c>
      <c r="L908" s="3">
        <v>34</v>
      </c>
      <c r="M908" t="s" s="2">
        <v>17</v>
      </c>
    </row>
    <row r="909" ht="13.55" customHeight="1">
      <c r="A909" s="3">
        <v>19747</v>
      </c>
      <c r="B909" t="s" s="2">
        <v>13</v>
      </c>
      <c r="C909" t="s" s="2">
        <v>13</v>
      </c>
      <c r="D909" s="4">
        <v>50000</v>
      </c>
      <c r="E909" s="3">
        <v>4</v>
      </c>
      <c r="F909" t="s" s="2">
        <v>15</v>
      </c>
      <c r="G909" t="s" s="2">
        <v>31</v>
      </c>
      <c r="H909" t="s" s="2">
        <v>17</v>
      </c>
      <c r="I909" s="3">
        <v>2</v>
      </c>
      <c r="J909" t="s" s="2">
        <v>33</v>
      </c>
      <c r="K909" t="s" s="2">
        <v>35</v>
      </c>
      <c r="L909" s="3">
        <v>63</v>
      </c>
      <c r="M909" t="s" s="2">
        <v>20</v>
      </c>
    </row>
    <row r="910" ht="13.55" customHeight="1">
      <c r="A910" s="3">
        <v>23195</v>
      </c>
      <c r="B910" t="s" s="2">
        <v>25</v>
      </c>
      <c r="C910" t="s" s="2">
        <v>13</v>
      </c>
      <c r="D910" s="4">
        <v>50000</v>
      </c>
      <c r="E910" s="3">
        <v>3</v>
      </c>
      <c r="F910" t="s" s="2">
        <v>15</v>
      </c>
      <c r="G910" t="s" s="2">
        <v>16</v>
      </c>
      <c r="H910" t="s" s="2">
        <v>17</v>
      </c>
      <c r="I910" s="3">
        <v>2</v>
      </c>
      <c r="J910" t="s" s="2">
        <v>24</v>
      </c>
      <c r="K910" t="s" s="2">
        <v>35</v>
      </c>
      <c r="L910" s="3">
        <v>41</v>
      </c>
      <c r="M910" t="s" s="2">
        <v>17</v>
      </c>
    </row>
    <row r="911" ht="13.55" customHeight="1">
      <c r="A911" s="3">
        <v>21695</v>
      </c>
      <c r="B911" t="s" s="2">
        <v>13</v>
      </c>
      <c r="C911" t="s" s="2">
        <v>13</v>
      </c>
      <c r="D911" s="4">
        <v>60000</v>
      </c>
      <c r="E911" s="3">
        <v>0</v>
      </c>
      <c r="F911" t="s" s="2">
        <v>34</v>
      </c>
      <c r="G911" t="s" s="2">
        <v>16</v>
      </c>
      <c r="H911" t="s" s="2">
        <v>17</v>
      </c>
      <c r="I911" s="3">
        <v>0</v>
      </c>
      <c r="J911" t="s" s="2">
        <v>29</v>
      </c>
      <c r="K911" t="s" s="2">
        <v>35</v>
      </c>
      <c r="L911" s="3">
        <v>39</v>
      </c>
      <c r="M911" t="s" s="2">
        <v>17</v>
      </c>
    </row>
    <row r="912" ht="13.55" customHeight="1">
      <c r="A912" s="3">
        <v>13934</v>
      </c>
      <c r="B912" t="s" s="2">
        <v>13</v>
      </c>
      <c r="C912" t="s" s="2">
        <v>13</v>
      </c>
      <c r="D912" s="4">
        <v>40000</v>
      </c>
      <c r="E912" s="3">
        <v>4</v>
      </c>
      <c r="F912" t="s" s="2">
        <v>30</v>
      </c>
      <c r="G912" t="s" s="2">
        <v>16</v>
      </c>
      <c r="H912" t="s" s="2">
        <v>17</v>
      </c>
      <c r="I912" s="3">
        <v>2</v>
      </c>
      <c r="J912" t="s" s="2">
        <v>24</v>
      </c>
      <c r="K912" t="s" s="2">
        <v>35</v>
      </c>
      <c r="L912" s="3">
        <v>46</v>
      </c>
      <c r="M912" t="s" s="2">
        <v>20</v>
      </c>
    </row>
    <row r="913" ht="13.55" customHeight="1">
      <c r="A913" s="3">
        <v>13337</v>
      </c>
      <c r="B913" t="s" s="2">
        <v>13</v>
      </c>
      <c r="C913" t="s" s="2">
        <v>14</v>
      </c>
      <c r="D913" s="4">
        <v>80000</v>
      </c>
      <c r="E913" s="3">
        <v>5</v>
      </c>
      <c r="F913" t="s" s="2">
        <v>15</v>
      </c>
      <c r="G913" t="s" s="2">
        <v>31</v>
      </c>
      <c r="H913" t="s" s="2">
        <v>17</v>
      </c>
      <c r="I913" s="3">
        <v>2</v>
      </c>
      <c r="J913" t="s" s="2">
        <v>26</v>
      </c>
      <c r="K913" t="s" s="2">
        <v>35</v>
      </c>
      <c r="L913" s="3">
        <v>64</v>
      </c>
      <c r="M913" t="s" s="2">
        <v>20</v>
      </c>
    </row>
    <row r="914" ht="13.55" customHeight="1">
      <c r="A914" s="3">
        <v>27190</v>
      </c>
      <c r="B914" t="s" s="2">
        <v>13</v>
      </c>
      <c r="C914" t="s" s="2">
        <v>14</v>
      </c>
      <c r="D914" s="4">
        <v>40000</v>
      </c>
      <c r="E914" s="3">
        <v>3</v>
      </c>
      <c r="F914" t="s" s="2">
        <v>21</v>
      </c>
      <c r="G914" t="s" s="2">
        <v>22</v>
      </c>
      <c r="H914" t="s" s="2">
        <v>17</v>
      </c>
      <c r="I914" s="3">
        <v>1</v>
      </c>
      <c r="J914" t="s" s="2">
        <v>29</v>
      </c>
      <c r="K914" t="s" s="2">
        <v>35</v>
      </c>
      <c r="L914" s="3">
        <v>32</v>
      </c>
      <c r="M914" t="s" s="2">
        <v>20</v>
      </c>
    </row>
    <row r="915" ht="13.55" customHeight="1">
      <c r="A915" s="3">
        <v>28657</v>
      </c>
      <c r="B915" t="s" s="2">
        <v>25</v>
      </c>
      <c r="C915" t="s" s="2">
        <v>13</v>
      </c>
      <c r="D915" s="4">
        <v>60000</v>
      </c>
      <c r="E915" s="3">
        <v>2</v>
      </c>
      <c r="F915" t="s" s="2">
        <v>15</v>
      </c>
      <c r="G915" t="s" s="2">
        <v>16</v>
      </c>
      <c r="H915" t="s" s="2">
        <v>17</v>
      </c>
      <c r="I915" s="3">
        <v>0</v>
      </c>
      <c r="J915" t="s" s="2">
        <v>24</v>
      </c>
      <c r="K915" t="s" s="2">
        <v>35</v>
      </c>
      <c r="L915" s="3">
        <v>36</v>
      </c>
      <c r="M915" t="s" s="2">
        <v>17</v>
      </c>
    </row>
    <row r="916" ht="13.55" customHeight="1">
      <c r="A916" s="3">
        <v>21713</v>
      </c>
      <c r="B916" t="s" s="2">
        <v>25</v>
      </c>
      <c r="C916" t="s" s="2">
        <v>13</v>
      </c>
      <c r="D916" s="4">
        <v>80000</v>
      </c>
      <c r="E916" s="3">
        <v>5</v>
      </c>
      <c r="F916" t="s" s="2">
        <v>34</v>
      </c>
      <c r="G916" t="s" s="2">
        <v>16</v>
      </c>
      <c r="H916" t="s" s="2">
        <v>20</v>
      </c>
      <c r="I916" s="3">
        <v>0</v>
      </c>
      <c r="J916" t="s" s="2">
        <v>18</v>
      </c>
      <c r="K916" t="s" s="2">
        <v>35</v>
      </c>
      <c r="L916" s="3">
        <v>47</v>
      </c>
      <c r="M916" t="s" s="2">
        <v>20</v>
      </c>
    </row>
    <row r="917" ht="13.55" customHeight="1">
      <c r="A917" s="3">
        <v>21752</v>
      </c>
      <c r="B917" t="s" s="2">
        <v>13</v>
      </c>
      <c r="C917" t="s" s="2">
        <v>13</v>
      </c>
      <c r="D917" s="4">
        <v>60000</v>
      </c>
      <c r="E917" s="3">
        <v>3</v>
      </c>
      <c r="F917" t="s" s="2">
        <v>34</v>
      </c>
      <c r="G917" t="s" s="2">
        <v>31</v>
      </c>
      <c r="H917" t="s" s="2">
        <v>17</v>
      </c>
      <c r="I917" s="3">
        <v>2</v>
      </c>
      <c r="J917" t="s" s="2">
        <v>33</v>
      </c>
      <c r="K917" t="s" s="2">
        <v>35</v>
      </c>
      <c r="L917" s="3">
        <v>64</v>
      </c>
      <c r="M917" t="s" s="2">
        <v>20</v>
      </c>
    </row>
    <row r="918" ht="13.55" customHeight="1">
      <c r="A918" s="3">
        <v>27273</v>
      </c>
      <c r="B918" t="s" s="2">
        <v>25</v>
      </c>
      <c r="C918" t="s" s="2">
        <v>13</v>
      </c>
      <c r="D918" s="4">
        <v>70000</v>
      </c>
      <c r="E918" s="3">
        <v>3</v>
      </c>
      <c r="F918" t="s" s="2">
        <v>34</v>
      </c>
      <c r="G918" t="s" s="2">
        <v>23</v>
      </c>
      <c r="H918" t="s" s="2">
        <v>20</v>
      </c>
      <c r="I918" s="3">
        <v>0</v>
      </c>
      <c r="J918" t="s" s="2">
        <v>18</v>
      </c>
      <c r="K918" t="s" s="2">
        <v>35</v>
      </c>
      <c r="L918" s="3">
        <v>35</v>
      </c>
      <c r="M918" t="s" s="2">
        <v>17</v>
      </c>
    </row>
    <row r="919" ht="13.55" customHeight="1">
      <c r="A919" s="3">
        <v>22719</v>
      </c>
      <c r="B919" t="s" s="2">
        <v>25</v>
      </c>
      <c r="C919" t="s" s="2">
        <v>13</v>
      </c>
      <c r="D919" s="4">
        <v>110000</v>
      </c>
      <c r="E919" s="3">
        <v>3</v>
      </c>
      <c r="F919" t="s" s="2">
        <v>15</v>
      </c>
      <c r="G919" t="s" s="2">
        <v>31</v>
      </c>
      <c r="H919" t="s" s="2">
        <v>17</v>
      </c>
      <c r="I919" s="3">
        <v>4</v>
      </c>
      <c r="J919" t="s" s="2">
        <v>24</v>
      </c>
      <c r="K919" t="s" s="2">
        <v>35</v>
      </c>
      <c r="L919" s="3">
        <v>40</v>
      </c>
      <c r="M919" t="s" s="2">
        <v>17</v>
      </c>
    </row>
    <row r="920" ht="13.55" customHeight="1">
      <c r="A920" s="3">
        <v>22042</v>
      </c>
      <c r="B920" t="s" s="2">
        <v>13</v>
      </c>
      <c r="C920" t="s" s="2">
        <v>14</v>
      </c>
      <c r="D920" s="4">
        <v>70000</v>
      </c>
      <c r="E920" s="3">
        <v>0</v>
      </c>
      <c r="F920" t="s" s="2">
        <v>21</v>
      </c>
      <c r="G920" t="s" s="2">
        <v>16</v>
      </c>
      <c r="H920" t="s" s="2">
        <v>17</v>
      </c>
      <c r="I920" s="3">
        <v>2</v>
      </c>
      <c r="J920" t="s" s="2">
        <v>26</v>
      </c>
      <c r="K920" t="s" s="2">
        <v>35</v>
      </c>
      <c r="L920" s="3">
        <v>34</v>
      </c>
      <c r="M920" t="s" s="2">
        <v>17</v>
      </c>
    </row>
    <row r="921" ht="13.55" customHeight="1">
      <c r="A921" s="3">
        <v>21451</v>
      </c>
      <c r="B921" t="s" s="2">
        <v>13</v>
      </c>
      <c r="C921" t="s" s="2">
        <v>14</v>
      </c>
      <c r="D921" s="4">
        <v>40000</v>
      </c>
      <c r="E921" s="3">
        <v>4</v>
      </c>
      <c r="F921" t="s" s="2">
        <v>30</v>
      </c>
      <c r="G921" t="s" s="2">
        <v>23</v>
      </c>
      <c r="H921" t="s" s="2">
        <v>17</v>
      </c>
      <c r="I921" s="3">
        <v>2</v>
      </c>
      <c r="J921" t="s" s="2">
        <v>33</v>
      </c>
      <c r="K921" t="s" s="2">
        <v>35</v>
      </c>
      <c r="L921" s="3">
        <v>61</v>
      </c>
      <c r="M921" t="s" s="2">
        <v>20</v>
      </c>
    </row>
    <row r="922" ht="13.55" customHeight="1">
      <c r="A922" s="3">
        <v>20754</v>
      </c>
      <c r="B922" t="s" s="2">
        <v>13</v>
      </c>
      <c r="C922" t="s" s="2">
        <v>13</v>
      </c>
      <c r="D922" s="4">
        <v>30000</v>
      </c>
      <c r="E922" s="3">
        <v>2</v>
      </c>
      <c r="F922" t="s" s="2">
        <v>30</v>
      </c>
      <c r="G922" t="s" s="2">
        <v>16</v>
      </c>
      <c r="H922" t="s" s="2">
        <v>17</v>
      </c>
      <c r="I922" s="3">
        <v>2</v>
      </c>
      <c r="J922" t="s" s="2">
        <v>29</v>
      </c>
      <c r="K922" t="s" s="2">
        <v>35</v>
      </c>
      <c r="L922" s="3">
        <v>51</v>
      </c>
      <c r="M922" t="s" s="2">
        <v>20</v>
      </c>
    </row>
    <row r="923" ht="13.55" customHeight="1">
      <c r="A923" s="3">
        <v>12153</v>
      </c>
      <c r="B923" t="s" s="2">
        <v>25</v>
      </c>
      <c r="C923" t="s" s="2">
        <v>14</v>
      </c>
      <c r="D923" s="4">
        <v>70000</v>
      </c>
      <c r="E923" s="3">
        <v>3</v>
      </c>
      <c r="F923" t="s" s="2">
        <v>21</v>
      </c>
      <c r="G923" t="s" s="2">
        <v>23</v>
      </c>
      <c r="H923" t="s" s="2">
        <v>17</v>
      </c>
      <c r="I923" s="3">
        <v>1</v>
      </c>
      <c r="J923" t="s" s="2">
        <v>26</v>
      </c>
      <c r="K923" t="s" s="2">
        <v>35</v>
      </c>
      <c r="L923" s="3">
        <v>49</v>
      </c>
      <c r="M923" t="s" s="2">
        <v>17</v>
      </c>
    </row>
    <row r="924" ht="13.55" customHeight="1">
      <c r="A924" s="3">
        <v>16895</v>
      </c>
      <c r="B924" t="s" s="2">
        <v>13</v>
      </c>
      <c r="C924" t="s" s="2">
        <v>14</v>
      </c>
      <c r="D924" s="4">
        <v>40000</v>
      </c>
      <c r="E924" s="3">
        <v>3</v>
      </c>
      <c r="F924" t="s" s="2">
        <v>21</v>
      </c>
      <c r="G924" t="s" s="2">
        <v>23</v>
      </c>
      <c r="H924" t="s" s="2">
        <v>20</v>
      </c>
      <c r="I924" s="3">
        <v>2</v>
      </c>
      <c r="J924" t="s" s="2">
        <v>29</v>
      </c>
      <c r="K924" t="s" s="2">
        <v>35</v>
      </c>
      <c r="L924" s="3">
        <v>54</v>
      </c>
      <c r="M924" t="s" s="2">
        <v>17</v>
      </c>
    </row>
    <row r="925" ht="13.55" customHeight="1">
      <c r="A925" s="3">
        <v>26728</v>
      </c>
      <c r="B925" t="s" s="2">
        <v>25</v>
      </c>
      <c r="C925" t="s" s="2">
        <v>13</v>
      </c>
      <c r="D925" s="4">
        <v>70000</v>
      </c>
      <c r="E925" s="3">
        <v>3</v>
      </c>
      <c r="F925" t="s" s="2">
        <v>34</v>
      </c>
      <c r="G925" t="s" s="2">
        <v>31</v>
      </c>
      <c r="H925" t="s" s="2">
        <v>20</v>
      </c>
      <c r="I925" s="3">
        <v>2</v>
      </c>
      <c r="J925" t="s" s="2">
        <v>29</v>
      </c>
      <c r="K925" t="s" s="2">
        <v>35</v>
      </c>
      <c r="L925" s="3">
        <v>53</v>
      </c>
      <c r="M925" t="s" s="2">
        <v>17</v>
      </c>
    </row>
    <row r="926" ht="13.55" customHeight="1">
      <c r="A926" s="3">
        <v>11090</v>
      </c>
      <c r="B926" t="s" s="2">
        <v>25</v>
      </c>
      <c r="C926" t="s" s="2">
        <v>13</v>
      </c>
      <c r="D926" s="4">
        <v>90000</v>
      </c>
      <c r="E926" s="3">
        <v>2</v>
      </c>
      <c r="F926" t="s" s="2">
        <v>21</v>
      </c>
      <c r="G926" t="s" s="2">
        <v>23</v>
      </c>
      <c r="H926" t="s" s="2">
        <v>17</v>
      </c>
      <c r="I926" s="3">
        <v>1</v>
      </c>
      <c r="J926" t="s" s="2">
        <v>24</v>
      </c>
      <c r="K926" t="s" s="2">
        <v>35</v>
      </c>
      <c r="L926" s="3">
        <v>48</v>
      </c>
      <c r="M926" t="s" s="2">
        <v>17</v>
      </c>
    </row>
    <row r="927" ht="13.55" customHeight="1">
      <c r="A927" s="3">
        <v>15862</v>
      </c>
      <c r="B927" t="s" s="2">
        <v>25</v>
      </c>
      <c r="C927" t="s" s="2">
        <v>14</v>
      </c>
      <c r="D927" s="4">
        <v>50000</v>
      </c>
      <c r="E927" s="3">
        <v>0</v>
      </c>
      <c r="F927" t="s" s="2">
        <v>34</v>
      </c>
      <c r="G927" t="s" s="2">
        <v>16</v>
      </c>
      <c r="H927" t="s" s="2">
        <v>17</v>
      </c>
      <c r="I927" s="3">
        <v>0</v>
      </c>
      <c r="J927" t="s" s="2">
        <v>29</v>
      </c>
      <c r="K927" t="s" s="2">
        <v>35</v>
      </c>
      <c r="L927" s="3">
        <v>33</v>
      </c>
      <c r="M927" t="s" s="2">
        <v>17</v>
      </c>
    </row>
    <row r="928" ht="13.55" customHeight="1">
      <c r="A928" s="3">
        <v>26495</v>
      </c>
      <c r="B928" t="s" s="2">
        <v>25</v>
      </c>
      <c r="C928" t="s" s="2">
        <v>14</v>
      </c>
      <c r="D928" s="4">
        <v>40000</v>
      </c>
      <c r="E928" s="3">
        <v>2</v>
      </c>
      <c r="F928" t="s" s="2">
        <v>30</v>
      </c>
      <c r="G928" t="s" s="2">
        <v>23</v>
      </c>
      <c r="H928" t="s" s="2">
        <v>17</v>
      </c>
      <c r="I928" s="3">
        <v>2</v>
      </c>
      <c r="J928" t="s" s="2">
        <v>33</v>
      </c>
      <c r="K928" t="s" s="2">
        <v>35</v>
      </c>
      <c r="L928" s="3">
        <v>57</v>
      </c>
      <c r="M928" t="s" s="2">
        <v>20</v>
      </c>
    </row>
    <row r="929" ht="13.55" customHeight="1">
      <c r="A929" s="3">
        <v>11823</v>
      </c>
      <c r="B929" t="s" s="2">
        <v>13</v>
      </c>
      <c r="C929" t="s" s="2">
        <v>14</v>
      </c>
      <c r="D929" s="4">
        <v>70000</v>
      </c>
      <c r="E929" s="3">
        <v>0</v>
      </c>
      <c r="F929" t="s" s="2">
        <v>34</v>
      </c>
      <c r="G929" t="s" s="2">
        <v>23</v>
      </c>
      <c r="H929" t="s" s="2">
        <v>17</v>
      </c>
      <c r="I929" s="3">
        <v>0</v>
      </c>
      <c r="J929" t="s" s="2">
        <v>24</v>
      </c>
      <c r="K929" t="s" s="2">
        <v>35</v>
      </c>
      <c r="L929" s="3">
        <v>39</v>
      </c>
      <c r="M929" t="s" s="2">
        <v>20</v>
      </c>
    </row>
    <row r="930" ht="13.55" customHeight="1">
      <c r="A930" s="3">
        <v>23449</v>
      </c>
      <c r="B930" t="s" s="2">
        <v>13</v>
      </c>
      <c r="C930" t="s" s="2">
        <v>13</v>
      </c>
      <c r="D930" s="4">
        <v>60000</v>
      </c>
      <c r="E930" s="3">
        <v>2</v>
      </c>
      <c r="F930" t="s" s="2">
        <v>30</v>
      </c>
      <c r="G930" t="s" s="2">
        <v>23</v>
      </c>
      <c r="H930" t="s" s="2">
        <v>17</v>
      </c>
      <c r="I930" s="3">
        <v>2</v>
      </c>
      <c r="J930" t="s" s="2">
        <v>26</v>
      </c>
      <c r="K930" t="s" s="2">
        <v>35</v>
      </c>
      <c r="L930" s="3">
        <v>48</v>
      </c>
      <c r="M930" t="s" s="2">
        <v>20</v>
      </c>
    </row>
    <row r="931" ht="13.55" customHeight="1">
      <c r="A931" s="3">
        <v>23459</v>
      </c>
      <c r="B931" t="s" s="2">
        <v>13</v>
      </c>
      <c r="C931" t="s" s="2">
        <v>13</v>
      </c>
      <c r="D931" s="4">
        <v>60000</v>
      </c>
      <c r="E931" s="3">
        <v>2</v>
      </c>
      <c r="F931" t="s" s="2">
        <v>30</v>
      </c>
      <c r="G931" t="s" s="2">
        <v>23</v>
      </c>
      <c r="H931" t="s" s="2">
        <v>17</v>
      </c>
      <c r="I931" s="3">
        <v>2</v>
      </c>
      <c r="J931" t="s" s="2">
        <v>26</v>
      </c>
      <c r="K931" t="s" s="2">
        <v>35</v>
      </c>
      <c r="L931" s="3">
        <v>50</v>
      </c>
      <c r="M931" t="s" s="2">
        <v>20</v>
      </c>
    </row>
    <row r="932" ht="13.55" customHeight="1">
      <c r="A932" s="3">
        <v>19543</v>
      </c>
      <c r="B932" t="s" s="2">
        <v>13</v>
      </c>
      <c r="C932" t="s" s="2">
        <v>13</v>
      </c>
      <c r="D932" s="4">
        <v>70000</v>
      </c>
      <c r="E932" s="3">
        <v>5</v>
      </c>
      <c r="F932" t="s" s="2">
        <v>34</v>
      </c>
      <c r="G932" t="s" s="2">
        <v>23</v>
      </c>
      <c r="H932" t="s" s="2">
        <v>20</v>
      </c>
      <c r="I932" s="3">
        <v>3</v>
      </c>
      <c r="J932" t="s" s="2">
        <v>33</v>
      </c>
      <c r="K932" t="s" s="2">
        <v>35</v>
      </c>
      <c r="L932" s="3">
        <v>47</v>
      </c>
      <c r="M932" t="s" s="2">
        <v>20</v>
      </c>
    </row>
    <row r="933" ht="13.55" customHeight="1">
      <c r="A933" s="3">
        <v>14914</v>
      </c>
      <c r="B933" t="s" s="2">
        <v>13</v>
      </c>
      <c r="C933" t="s" s="2">
        <v>14</v>
      </c>
      <c r="D933" s="4">
        <v>40000</v>
      </c>
      <c r="E933" s="3">
        <v>1</v>
      </c>
      <c r="F933" t="s" s="2">
        <v>21</v>
      </c>
      <c r="G933" t="s" s="2">
        <v>22</v>
      </c>
      <c r="H933" t="s" s="2">
        <v>17</v>
      </c>
      <c r="I933" s="3">
        <v>1</v>
      </c>
      <c r="J933" t="s" s="2">
        <v>29</v>
      </c>
      <c r="K933" t="s" s="2">
        <v>35</v>
      </c>
      <c r="L933" s="3">
        <v>49</v>
      </c>
      <c r="M933" t="s" s="2">
        <v>17</v>
      </c>
    </row>
    <row r="934" ht="13.55" customHeight="1">
      <c r="A934" s="3">
        <v>12033</v>
      </c>
      <c r="B934" t="s" s="2">
        <v>25</v>
      </c>
      <c r="C934" t="s" s="2">
        <v>14</v>
      </c>
      <c r="D934" s="4">
        <v>40000</v>
      </c>
      <c r="E934" s="3">
        <v>0</v>
      </c>
      <c r="F934" t="s" s="2">
        <v>30</v>
      </c>
      <c r="G934" t="s" s="2">
        <v>16</v>
      </c>
      <c r="H934" t="s" s="2">
        <v>20</v>
      </c>
      <c r="I934" s="3">
        <v>2</v>
      </c>
      <c r="J934" t="s" s="2">
        <v>18</v>
      </c>
      <c r="K934" t="s" s="2">
        <v>35</v>
      </c>
      <c r="L934" s="3">
        <v>27</v>
      </c>
      <c r="M934" t="s" s="2">
        <v>17</v>
      </c>
    </row>
    <row r="935" ht="13.55" customHeight="1">
      <c r="A935" s="3">
        <v>11941</v>
      </c>
      <c r="B935" t="s" s="2">
        <v>25</v>
      </c>
      <c r="C935" t="s" s="2">
        <v>13</v>
      </c>
      <c r="D935" s="4">
        <v>60000</v>
      </c>
      <c r="E935" s="3">
        <v>0</v>
      </c>
      <c r="F935" t="s" s="2">
        <v>21</v>
      </c>
      <c r="G935" t="s" s="2">
        <v>16</v>
      </c>
      <c r="H935" t="s" s="2">
        <v>17</v>
      </c>
      <c r="I935" s="3">
        <v>0</v>
      </c>
      <c r="J935" t="s" s="2">
        <v>26</v>
      </c>
      <c r="K935" t="s" s="2">
        <v>35</v>
      </c>
      <c r="L935" s="3">
        <v>29</v>
      </c>
      <c r="M935" t="s" s="2">
        <v>20</v>
      </c>
    </row>
    <row r="936" ht="13.55" customHeight="1">
      <c r="A936" s="3">
        <v>14389</v>
      </c>
      <c r="B936" t="s" s="2">
        <v>13</v>
      </c>
      <c r="C936" t="s" s="2">
        <v>13</v>
      </c>
      <c r="D936" s="4">
        <v>60000</v>
      </c>
      <c r="E936" s="3">
        <v>2</v>
      </c>
      <c r="F936" t="s" s="2">
        <v>15</v>
      </c>
      <c r="G936" t="s" s="2">
        <v>31</v>
      </c>
      <c r="H936" t="s" s="2">
        <v>17</v>
      </c>
      <c r="I936" s="3">
        <v>0</v>
      </c>
      <c r="J936" t="s" s="2">
        <v>24</v>
      </c>
      <c r="K936" t="s" s="2">
        <v>35</v>
      </c>
      <c r="L936" s="3">
        <v>59</v>
      </c>
      <c r="M936" t="s" s="2">
        <v>20</v>
      </c>
    </row>
    <row r="937" ht="13.55" customHeight="1">
      <c r="A937" s="3">
        <v>18050</v>
      </c>
      <c r="B937" t="s" s="2">
        <v>13</v>
      </c>
      <c r="C937" t="s" s="2">
        <v>14</v>
      </c>
      <c r="D937" s="4">
        <v>60000</v>
      </c>
      <c r="E937" s="3">
        <v>1</v>
      </c>
      <c r="F937" t="s" s="2">
        <v>21</v>
      </c>
      <c r="G937" t="s" s="2">
        <v>16</v>
      </c>
      <c r="H937" t="s" s="2">
        <v>17</v>
      </c>
      <c r="I937" s="3">
        <v>1</v>
      </c>
      <c r="J937" t="s" s="2">
        <v>18</v>
      </c>
      <c r="K937" t="s" s="2">
        <v>35</v>
      </c>
      <c r="L937" s="3">
        <v>45</v>
      </c>
      <c r="M937" t="s" s="2">
        <v>17</v>
      </c>
    </row>
    <row r="938" ht="13.55" customHeight="1">
      <c r="A938" s="3">
        <v>19856</v>
      </c>
      <c r="B938" t="s" s="2">
        <v>13</v>
      </c>
      <c r="C938" t="s" s="2">
        <v>14</v>
      </c>
      <c r="D938" s="4">
        <v>60000</v>
      </c>
      <c r="E938" s="3">
        <v>4</v>
      </c>
      <c r="F938" t="s" s="2">
        <v>15</v>
      </c>
      <c r="G938" t="s" s="2">
        <v>31</v>
      </c>
      <c r="H938" t="s" s="2">
        <v>17</v>
      </c>
      <c r="I938" s="3">
        <v>2</v>
      </c>
      <c r="J938" t="s" s="2">
        <v>24</v>
      </c>
      <c r="K938" t="s" s="2">
        <v>35</v>
      </c>
      <c r="L938" s="3">
        <v>60</v>
      </c>
      <c r="M938" t="s" s="2">
        <v>20</v>
      </c>
    </row>
    <row r="939" ht="13.55" customHeight="1">
      <c r="A939" s="3">
        <v>11663</v>
      </c>
      <c r="B939" t="s" s="2">
        <v>13</v>
      </c>
      <c r="C939" t="s" s="2">
        <v>13</v>
      </c>
      <c r="D939" s="4">
        <v>70000</v>
      </c>
      <c r="E939" s="3">
        <v>4</v>
      </c>
      <c r="F939" t="s" s="2">
        <v>34</v>
      </c>
      <c r="G939" t="s" s="2">
        <v>23</v>
      </c>
      <c r="H939" t="s" s="2">
        <v>17</v>
      </c>
      <c r="I939" s="3">
        <v>0</v>
      </c>
      <c r="J939" t="s" s="2">
        <v>18</v>
      </c>
      <c r="K939" t="s" s="2">
        <v>35</v>
      </c>
      <c r="L939" s="3">
        <v>36</v>
      </c>
      <c r="M939" t="s" s="2">
        <v>17</v>
      </c>
    </row>
    <row r="940" ht="13.55" customHeight="1">
      <c r="A940" s="3">
        <v>27740</v>
      </c>
      <c r="B940" t="s" s="2">
        <v>13</v>
      </c>
      <c r="C940" t="s" s="2">
        <v>14</v>
      </c>
      <c r="D940" s="4">
        <v>40000</v>
      </c>
      <c r="E940" s="3">
        <v>0</v>
      </c>
      <c r="F940" t="s" s="2">
        <v>30</v>
      </c>
      <c r="G940" t="s" s="2">
        <v>16</v>
      </c>
      <c r="H940" t="s" s="2">
        <v>17</v>
      </c>
      <c r="I940" s="3">
        <v>2</v>
      </c>
      <c r="J940" t="s" s="2">
        <v>26</v>
      </c>
      <c r="K940" t="s" s="2">
        <v>35</v>
      </c>
      <c r="L940" s="3">
        <v>27</v>
      </c>
      <c r="M940" t="s" s="2">
        <v>20</v>
      </c>
    </row>
    <row r="941" ht="13.55" customHeight="1">
      <c r="A941" s="3">
        <v>23455</v>
      </c>
      <c r="B941" t="s" s="2">
        <v>25</v>
      </c>
      <c r="C941" t="s" s="2">
        <v>13</v>
      </c>
      <c r="D941" s="4">
        <v>80000</v>
      </c>
      <c r="E941" s="3">
        <v>2</v>
      </c>
      <c r="F941" t="s" s="2">
        <v>32</v>
      </c>
      <c r="G941" t="s" s="2">
        <v>16</v>
      </c>
      <c r="H941" t="s" s="2">
        <v>20</v>
      </c>
      <c r="I941" s="3">
        <v>2</v>
      </c>
      <c r="J941" t="s" s="2">
        <v>29</v>
      </c>
      <c r="K941" t="s" s="2">
        <v>35</v>
      </c>
      <c r="L941" s="3">
        <v>50</v>
      </c>
      <c r="M941" t="s" s="2">
        <v>20</v>
      </c>
    </row>
    <row r="942" ht="13.55" customHeight="1">
      <c r="A942" s="3">
        <v>15292</v>
      </c>
      <c r="B942" t="s" s="2">
        <v>25</v>
      </c>
      <c r="C942" t="s" s="2">
        <v>14</v>
      </c>
      <c r="D942" s="4">
        <v>60000</v>
      </c>
      <c r="E942" s="3">
        <v>1</v>
      </c>
      <c r="F942" t="s" s="2">
        <v>34</v>
      </c>
      <c r="G942" t="s" s="2">
        <v>16</v>
      </c>
      <c r="H942" t="s" s="2">
        <v>17</v>
      </c>
      <c r="I942" s="3">
        <v>0</v>
      </c>
      <c r="J942" t="s" s="2">
        <v>29</v>
      </c>
      <c r="K942" t="s" s="2">
        <v>35</v>
      </c>
      <c r="L942" s="3">
        <v>35</v>
      </c>
      <c r="M942" t="s" s="2">
        <v>20</v>
      </c>
    </row>
    <row r="943" ht="13.55" customHeight="1">
      <c r="A943" s="3">
        <v>21587</v>
      </c>
      <c r="B943" t="s" s="2">
        <v>13</v>
      </c>
      <c r="C943" t="s" s="2">
        <v>14</v>
      </c>
      <c r="D943" s="4">
        <v>60000</v>
      </c>
      <c r="E943" s="3">
        <v>1</v>
      </c>
      <c r="F943" t="s" s="2">
        <v>34</v>
      </c>
      <c r="G943" t="s" s="2">
        <v>16</v>
      </c>
      <c r="H943" t="s" s="2">
        <v>17</v>
      </c>
      <c r="I943" s="3">
        <v>0</v>
      </c>
      <c r="J943" t="s" s="2">
        <v>24</v>
      </c>
      <c r="K943" t="s" s="2">
        <v>35</v>
      </c>
      <c r="L943" s="3">
        <v>34</v>
      </c>
      <c r="M943" t="s" s="2">
        <v>17</v>
      </c>
    </row>
    <row r="944" ht="13.55" customHeight="1">
      <c r="A944" s="3">
        <v>23513</v>
      </c>
      <c r="B944" t="s" s="2">
        <v>13</v>
      </c>
      <c r="C944" t="s" s="2">
        <v>14</v>
      </c>
      <c r="D944" s="4">
        <v>40000</v>
      </c>
      <c r="E944" s="3">
        <v>3</v>
      </c>
      <c r="F944" t="s" s="2">
        <v>21</v>
      </c>
      <c r="G944" t="s" s="2">
        <v>23</v>
      </c>
      <c r="H944" t="s" s="2">
        <v>17</v>
      </c>
      <c r="I944" s="3">
        <v>2</v>
      </c>
      <c r="J944" t="s" s="2">
        <v>26</v>
      </c>
      <c r="K944" t="s" s="2">
        <v>35</v>
      </c>
      <c r="L944" s="3">
        <v>54</v>
      </c>
      <c r="M944" t="s" s="2">
        <v>20</v>
      </c>
    </row>
    <row r="945" ht="13.55" customHeight="1">
      <c r="A945" s="3">
        <v>24322</v>
      </c>
      <c r="B945" t="s" s="2">
        <v>13</v>
      </c>
      <c r="C945" t="s" s="2">
        <v>14</v>
      </c>
      <c r="D945" s="4">
        <v>60000</v>
      </c>
      <c r="E945" s="3">
        <v>4</v>
      </c>
      <c r="F945" t="s" s="2">
        <v>15</v>
      </c>
      <c r="G945" t="s" s="2">
        <v>16</v>
      </c>
      <c r="H945" t="s" s="2">
        <v>20</v>
      </c>
      <c r="I945" s="3">
        <v>2</v>
      </c>
      <c r="J945" t="s" s="2">
        <v>18</v>
      </c>
      <c r="K945" t="s" s="2">
        <v>35</v>
      </c>
      <c r="L945" s="3">
        <v>42</v>
      </c>
      <c r="M945" t="s" s="2">
        <v>20</v>
      </c>
    </row>
    <row r="946" ht="13.55" customHeight="1">
      <c r="A946" s="3">
        <v>26298</v>
      </c>
      <c r="B946" t="s" s="2">
        <v>13</v>
      </c>
      <c r="C946" t="s" s="2">
        <v>14</v>
      </c>
      <c r="D946" s="4">
        <v>50000</v>
      </c>
      <c r="E946" s="3">
        <v>1</v>
      </c>
      <c r="F946" t="s" s="2">
        <v>15</v>
      </c>
      <c r="G946" t="s" s="2">
        <v>16</v>
      </c>
      <c r="H946" t="s" s="2">
        <v>17</v>
      </c>
      <c r="I946" s="3">
        <v>0</v>
      </c>
      <c r="J946" t="s" s="2">
        <v>24</v>
      </c>
      <c r="K946" t="s" s="2">
        <v>35</v>
      </c>
      <c r="L946" s="3">
        <v>34</v>
      </c>
      <c r="M946" t="s" s="2">
        <v>17</v>
      </c>
    </row>
    <row r="947" ht="13.55" customHeight="1">
      <c r="A947" s="3">
        <v>25419</v>
      </c>
      <c r="B947" t="s" s="2">
        <v>25</v>
      </c>
      <c r="C947" t="s" s="2">
        <v>13</v>
      </c>
      <c r="D947" s="4">
        <v>50000</v>
      </c>
      <c r="E947" s="3">
        <v>2</v>
      </c>
      <c r="F947" t="s" s="2">
        <v>15</v>
      </c>
      <c r="G947" t="s" s="2">
        <v>16</v>
      </c>
      <c r="H947" t="s" s="2">
        <v>20</v>
      </c>
      <c r="I947" s="3">
        <v>1</v>
      </c>
      <c r="J947" t="s" s="2">
        <v>18</v>
      </c>
      <c r="K947" t="s" s="2">
        <v>35</v>
      </c>
      <c r="L947" s="3">
        <v>38</v>
      </c>
      <c r="M947" t="s" s="2">
        <v>17</v>
      </c>
    </row>
    <row r="948" ht="13.55" customHeight="1">
      <c r="A948" s="3">
        <v>13343</v>
      </c>
      <c r="B948" t="s" s="2">
        <v>13</v>
      </c>
      <c r="C948" t="s" s="2">
        <v>14</v>
      </c>
      <c r="D948" s="4">
        <v>90000</v>
      </c>
      <c r="E948" s="3">
        <v>5</v>
      </c>
      <c r="F948" t="s" s="2">
        <v>15</v>
      </c>
      <c r="G948" t="s" s="2">
        <v>31</v>
      </c>
      <c r="H948" t="s" s="2">
        <v>17</v>
      </c>
      <c r="I948" s="3">
        <v>2</v>
      </c>
      <c r="J948" t="s" s="2">
        <v>29</v>
      </c>
      <c r="K948" t="s" s="2">
        <v>35</v>
      </c>
      <c r="L948" s="3">
        <v>63</v>
      </c>
      <c r="M948" t="s" s="2">
        <v>17</v>
      </c>
    </row>
    <row r="949" ht="13.55" customHeight="1">
      <c r="A949" s="3">
        <v>11303</v>
      </c>
      <c r="B949" t="s" s="2">
        <v>25</v>
      </c>
      <c r="C949" t="s" s="2">
        <v>14</v>
      </c>
      <c r="D949" s="4">
        <v>90000</v>
      </c>
      <c r="E949" s="3">
        <v>4</v>
      </c>
      <c r="F949" t="s" s="2">
        <v>30</v>
      </c>
      <c r="G949" t="s" s="2">
        <v>23</v>
      </c>
      <c r="H949" t="s" s="2">
        <v>20</v>
      </c>
      <c r="I949" s="3">
        <v>3</v>
      </c>
      <c r="J949" t="s" s="2">
        <v>29</v>
      </c>
      <c r="K949" t="s" s="2">
        <v>35</v>
      </c>
      <c r="L949" s="3">
        <v>45</v>
      </c>
      <c r="M949" t="s" s="2">
        <v>17</v>
      </c>
    </row>
    <row r="950" ht="13.55" customHeight="1">
      <c r="A950" s="3">
        <v>21693</v>
      </c>
      <c r="B950" t="s" s="2">
        <v>25</v>
      </c>
      <c r="C950" t="s" s="2">
        <v>14</v>
      </c>
      <c r="D950" s="4">
        <v>60000</v>
      </c>
      <c r="E950" s="3">
        <v>0</v>
      </c>
      <c r="F950" t="s" s="2">
        <v>34</v>
      </c>
      <c r="G950" t="s" s="2">
        <v>16</v>
      </c>
      <c r="H950" t="s" s="2">
        <v>20</v>
      </c>
      <c r="I950" s="3">
        <v>0</v>
      </c>
      <c r="J950" t="s" s="2">
        <v>18</v>
      </c>
      <c r="K950" t="s" s="2">
        <v>35</v>
      </c>
      <c r="L950" s="3">
        <v>40</v>
      </c>
      <c r="M950" t="s" s="2">
        <v>20</v>
      </c>
    </row>
    <row r="951" ht="13.55" customHeight="1">
      <c r="A951" s="3">
        <v>28056</v>
      </c>
      <c r="B951" t="s" s="2">
        <v>13</v>
      </c>
      <c r="C951" t="s" s="2">
        <v>13</v>
      </c>
      <c r="D951" s="4">
        <v>70000</v>
      </c>
      <c r="E951" s="3">
        <v>2</v>
      </c>
      <c r="F951" t="s" s="2">
        <v>32</v>
      </c>
      <c r="G951" t="s" s="2">
        <v>16</v>
      </c>
      <c r="H951" t="s" s="2">
        <v>17</v>
      </c>
      <c r="I951" s="3">
        <v>2</v>
      </c>
      <c r="J951" t="s" s="2">
        <v>33</v>
      </c>
      <c r="K951" t="s" s="2">
        <v>35</v>
      </c>
      <c r="L951" s="3">
        <v>53</v>
      </c>
      <c r="M951" t="s" s="2">
        <v>20</v>
      </c>
    </row>
    <row r="952" ht="13.55" customHeight="1">
      <c r="A952" s="3">
        <v>11788</v>
      </c>
      <c r="B952" t="s" s="2">
        <v>25</v>
      </c>
      <c r="C952" t="s" s="2">
        <v>14</v>
      </c>
      <c r="D952" s="4">
        <v>70000</v>
      </c>
      <c r="E952" s="3">
        <v>1</v>
      </c>
      <c r="F952" t="s" s="2">
        <v>34</v>
      </c>
      <c r="G952" t="s" s="2">
        <v>23</v>
      </c>
      <c r="H952" t="s" s="2">
        <v>17</v>
      </c>
      <c r="I952" s="3">
        <v>0</v>
      </c>
      <c r="J952" t="s" s="2">
        <v>24</v>
      </c>
      <c r="K952" t="s" s="2">
        <v>35</v>
      </c>
      <c r="L952" s="3">
        <v>34</v>
      </c>
      <c r="M952" t="s" s="2">
        <v>20</v>
      </c>
    </row>
    <row r="953" ht="13.55" customHeight="1">
      <c r="A953" s="3">
        <v>22296</v>
      </c>
      <c r="B953" t="s" s="2">
        <v>13</v>
      </c>
      <c r="C953" t="s" s="2">
        <v>13</v>
      </c>
      <c r="D953" s="4">
        <v>70000</v>
      </c>
      <c r="E953" s="3">
        <v>0</v>
      </c>
      <c r="F953" t="s" s="2">
        <v>15</v>
      </c>
      <c r="G953" t="s" s="2">
        <v>23</v>
      </c>
      <c r="H953" t="s" s="2">
        <v>20</v>
      </c>
      <c r="I953" s="3">
        <v>1</v>
      </c>
      <c r="J953" t="s" s="2">
        <v>18</v>
      </c>
      <c r="K953" t="s" s="2">
        <v>35</v>
      </c>
      <c r="L953" s="3">
        <v>38</v>
      </c>
      <c r="M953" t="s" s="2">
        <v>20</v>
      </c>
    </row>
    <row r="954" ht="13.55" customHeight="1">
      <c r="A954" s="3">
        <v>15319</v>
      </c>
      <c r="B954" t="s" s="2">
        <v>13</v>
      </c>
      <c r="C954" t="s" s="2">
        <v>14</v>
      </c>
      <c r="D954" s="4">
        <v>70000</v>
      </c>
      <c r="E954" s="3">
        <v>4</v>
      </c>
      <c r="F954" t="s" s="2">
        <v>15</v>
      </c>
      <c r="G954" t="s" s="2">
        <v>31</v>
      </c>
      <c r="H954" t="s" s="2">
        <v>20</v>
      </c>
      <c r="I954" s="3">
        <v>1</v>
      </c>
      <c r="J954" t="s" s="2">
        <v>29</v>
      </c>
      <c r="K954" t="s" s="2">
        <v>35</v>
      </c>
      <c r="L954" s="3">
        <v>59</v>
      </c>
      <c r="M954" t="s" s="2">
        <v>20</v>
      </c>
    </row>
    <row r="955" ht="13.55" customHeight="1">
      <c r="A955" s="3">
        <v>17654</v>
      </c>
      <c r="B955" t="s" s="2">
        <v>25</v>
      </c>
      <c r="C955" t="s" s="2">
        <v>14</v>
      </c>
      <c r="D955" s="4">
        <v>40000</v>
      </c>
      <c r="E955" s="3">
        <v>3</v>
      </c>
      <c r="F955" t="s" s="2">
        <v>21</v>
      </c>
      <c r="G955" t="s" s="2">
        <v>22</v>
      </c>
      <c r="H955" t="s" s="2">
        <v>17</v>
      </c>
      <c r="I955" s="3">
        <v>1</v>
      </c>
      <c r="J955" t="s" s="2">
        <v>29</v>
      </c>
      <c r="K955" t="s" s="2">
        <v>35</v>
      </c>
      <c r="L955" s="3">
        <v>30</v>
      </c>
      <c r="M955" t="s" s="2">
        <v>17</v>
      </c>
    </row>
    <row r="956" ht="13.55" customHeight="1">
      <c r="A956" s="3">
        <v>14662</v>
      </c>
      <c r="B956" t="s" s="2">
        <v>13</v>
      </c>
      <c r="C956" t="s" s="2">
        <v>13</v>
      </c>
      <c r="D956" s="4">
        <v>60000</v>
      </c>
      <c r="E956" s="3">
        <v>1</v>
      </c>
      <c r="F956" t="s" s="2">
        <v>15</v>
      </c>
      <c r="G956" t="s" s="2">
        <v>23</v>
      </c>
      <c r="H956" t="s" s="2">
        <v>17</v>
      </c>
      <c r="I956" s="3">
        <v>1</v>
      </c>
      <c r="J956" t="s" s="2">
        <v>18</v>
      </c>
      <c r="K956" t="s" s="2">
        <v>35</v>
      </c>
      <c r="L956" s="3">
        <v>48</v>
      </c>
      <c r="M956" t="s" s="2">
        <v>17</v>
      </c>
    </row>
    <row r="957" ht="13.55" customHeight="1">
      <c r="A957" s="3">
        <v>17541</v>
      </c>
      <c r="B957" t="s" s="2">
        <v>13</v>
      </c>
      <c r="C957" t="s" s="2">
        <v>14</v>
      </c>
      <c r="D957" s="4">
        <v>40000</v>
      </c>
      <c r="E957" s="3">
        <v>4</v>
      </c>
      <c r="F957" t="s" s="2">
        <v>30</v>
      </c>
      <c r="G957" t="s" s="2">
        <v>16</v>
      </c>
      <c r="H957" t="s" s="2">
        <v>17</v>
      </c>
      <c r="I957" s="3">
        <v>2</v>
      </c>
      <c r="J957" t="s" s="2">
        <v>24</v>
      </c>
      <c r="K957" t="s" s="2">
        <v>35</v>
      </c>
      <c r="L957" s="3">
        <v>43</v>
      </c>
      <c r="M957" t="s" s="2">
        <v>20</v>
      </c>
    </row>
    <row r="958" ht="13.55" customHeight="1">
      <c r="A958" s="3">
        <v>13886</v>
      </c>
      <c r="B958" t="s" s="2">
        <v>13</v>
      </c>
      <c r="C958" t="s" s="2">
        <v>14</v>
      </c>
      <c r="D958" s="4">
        <v>70000</v>
      </c>
      <c r="E958" s="3">
        <v>4</v>
      </c>
      <c r="F958" t="s" s="2">
        <v>34</v>
      </c>
      <c r="G958" t="s" s="2">
        <v>23</v>
      </c>
      <c r="H958" t="s" s="2">
        <v>17</v>
      </c>
      <c r="I958" s="3">
        <v>0</v>
      </c>
      <c r="J958" t="s" s="2">
        <v>24</v>
      </c>
      <c r="K958" t="s" s="2">
        <v>35</v>
      </c>
      <c r="L958" s="3">
        <v>35</v>
      </c>
      <c r="M958" t="s" s="2">
        <v>17</v>
      </c>
    </row>
    <row r="959" ht="13.55" customHeight="1">
      <c r="A959" s="3">
        <v>13073</v>
      </c>
      <c r="B959" t="s" s="2">
        <v>13</v>
      </c>
      <c r="C959" t="s" s="2">
        <v>14</v>
      </c>
      <c r="D959" s="4">
        <v>60000</v>
      </c>
      <c r="E959" s="3">
        <v>0</v>
      </c>
      <c r="F959" t="s" s="2">
        <v>21</v>
      </c>
      <c r="G959" t="s" s="2">
        <v>23</v>
      </c>
      <c r="H959" t="s" s="2">
        <v>17</v>
      </c>
      <c r="I959" s="3">
        <v>2</v>
      </c>
      <c r="J959" t="s" s="2">
        <v>26</v>
      </c>
      <c r="K959" t="s" s="2">
        <v>35</v>
      </c>
      <c r="L959" s="3">
        <v>30</v>
      </c>
      <c r="M959" t="s" s="2">
        <v>20</v>
      </c>
    </row>
    <row r="960" ht="13.55" customHeight="1">
      <c r="A960" s="3">
        <v>21940</v>
      </c>
      <c r="B960" t="s" s="2">
        <v>13</v>
      </c>
      <c r="C960" t="s" s="2">
        <v>13</v>
      </c>
      <c r="D960" s="4">
        <v>90000</v>
      </c>
      <c r="E960" s="3">
        <v>5</v>
      </c>
      <c r="F960" t="s" s="2">
        <v>34</v>
      </c>
      <c r="G960" t="s" s="2">
        <v>23</v>
      </c>
      <c r="H960" t="s" s="2">
        <v>17</v>
      </c>
      <c r="I960" s="3">
        <v>0</v>
      </c>
      <c r="J960" t="s" s="2">
        <v>18</v>
      </c>
      <c r="K960" t="s" s="2">
        <v>35</v>
      </c>
      <c r="L960" s="3">
        <v>47</v>
      </c>
      <c r="M960" t="s" s="2">
        <v>17</v>
      </c>
    </row>
    <row r="961" ht="13.55" customHeight="1">
      <c r="A961" s="3">
        <v>20196</v>
      </c>
      <c r="B961" t="s" s="2">
        <v>13</v>
      </c>
      <c r="C961" t="s" s="2">
        <v>13</v>
      </c>
      <c r="D961" s="4">
        <v>60000</v>
      </c>
      <c r="E961" s="3">
        <v>1</v>
      </c>
      <c r="F961" t="s" s="2">
        <v>21</v>
      </c>
      <c r="G961" t="s" s="2">
        <v>16</v>
      </c>
      <c r="H961" t="s" s="2">
        <v>17</v>
      </c>
      <c r="I961" s="3">
        <v>1</v>
      </c>
      <c r="J961" t="s" s="2">
        <v>24</v>
      </c>
      <c r="K961" t="s" s="2">
        <v>35</v>
      </c>
      <c r="L961" s="3">
        <v>45</v>
      </c>
      <c r="M961" t="s" s="2">
        <v>17</v>
      </c>
    </row>
    <row r="962" ht="13.55" customHeight="1">
      <c r="A962" s="3">
        <v>23491</v>
      </c>
      <c r="B962" t="s" s="2">
        <v>25</v>
      </c>
      <c r="C962" t="s" s="2">
        <v>13</v>
      </c>
      <c r="D962" s="4">
        <v>100000</v>
      </c>
      <c r="E962" s="3">
        <v>0</v>
      </c>
      <c r="F962" t="s" s="2">
        <v>21</v>
      </c>
      <c r="G962" t="s" s="2">
        <v>23</v>
      </c>
      <c r="H962" t="s" s="2">
        <v>20</v>
      </c>
      <c r="I962" s="3">
        <v>4</v>
      </c>
      <c r="J962" t="s" s="2">
        <v>29</v>
      </c>
      <c r="K962" t="s" s="2">
        <v>35</v>
      </c>
      <c r="L962" s="3">
        <v>45</v>
      </c>
      <c r="M962" t="s" s="2">
        <v>20</v>
      </c>
    </row>
    <row r="963" ht="13.55" customHeight="1">
      <c r="A963" s="3">
        <v>16651</v>
      </c>
      <c r="B963" t="s" s="2">
        <v>13</v>
      </c>
      <c r="C963" t="s" s="2">
        <v>14</v>
      </c>
      <c r="D963" s="4">
        <v>120000</v>
      </c>
      <c r="E963" s="3">
        <v>2</v>
      </c>
      <c r="F963" t="s" s="2">
        <v>15</v>
      </c>
      <c r="G963" t="s" s="2">
        <v>31</v>
      </c>
      <c r="H963" t="s" s="2">
        <v>17</v>
      </c>
      <c r="I963" s="3">
        <v>3</v>
      </c>
      <c r="J963" t="s" s="2">
        <v>26</v>
      </c>
      <c r="K963" t="s" s="2">
        <v>35</v>
      </c>
      <c r="L963" s="3">
        <v>62</v>
      </c>
      <c r="M963" t="s" s="2">
        <v>20</v>
      </c>
    </row>
    <row r="964" ht="13.55" customHeight="1">
      <c r="A964" s="3">
        <v>16813</v>
      </c>
      <c r="B964" t="s" s="2">
        <v>13</v>
      </c>
      <c r="C964" t="s" s="2">
        <v>13</v>
      </c>
      <c r="D964" s="4">
        <v>60000</v>
      </c>
      <c r="E964" s="3">
        <v>2</v>
      </c>
      <c r="F964" t="s" s="2">
        <v>21</v>
      </c>
      <c r="G964" t="s" s="2">
        <v>23</v>
      </c>
      <c r="H964" t="s" s="2">
        <v>17</v>
      </c>
      <c r="I964" s="3">
        <v>2</v>
      </c>
      <c r="J964" t="s" s="2">
        <v>33</v>
      </c>
      <c r="K964" t="s" s="2">
        <v>35</v>
      </c>
      <c r="L964" s="3">
        <v>55</v>
      </c>
      <c r="M964" t="s" s="2">
        <v>20</v>
      </c>
    </row>
    <row r="965" ht="13.55" customHeight="1">
      <c r="A965" s="3">
        <v>16007</v>
      </c>
      <c r="B965" t="s" s="2">
        <v>13</v>
      </c>
      <c r="C965" t="s" s="2">
        <v>14</v>
      </c>
      <c r="D965" s="4">
        <v>90000</v>
      </c>
      <c r="E965" s="3">
        <v>5</v>
      </c>
      <c r="F965" t="s" s="2">
        <v>15</v>
      </c>
      <c r="G965" t="s" s="2">
        <v>31</v>
      </c>
      <c r="H965" t="s" s="2">
        <v>17</v>
      </c>
      <c r="I965" s="3">
        <v>2</v>
      </c>
      <c r="J965" t="s" s="2">
        <v>29</v>
      </c>
      <c r="K965" t="s" s="2">
        <v>35</v>
      </c>
      <c r="L965" s="3">
        <v>66</v>
      </c>
      <c r="M965" t="s" s="2">
        <v>17</v>
      </c>
    </row>
    <row r="966" ht="13.55" customHeight="1">
      <c r="A966" s="3">
        <v>27434</v>
      </c>
      <c r="B966" t="s" s="2">
        <v>25</v>
      </c>
      <c r="C966" t="s" s="2">
        <v>13</v>
      </c>
      <c r="D966" s="4">
        <v>70000</v>
      </c>
      <c r="E966" s="3">
        <v>4</v>
      </c>
      <c r="F966" t="s" s="2">
        <v>21</v>
      </c>
      <c r="G966" t="s" s="2">
        <v>23</v>
      </c>
      <c r="H966" t="s" s="2">
        <v>17</v>
      </c>
      <c r="I966" s="3">
        <v>1</v>
      </c>
      <c r="J966" t="s" s="2">
        <v>33</v>
      </c>
      <c r="K966" t="s" s="2">
        <v>35</v>
      </c>
      <c r="L966" s="3">
        <v>56</v>
      </c>
      <c r="M966" t="s" s="2">
        <v>20</v>
      </c>
    </row>
    <row r="967" ht="13.55" customHeight="1">
      <c r="A967" s="3">
        <v>27756</v>
      </c>
      <c r="B967" t="s" s="2">
        <v>25</v>
      </c>
      <c r="C967" t="s" s="2">
        <v>14</v>
      </c>
      <c r="D967" s="4">
        <v>50000</v>
      </c>
      <c r="E967" s="3">
        <v>3</v>
      </c>
      <c r="F967" t="s" s="2">
        <v>15</v>
      </c>
      <c r="G967" t="s" s="2">
        <v>16</v>
      </c>
      <c r="H967" t="s" s="2">
        <v>20</v>
      </c>
      <c r="I967" s="3">
        <v>1</v>
      </c>
      <c r="J967" t="s" s="2">
        <v>18</v>
      </c>
      <c r="K967" t="s" s="2">
        <v>35</v>
      </c>
      <c r="L967" s="3">
        <v>40</v>
      </c>
      <c r="M967" t="s" s="2">
        <v>20</v>
      </c>
    </row>
    <row r="968" ht="13.55" customHeight="1">
      <c r="A968" s="3">
        <v>23818</v>
      </c>
      <c r="B968" t="s" s="2">
        <v>13</v>
      </c>
      <c r="C968" t="s" s="2">
        <v>14</v>
      </c>
      <c r="D968" s="4">
        <v>50000</v>
      </c>
      <c r="E968" s="3">
        <v>0</v>
      </c>
      <c r="F968" t="s" s="2">
        <v>34</v>
      </c>
      <c r="G968" t="s" s="2">
        <v>16</v>
      </c>
      <c r="H968" t="s" s="2">
        <v>17</v>
      </c>
      <c r="I968" s="3">
        <v>0</v>
      </c>
      <c r="J968" t="s" s="2">
        <v>29</v>
      </c>
      <c r="K968" t="s" s="2">
        <v>35</v>
      </c>
      <c r="L968" s="3">
        <v>33</v>
      </c>
      <c r="M968" t="s" s="2">
        <v>17</v>
      </c>
    </row>
    <row r="969" ht="13.55" customHeight="1">
      <c r="A969" s="3">
        <v>19012</v>
      </c>
      <c r="B969" t="s" s="2">
        <v>13</v>
      </c>
      <c r="C969" t="s" s="2">
        <v>13</v>
      </c>
      <c r="D969" s="4">
        <v>80000</v>
      </c>
      <c r="E969" s="3">
        <v>3</v>
      </c>
      <c r="F969" t="s" s="2">
        <v>15</v>
      </c>
      <c r="G969" t="s" s="2">
        <v>31</v>
      </c>
      <c r="H969" t="s" s="2">
        <v>17</v>
      </c>
      <c r="I969" s="3">
        <v>1</v>
      </c>
      <c r="J969" t="s" s="2">
        <v>29</v>
      </c>
      <c r="K969" t="s" s="2">
        <v>35</v>
      </c>
      <c r="L969" s="3">
        <v>56</v>
      </c>
      <c r="M969" t="s" s="2">
        <v>20</v>
      </c>
    </row>
    <row r="970" ht="13.55" customHeight="1">
      <c r="A970" s="3">
        <v>18329</v>
      </c>
      <c r="B970" t="s" s="2">
        <v>25</v>
      </c>
      <c r="C970" t="s" s="2">
        <v>13</v>
      </c>
      <c r="D970" s="4">
        <v>30000</v>
      </c>
      <c r="E970" s="3">
        <v>0</v>
      </c>
      <c r="F970" t="s" s="2">
        <v>32</v>
      </c>
      <c r="G970" t="s" s="2">
        <v>22</v>
      </c>
      <c r="H970" t="s" s="2">
        <v>20</v>
      </c>
      <c r="I970" s="3">
        <v>2</v>
      </c>
      <c r="J970" t="s" s="2">
        <v>26</v>
      </c>
      <c r="K970" t="s" s="2">
        <v>35</v>
      </c>
      <c r="L970" s="3">
        <v>27</v>
      </c>
      <c r="M970" t="s" s="2">
        <v>20</v>
      </c>
    </row>
    <row r="971" ht="13.55" customHeight="1">
      <c r="A971" s="3">
        <v>29037</v>
      </c>
      <c r="B971" t="s" s="2">
        <v>13</v>
      </c>
      <c r="C971" t="s" s="2">
        <v>13</v>
      </c>
      <c r="D971" s="4">
        <v>60000</v>
      </c>
      <c r="E971" s="3">
        <v>0</v>
      </c>
      <c r="F971" t="s" s="2">
        <v>34</v>
      </c>
      <c r="G971" t="s" s="2">
        <v>23</v>
      </c>
      <c r="H971" t="s" s="2">
        <v>20</v>
      </c>
      <c r="I971" s="3">
        <v>0</v>
      </c>
      <c r="J971" t="s" s="2">
        <v>18</v>
      </c>
      <c r="K971" t="s" s="2">
        <v>35</v>
      </c>
      <c r="L971" s="3">
        <v>39</v>
      </c>
      <c r="M971" t="s" s="2">
        <v>20</v>
      </c>
    </row>
    <row r="972" ht="13.55" customHeight="1">
      <c r="A972" s="3">
        <v>26576</v>
      </c>
      <c r="B972" t="s" s="2">
        <v>13</v>
      </c>
      <c r="C972" t="s" s="2">
        <v>14</v>
      </c>
      <c r="D972" s="4">
        <v>60000</v>
      </c>
      <c r="E972" s="3">
        <v>0</v>
      </c>
      <c r="F972" t="s" s="2">
        <v>21</v>
      </c>
      <c r="G972" t="s" s="2">
        <v>16</v>
      </c>
      <c r="H972" t="s" s="2">
        <v>17</v>
      </c>
      <c r="I972" s="3">
        <v>2</v>
      </c>
      <c r="J972" t="s" s="2">
        <v>26</v>
      </c>
      <c r="K972" t="s" s="2">
        <v>35</v>
      </c>
      <c r="L972" s="3">
        <v>31</v>
      </c>
      <c r="M972" t="s" s="2">
        <v>20</v>
      </c>
    </row>
    <row r="973" ht="13.55" customHeight="1">
      <c r="A973" s="3">
        <v>12192</v>
      </c>
      <c r="B973" t="s" s="2">
        <v>25</v>
      </c>
      <c r="C973" t="s" s="2">
        <v>14</v>
      </c>
      <c r="D973" s="4">
        <v>60000</v>
      </c>
      <c r="E973" s="3">
        <v>2</v>
      </c>
      <c r="F973" t="s" s="2">
        <v>32</v>
      </c>
      <c r="G973" t="s" s="2">
        <v>16</v>
      </c>
      <c r="H973" t="s" s="2">
        <v>20</v>
      </c>
      <c r="I973" s="3">
        <v>2</v>
      </c>
      <c r="J973" t="s" s="2">
        <v>29</v>
      </c>
      <c r="K973" t="s" s="2">
        <v>35</v>
      </c>
      <c r="L973" s="3">
        <v>51</v>
      </c>
      <c r="M973" t="s" s="2">
        <v>20</v>
      </c>
    </row>
    <row r="974" ht="13.55" customHeight="1">
      <c r="A974" s="3">
        <v>14887</v>
      </c>
      <c r="B974" t="s" s="2">
        <v>13</v>
      </c>
      <c r="C974" t="s" s="2">
        <v>14</v>
      </c>
      <c r="D974" s="4">
        <v>30000</v>
      </c>
      <c r="E974" s="3">
        <v>1</v>
      </c>
      <c r="F974" t="s" s="2">
        <v>30</v>
      </c>
      <c r="G974" t="s" s="2">
        <v>22</v>
      </c>
      <c r="H974" t="s" s="2">
        <v>17</v>
      </c>
      <c r="I974" s="3">
        <v>1</v>
      </c>
      <c r="J974" t="s" s="2">
        <v>26</v>
      </c>
      <c r="K974" t="s" s="2">
        <v>35</v>
      </c>
      <c r="L974" s="3">
        <v>52</v>
      </c>
      <c r="M974" t="s" s="2">
        <v>20</v>
      </c>
    </row>
    <row r="975" ht="13.55" customHeight="1">
      <c r="A975" s="3">
        <v>11734</v>
      </c>
      <c r="B975" t="s" s="2">
        <v>13</v>
      </c>
      <c r="C975" t="s" s="2">
        <v>13</v>
      </c>
      <c r="D975" s="4">
        <v>60000</v>
      </c>
      <c r="E975" s="3">
        <v>1</v>
      </c>
      <c r="F975" t="s" s="2">
        <v>21</v>
      </c>
      <c r="G975" t="s" s="2">
        <v>16</v>
      </c>
      <c r="H975" t="s" s="2">
        <v>20</v>
      </c>
      <c r="I975" s="3">
        <v>1</v>
      </c>
      <c r="J975" t="s" s="2">
        <v>18</v>
      </c>
      <c r="K975" t="s" s="2">
        <v>35</v>
      </c>
      <c r="L975" s="3">
        <v>47</v>
      </c>
      <c r="M975" t="s" s="2">
        <v>20</v>
      </c>
    </row>
    <row r="976" ht="13.55" customHeight="1">
      <c r="A976" s="3">
        <v>17462</v>
      </c>
      <c r="B976" t="s" s="2">
        <v>13</v>
      </c>
      <c r="C976" t="s" s="2">
        <v>13</v>
      </c>
      <c r="D976" s="4">
        <v>70000</v>
      </c>
      <c r="E976" s="3">
        <v>3</v>
      </c>
      <c r="F976" t="s" s="2">
        <v>34</v>
      </c>
      <c r="G976" t="s" s="2">
        <v>31</v>
      </c>
      <c r="H976" t="s" s="2">
        <v>17</v>
      </c>
      <c r="I976" s="3">
        <v>2</v>
      </c>
      <c r="J976" t="s" s="2">
        <v>26</v>
      </c>
      <c r="K976" t="s" s="2">
        <v>35</v>
      </c>
      <c r="L976" s="3">
        <v>53</v>
      </c>
      <c r="M976" t="s" s="2">
        <v>17</v>
      </c>
    </row>
    <row r="977" ht="13.55" customHeight="1">
      <c r="A977" s="3">
        <v>20659</v>
      </c>
      <c r="B977" t="s" s="2">
        <v>13</v>
      </c>
      <c r="C977" t="s" s="2">
        <v>13</v>
      </c>
      <c r="D977" s="4">
        <v>70000</v>
      </c>
      <c r="E977" s="3">
        <v>3</v>
      </c>
      <c r="F977" t="s" s="2">
        <v>34</v>
      </c>
      <c r="G977" t="s" s="2">
        <v>23</v>
      </c>
      <c r="H977" t="s" s="2">
        <v>17</v>
      </c>
      <c r="I977" s="3">
        <v>0</v>
      </c>
      <c r="J977" t="s" s="2">
        <v>18</v>
      </c>
      <c r="K977" t="s" s="2">
        <v>35</v>
      </c>
      <c r="L977" s="3">
        <v>35</v>
      </c>
      <c r="M977" t="s" s="2">
        <v>17</v>
      </c>
    </row>
    <row r="978" ht="13.55" customHeight="1">
      <c r="A978" s="3">
        <v>28004</v>
      </c>
      <c r="B978" t="s" s="2">
        <v>13</v>
      </c>
      <c r="C978" t="s" s="2">
        <v>14</v>
      </c>
      <c r="D978" s="4">
        <v>60000</v>
      </c>
      <c r="E978" s="3">
        <v>3</v>
      </c>
      <c r="F978" t="s" s="2">
        <v>15</v>
      </c>
      <c r="G978" t="s" s="2">
        <v>31</v>
      </c>
      <c r="H978" t="s" s="2">
        <v>17</v>
      </c>
      <c r="I978" s="3">
        <v>2</v>
      </c>
      <c r="J978" t="s" s="2">
        <v>33</v>
      </c>
      <c r="K978" t="s" s="2">
        <v>35</v>
      </c>
      <c r="L978" s="3">
        <v>66</v>
      </c>
      <c r="M978" t="s" s="2">
        <v>20</v>
      </c>
    </row>
    <row r="979" ht="13.55" customHeight="1">
      <c r="A979" s="3">
        <v>19741</v>
      </c>
      <c r="B979" t="s" s="2">
        <v>25</v>
      </c>
      <c r="C979" t="s" s="2">
        <v>14</v>
      </c>
      <c r="D979" s="4">
        <v>80000</v>
      </c>
      <c r="E979" s="3">
        <v>4</v>
      </c>
      <c r="F979" t="s" s="2">
        <v>34</v>
      </c>
      <c r="G979" t="s" s="2">
        <v>31</v>
      </c>
      <c r="H979" t="s" s="2">
        <v>17</v>
      </c>
      <c r="I979" s="3">
        <v>2</v>
      </c>
      <c r="J979" t="s" s="2">
        <v>26</v>
      </c>
      <c r="K979" t="s" s="2">
        <v>35</v>
      </c>
      <c r="L979" s="3">
        <v>65</v>
      </c>
      <c r="M979" t="s" s="2">
        <v>20</v>
      </c>
    </row>
    <row r="980" ht="13.55" customHeight="1">
      <c r="A980" s="3">
        <v>17450</v>
      </c>
      <c r="B980" t="s" s="2">
        <v>13</v>
      </c>
      <c r="C980" t="s" s="2">
        <v>13</v>
      </c>
      <c r="D980" s="4">
        <v>80000</v>
      </c>
      <c r="E980" s="3">
        <v>5</v>
      </c>
      <c r="F980" t="s" s="2">
        <v>21</v>
      </c>
      <c r="G980" t="s" s="2">
        <v>23</v>
      </c>
      <c r="H980" t="s" s="2">
        <v>17</v>
      </c>
      <c r="I980" s="3">
        <v>3</v>
      </c>
      <c r="J980" t="s" s="2">
        <v>26</v>
      </c>
      <c r="K980" t="s" s="2">
        <v>35</v>
      </c>
      <c r="L980" s="3">
        <v>45</v>
      </c>
      <c r="M980" t="s" s="2">
        <v>20</v>
      </c>
    </row>
    <row r="981" ht="13.55" customHeight="1">
      <c r="A981" s="3">
        <v>17337</v>
      </c>
      <c r="B981" t="s" s="2">
        <v>25</v>
      </c>
      <c r="C981" t="s" s="2">
        <v>13</v>
      </c>
      <c r="D981" s="4">
        <v>40000</v>
      </c>
      <c r="E981" s="3">
        <v>0</v>
      </c>
      <c r="F981" t="s" s="2">
        <v>30</v>
      </c>
      <c r="G981" t="s" s="2">
        <v>16</v>
      </c>
      <c r="H981" t="s" s="2">
        <v>17</v>
      </c>
      <c r="I981" s="3">
        <v>1</v>
      </c>
      <c r="J981" t="s" s="2">
        <v>26</v>
      </c>
      <c r="K981" t="s" s="2">
        <v>35</v>
      </c>
      <c r="L981" s="3">
        <v>31</v>
      </c>
      <c r="M981" t="s" s="2">
        <v>20</v>
      </c>
    </row>
    <row r="982" ht="13.55" customHeight="1">
      <c r="A982" s="3">
        <v>18594</v>
      </c>
      <c r="B982" t="s" s="2">
        <v>25</v>
      </c>
      <c r="C982" t="s" s="2">
        <v>14</v>
      </c>
      <c r="D982" s="4">
        <v>80000</v>
      </c>
      <c r="E982" s="3">
        <v>3</v>
      </c>
      <c r="F982" t="s" s="2">
        <v>15</v>
      </c>
      <c r="G982" t="s" s="2">
        <v>16</v>
      </c>
      <c r="H982" t="s" s="2">
        <v>17</v>
      </c>
      <c r="I982" s="3">
        <v>3</v>
      </c>
      <c r="J982" t="s" s="2">
        <v>33</v>
      </c>
      <c r="K982" t="s" s="2">
        <v>35</v>
      </c>
      <c r="L982" s="3">
        <v>40</v>
      </c>
      <c r="M982" t="s" s="2">
        <v>17</v>
      </c>
    </row>
    <row r="983" ht="13.55" customHeight="1">
      <c r="A983" s="3">
        <v>15982</v>
      </c>
      <c r="B983" t="s" s="2">
        <v>13</v>
      </c>
      <c r="C983" t="s" s="2">
        <v>13</v>
      </c>
      <c r="D983" s="4">
        <v>110000</v>
      </c>
      <c r="E983" s="3">
        <v>5</v>
      </c>
      <c r="F983" t="s" s="2">
        <v>21</v>
      </c>
      <c r="G983" t="s" s="2">
        <v>23</v>
      </c>
      <c r="H983" t="s" s="2">
        <v>17</v>
      </c>
      <c r="I983" s="3">
        <v>4</v>
      </c>
      <c r="J983" t="s" s="2">
        <v>24</v>
      </c>
      <c r="K983" t="s" s="2">
        <v>35</v>
      </c>
      <c r="L983" s="3">
        <v>46</v>
      </c>
      <c r="M983" t="s" s="2">
        <v>20</v>
      </c>
    </row>
    <row r="984" ht="13.55" customHeight="1">
      <c r="A984" s="3">
        <v>28625</v>
      </c>
      <c r="B984" t="s" s="2">
        <v>25</v>
      </c>
      <c r="C984" t="s" s="2">
        <v>13</v>
      </c>
      <c r="D984" s="4">
        <v>40000</v>
      </c>
      <c r="E984" s="3">
        <v>2</v>
      </c>
      <c r="F984" t="s" s="2">
        <v>21</v>
      </c>
      <c r="G984" t="s" s="2">
        <v>22</v>
      </c>
      <c r="H984" t="s" s="2">
        <v>20</v>
      </c>
      <c r="I984" s="3">
        <v>1</v>
      </c>
      <c r="J984" t="s" s="2">
        <v>29</v>
      </c>
      <c r="K984" t="s" s="2">
        <v>35</v>
      </c>
      <c r="L984" s="3">
        <v>47</v>
      </c>
      <c r="M984" t="s" s="2">
        <v>17</v>
      </c>
    </row>
    <row r="985" ht="13.55" customHeight="1">
      <c r="A985" s="3">
        <v>11269</v>
      </c>
      <c r="B985" t="s" s="2">
        <v>13</v>
      </c>
      <c r="C985" t="s" s="2">
        <v>13</v>
      </c>
      <c r="D985" s="4">
        <v>130000</v>
      </c>
      <c r="E985" s="3">
        <v>2</v>
      </c>
      <c r="F985" t="s" s="2">
        <v>34</v>
      </c>
      <c r="G985" t="s" s="2">
        <v>31</v>
      </c>
      <c r="H985" t="s" s="2">
        <v>17</v>
      </c>
      <c r="I985" s="3">
        <v>2</v>
      </c>
      <c r="J985" t="s" s="2">
        <v>18</v>
      </c>
      <c r="K985" t="s" s="2">
        <v>35</v>
      </c>
      <c r="L985" s="3">
        <v>41</v>
      </c>
      <c r="M985" t="s" s="2">
        <v>20</v>
      </c>
    </row>
    <row r="986" ht="13.55" customHeight="1">
      <c r="A986" s="3">
        <v>25148</v>
      </c>
      <c r="B986" t="s" s="2">
        <v>13</v>
      </c>
      <c r="C986" t="s" s="2">
        <v>13</v>
      </c>
      <c r="D986" s="4">
        <v>60000</v>
      </c>
      <c r="E986" s="3">
        <v>2</v>
      </c>
      <c r="F986" t="s" s="2">
        <v>30</v>
      </c>
      <c r="G986" t="s" s="2">
        <v>23</v>
      </c>
      <c r="H986" t="s" s="2">
        <v>20</v>
      </c>
      <c r="I986" s="3">
        <v>2</v>
      </c>
      <c r="J986" t="s" s="2">
        <v>29</v>
      </c>
      <c r="K986" t="s" s="2">
        <v>35</v>
      </c>
      <c r="L986" s="3">
        <v>48</v>
      </c>
      <c r="M986" t="s" s="2">
        <v>17</v>
      </c>
    </row>
    <row r="987" ht="13.55" customHeight="1">
      <c r="A987" s="3">
        <v>13920</v>
      </c>
      <c r="B987" t="s" s="2">
        <v>25</v>
      </c>
      <c r="C987" t="s" s="2">
        <v>14</v>
      </c>
      <c r="D987" s="4">
        <v>50000</v>
      </c>
      <c r="E987" s="3">
        <v>4</v>
      </c>
      <c r="F987" t="s" s="2">
        <v>15</v>
      </c>
      <c r="G987" t="s" s="2">
        <v>16</v>
      </c>
      <c r="H987" t="s" s="2">
        <v>17</v>
      </c>
      <c r="I987" s="3">
        <v>2</v>
      </c>
      <c r="J987" t="s" s="2">
        <v>18</v>
      </c>
      <c r="K987" t="s" s="2">
        <v>35</v>
      </c>
      <c r="L987" s="3">
        <v>42</v>
      </c>
      <c r="M987" t="s" s="2">
        <v>20</v>
      </c>
    </row>
    <row r="988" ht="13.55" customHeight="1">
      <c r="A988" s="3">
        <v>23704</v>
      </c>
      <c r="B988" t="s" s="2">
        <v>25</v>
      </c>
      <c r="C988" t="s" s="2">
        <v>13</v>
      </c>
      <c r="D988" s="4">
        <v>40000</v>
      </c>
      <c r="E988" s="3">
        <v>5</v>
      </c>
      <c r="F988" t="s" s="2">
        <v>30</v>
      </c>
      <c r="G988" t="s" s="2">
        <v>23</v>
      </c>
      <c r="H988" t="s" s="2">
        <v>17</v>
      </c>
      <c r="I988" s="3">
        <v>4</v>
      </c>
      <c r="J988" t="s" s="2">
        <v>33</v>
      </c>
      <c r="K988" t="s" s="2">
        <v>35</v>
      </c>
      <c r="L988" s="3">
        <v>60</v>
      </c>
      <c r="M988" t="s" s="2">
        <v>17</v>
      </c>
    </row>
    <row r="989" ht="13.55" customHeight="1">
      <c r="A989" s="3">
        <v>28972</v>
      </c>
      <c r="B989" t="s" s="2">
        <v>25</v>
      </c>
      <c r="C989" t="s" s="2">
        <v>14</v>
      </c>
      <c r="D989" s="4">
        <v>60000</v>
      </c>
      <c r="E989" s="3">
        <v>3</v>
      </c>
      <c r="F989" t="s" s="2">
        <v>34</v>
      </c>
      <c r="G989" t="s" s="2">
        <v>31</v>
      </c>
      <c r="H989" t="s" s="2">
        <v>17</v>
      </c>
      <c r="I989" s="3">
        <v>2</v>
      </c>
      <c r="J989" t="s" s="2">
        <v>33</v>
      </c>
      <c r="K989" t="s" s="2">
        <v>35</v>
      </c>
      <c r="L989" s="3">
        <v>66</v>
      </c>
      <c r="M989" t="s" s="2">
        <v>20</v>
      </c>
    </row>
    <row r="990" ht="13.55" customHeight="1">
      <c r="A990" s="3">
        <v>22730</v>
      </c>
      <c r="B990" t="s" s="2">
        <v>13</v>
      </c>
      <c r="C990" t="s" s="2">
        <v>13</v>
      </c>
      <c r="D990" s="4">
        <v>70000</v>
      </c>
      <c r="E990" s="3">
        <v>5</v>
      </c>
      <c r="F990" t="s" s="2">
        <v>15</v>
      </c>
      <c r="G990" t="s" s="2">
        <v>31</v>
      </c>
      <c r="H990" t="s" s="2">
        <v>17</v>
      </c>
      <c r="I990" s="3">
        <v>2</v>
      </c>
      <c r="J990" t="s" s="2">
        <v>33</v>
      </c>
      <c r="K990" t="s" s="2">
        <v>35</v>
      </c>
      <c r="L990" s="3">
        <v>63</v>
      </c>
      <c r="M990" t="s" s="2">
        <v>20</v>
      </c>
    </row>
    <row r="991" ht="13.55" customHeight="1">
      <c r="A991" s="3">
        <v>29134</v>
      </c>
      <c r="B991" t="s" s="2">
        <v>13</v>
      </c>
      <c r="C991" t="s" s="2">
        <v>13</v>
      </c>
      <c r="D991" s="4">
        <v>60000</v>
      </c>
      <c r="E991" s="3">
        <v>4</v>
      </c>
      <c r="F991" t="s" s="2">
        <v>15</v>
      </c>
      <c r="G991" t="s" s="2">
        <v>16</v>
      </c>
      <c r="H991" t="s" s="2">
        <v>20</v>
      </c>
      <c r="I991" s="3">
        <v>3</v>
      </c>
      <c r="J991" t="s" s="2">
        <v>33</v>
      </c>
      <c r="K991" t="s" s="2">
        <v>35</v>
      </c>
      <c r="L991" s="3">
        <v>42</v>
      </c>
      <c r="M991" t="s" s="2">
        <v>20</v>
      </c>
    </row>
    <row r="992" ht="13.55" customHeight="1">
      <c r="A992" s="3">
        <v>14332</v>
      </c>
      <c r="B992" t="s" s="2">
        <v>25</v>
      </c>
      <c r="C992" t="s" s="2">
        <v>14</v>
      </c>
      <c r="D992" s="4">
        <v>30000</v>
      </c>
      <c r="E992" s="3">
        <v>0</v>
      </c>
      <c r="F992" t="s" s="2">
        <v>30</v>
      </c>
      <c r="G992" t="s" s="2">
        <v>16</v>
      </c>
      <c r="H992" t="s" s="2">
        <v>20</v>
      </c>
      <c r="I992" s="3">
        <v>2</v>
      </c>
      <c r="J992" t="s" s="2">
        <v>26</v>
      </c>
      <c r="K992" t="s" s="2">
        <v>35</v>
      </c>
      <c r="L992" s="3">
        <v>26</v>
      </c>
      <c r="M992" t="s" s="2">
        <v>20</v>
      </c>
    </row>
    <row r="993" ht="13.55" customHeight="1">
      <c r="A993" s="3">
        <v>19117</v>
      </c>
      <c r="B993" t="s" s="2">
        <v>25</v>
      </c>
      <c r="C993" t="s" s="2">
        <v>14</v>
      </c>
      <c r="D993" s="4">
        <v>60000</v>
      </c>
      <c r="E993" s="3">
        <v>1</v>
      </c>
      <c r="F993" t="s" s="2">
        <v>34</v>
      </c>
      <c r="G993" t="s" s="2">
        <v>23</v>
      </c>
      <c r="H993" t="s" s="2">
        <v>17</v>
      </c>
      <c r="I993" s="3">
        <v>0</v>
      </c>
      <c r="J993" t="s" s="2">
        <v>24</v>
      </c>
      <c r="K993" t="s" s="2">
        <v>35</v>
      </c>
      <c r="L993" s="3">
        <v>36</v>
      </c>
      <c r="M993" t="s" s="2">
        <v>17</v>
      </c>
    </row>
    <row r="994" ht="13.55" customHeight="1">
      <c r="A994" s="3">
        <v>22864</v>
      </c>
      <c r="B994" t="s" s="2">
        <v>13</v>
      </c>
      <c r="C994" t="s" s="2">
        <v>13</v>
      </c>
      <c r="D994" s="4">
        <v>90000</v>
      </c>
      <c r="E994" s="3">
        <v>2</v>
      </c>
      <c r="F994" t="s" s="2">
        <v>21</v>
      </c>
      <c r="G994" t="s" s="2">
        <v>23</v>
      </c>
      <c r="H994" t="s" s="2">
        <v>20</v>
      </c>
      <c r="I994" s="3">
        <v>0</v>
      </c>
      <c r="J994" t="s" s="2">
        <v>26</v>
      </c>
      <c r="K994" t="s" s="2">
        <v>35</v>
      </c>
      <c r="L994" s="3">
        <v>49</v>
      </c>
      <c r="M994" t="s" s="2">
        <v>17</v>
      </c>
    </row>
    <row r="995" ht="13.55" customHeight="1">
      <c r="A995" s="3">
        <v>11292</v>
      </c>
      <c r="B995" t="s" s="2">
        <v>25</v>
      </c>
      <c r="C995" t="s" s="2">
        <v>13</v>
      </c>
      <c r="D995" s="4">
        <v>150000</v>
      </c>
      <c r="E995" s="3">
        <v>1</v>
      </c>
      <c r="F995" t="s" s="2">
        <v>21</v>
      </c>
      <c r="G995" t="s" s="2">
        <v>23</v>
      </c>
      <c r="H995" t="s" s="2">
        <v>20</v>
      </c>
      <c r="I995" s="3">
        <v>3</v>
      </c>
      <c r="J995" t="s" s="2">
        <v>18</v>
      </c>
      <c r="K995" t="s" s="2">
        <v>35</v>
      </c>
      <c r="L995" s="3">
        <v>44</v>
      </c>
      <c r="M995" t="s" s="2">
        <v>17</v>
      </c>
    </row>
    <row r="996" ht="13.55" customHeight="1">
      <c r="A996" s="3">
        <v>13466</v>
      </c>
      <c r="B996" t="s" s="2">
        <v>13</v>
      </c>
      <c r="C996" t="s" s="2">
        <v>13</v>
      </c>
      <c r="D996" s="4">
        <v>80000</v>
      </c>
      <c r="E996" s="3">
        <v>5</v>
      </c>
      <c r="F996" t="s" s="2">
        <v>21</v>
      </c>
      <c r="G996" t="s" s="2">
        <v>23</v>
      </c>
      <c r="H996" t="s" s="2">
        <v>17</v>
      </c>
      <c r="I996" s="3">
        <v>3</v>
      </c>
      <c r="J996" t="s" s="2">
        <v>29</v>
      </c>
      <c r="K996" t="s" s="2">
        <v>35</v>
      </c>
      <c r="L996" s="3">
        <v>46</v>
      </c>
      <c r="M996" t="s" s="2">
        <v>20</v>
      </c>
    </row>
    <row r="997" ht="13.55" customHeight="1">
      <c r="A997" s="3">
        <v>23731</v>
      </c>
      <c r="B997" t="s" s="2">
        <v>13</v>
      </c>
      <c r="C997" t="s" s="2">
        <v>13</v>
      </c>
      <c r="D997" s="4">
        <v>60000</v>
      </c>
      <c r="E997" s="5">
        <v>2</v>
      </c>
      <c r="F997" t="s" s="2">
        <v>30</v>
      </c>
      <c r="G997" t="s" s="2">
        <v>23</v>
      </c>
      <c r="H997" t="s" s="2">
        <v>17</v>
      </c>
      <c r="I997" s="3">
        <v>2</v>
      </c>
      <c r="J997" t="s" s="2">
        <v>24</v>
      </c>
      <c r="K997" t="s" s="2">
        <v>35</v>
      </c>
      <c r="L997" s="3">
        <v>54</v>
      </c>
      <c r="M997" t="s" s="2">
        <v>17</v>
      </c>
    </row>
    <row r="998" ht="13.55" customHeight="1">
      <c r="A998" s="3">
        <v>28672</v>
      </c>
      <c r="B998" t="s" s="2">
        <v>25</v>
      </c>
      <c r="C998" t="s" s="2">
        <v>13</v>
      </c>
      <c r="D998" s="4">
        <v>70000</v>
      </c>
      <c r="E998" s="3">
        <v>4</v>
      </c>
      <c r="F998" t="s" s="2">
        <v>34</v>
      </c>
      <c r="G998" t="s" s="2">
        <v>23</v>
      </c>
      <c r="H998" t="s" s="2">
        <v>17</v>
      </c>
      <c r="I998" s="3">
        <v>0</v>
      </c>
      <c r="J998" t="s" s="2">
        <v>24</v>
      </c>
      <c r="K998" t="s" s="2">
        <v>35</v>
      </c>
      <c r="L998" s="3">
        <v>35</v>
      </c>
      <c r="M998" t="s" s="2">
        <v>17</v>
      </c>
    </row>
    <row r="999" ht="13.55" customHeight="1">
      <c r="A999" s="3">
        <v>11809</v>
      </c>
      <c r="B999" t="s" s="2">
        <v>13</v>
      </c>
      <c r="C999" t="s" s="2">
        <v>13</v>
      </c>
      <c r="D999" s="4">
        <v>60000</v>
      </c>
      <c r="E999" s="3">
        <v>2</v>
      </c>
      <c r="F999" t="s" s="2">
        <v>15</v>
      </c>
      <c r="G999" t="s" s="2">
        <v>16</v>
      </c>
      <c r="H999" t="s" s="2">
        <v>17</v>
      </c>
      <c r="I999" s="3">
        <v>0</v>
      </c>
      <c r="J999" t="s" s="2">
        <v>18</v>
      </c>
      <c r="K999" t="s" s="2">
        <v>35</v>
      </c>
      <c r="L999" s="3">
        <v>38</v>
      </c>
      <c r="M999" t="s" s="2">
        <v>17</v>
      </c>
    </row>
    <row r="1000" ht="13.55" customHeight="1">
      <c r="A1000" s="3">
        <v>19664</v>
      </c>
      <c r="B1000" t="s" s="2">
        <v>25</v>
      </c>
      <c r="C1000" t="s" s="2">
        <v>13</v>
      </c>
      <c r="D1000" s="4">
        <v>100000</v>
      </c>
      <c r="E1000" s="3">
        <v>3</v>
      </c>
      <c r="F1000" t="s" s="2">
        <v>15</v>
      </c>
      <c r="G1000" t="s" s="2">
        <v>31</v>
      </c>
      <c r="H1000" t="s" s="2">
        <v>20</v>
      </c>
      <c r="I1000" s="3">
        <v>3</v>
      </c>
      <c r="J1000" t="s" s="2">
        <v>29</v>
      </c>
      <c r="K1000" t="s" s="2">
        <v>35</v>
      </c>
      <c r="L1000" s="3">
        <v>38</v>
      </c>
      <c r="M1000" t="s" s="2">
        <v>20</v>
      </c>
    </row>
    <row r="1001" ht="13.55" customHeight="1">
      <c r="A1001" s="3">
        <v>12121</v>
      </c>
      <c r="B1001" t="s" s="2">
        <v>25</v>
      </c>
      <c r="C1001" t="s" s="2">
        <v>13</v>
      </c>
      <c r="D1001" s="4">
        <v>60000</v>
      </c>
      <c r="E1001" s="3">
        <v>3</v>
      </c>
      <c r="F1001" t="s" s="2">
        <v>30</v>
      </c>
      <c r="G1001" t="s" s="2">
        <v>23</v>
      </c>
      <c r="H1001" t="s" s="2">
        <v>17</v>
      </c>
      <c r="I1001" s="3">
        <v>2</v>
      </c>
      <c r="J1001" t="s" s="2">
        <v>33</v>
      </c>
      <c r="K1001" t="s" s="2">
        <v>35</v>
      </c>
      <c r="L1001" s="3">
        <v>53</v>
      </c>
      <c r="M1001" t="s" s="2">
        <v>17</v>
      </c>
    </row>
    <row r="1002" ht="13.55" customHeight="1">
      <c r="A1002" s="3">
        <v>13507</v>
      </c>
      <c r="B1002" t="s" s="2">
        <v>13</v>
      </c>
      <c r="C1002" t="s" s="2">
        <v>14</v>
      </c>
      <c r="D1002" s="4">
        <v>10000</v>
      </c>
      <c r="E1002" s="3">
        <v>2</v>
      </c>
      <c r="F1002" t="s" s="2">
        <v>21</v>
      </c>
      <c r="G1002" t="s" s="2">
        <v>28</v>
      </c>
      <c r="H1002" t="s" s="2">
        <v>17</v>
      </c>
      <c r="I1002" s="3">
        <v>0</v>
      </c>
      <c r="J1002" t="s" s="2">
        <v>29</v>
      </c>
      <c r="K1002" t="s" s="2">
        <v>19</v>
      </c>
      <c r="L1002" s="3">
        <v>50</v>
      </c>
      <c r="M1002" t="s" s="2">
        <v>20</v>
      </c>
    </row>
    <row r="1003" ht="13.55" customHeight="1">
      <c r="A1003" s="3">
        <v>19280</v>
      </c>
      <c r="B1003" t="s" s="2">
        <v>13</v>
      </c>
      <c r="C1003" t="s" s="2">
        <v>13</v>
      </c>
      <c r="D1003" s="4">
        <v>120000</v>
      </c>
      <c r="E1003" s="3">
        <v>2</v>
      </c>
      <c r="F1003" t="s" s="2">
        <v>21</v>
      </c>
      <c r="G1003" t="s" s="2">
        <v>28</v>
      </c>
      <c r="H1003" t="s" s="2">
        <v>17</v>
      </c>
      <c r="I1003" s="3">
        <v>1</v>
      </c>
      <c r="J1003" t="s" s="2">
        <v>18</v>
      </c>
      <c r="K1003" t="s" s="2">
        <v>19</v>
      </c>
      <c r="L1003" s="3">
        <v>40</v>
      </c>
      <c r="M1003" t="s" s="2">
        <v>17</v>
      </c>
    </row>
    <row r="1004" ht="13.55" customHeight="1">
      <c r="A1004" s="3">
        <v>22173</v>
      </c>
      <c r="B1004" t="s" s="2">
        <v>13</v>
      </c>
      <c r="C1004" t="s" s="2">
        <v>14</v>
      </c>
      <c r="D1004" s="4">
        <v>30000</v>
      </c>
      <c r="E1004" s="3">
        <v>3</v>
      </c>
      <c r="F1004" t="s" s="2">
        <v>30</v>
      </c>
      <c r="G1004" t="s" s="2">
        <v>16</v>
      </c>
      <c r="H1004" t="s" s="2">
        <v>20</v>
      </c>
      <c r="I1004" s="3">
        <v>2</v>
      </c>
      <c r="J1004" t="s" s="2">
        <v>29</v>
      </c>
      <c r="K1004" t="s" s="2">
        <v>27</v>
      </c>
      <c r="L1004" s="3">
        <v>54</v>
      </c>
      <c r="M1004" t="s" s="2">
        <v>17</v>
      </c>
    </row>
    <row r="1005" ht="13.55" customHeight="1">
      <c r="A1005" s="3">
        <v>12697</v>
      </c>
      <c r="B1005" t="s" s="2">
        <v>25</v>
      </c>
      <c r="C1005" t="s" s="2">
        <v>14</v>
      </c>
      <c r="D1005" s="4">
        <v>90000</v>
      </c>
      <c r="E1005" s="3">
        <v>0</v>
      </c>
      <c r="F1005" t="s" s="2">
        <v>15</v>
      </c>
      <c r="G1005" t="s" s="2">
        <v>23</v>
      </c>
      <c r="H1005" t="s" s="2">
        <v>20</v>
      </c>
      <c r="I1005" s="3">
        <v>4</v>
      </c>
      <c r="J1005" t="s" s="2">
        <v>33</v>
      </c>
      <c r="K1005" t="s" s="2">
        <v>27</v>
      </c>
      <c r="L1005" s="3">
        <v>36</v>
      </c>
      <c r="M1005" t="s" s="2">
        <v>20</v>
      </c>
    </row>
    <row r="1006" ht="13.55" customHeight="1">
      <c r="A1006" s="3">
        <v>11434</v>
      </c>
      <c r="B1006" t="s" s="2">
        <v>13</v>
      </c>
      <c r="C1006" t="s" s="2">
        <v>13</v>
      </c>
      <c r="D1006" s="4">
        <v>170000</v>
      </c>
      <c r="E1006" s="3">
        <v>5</v>
      </c>
      <c r="F1006" t="s" s="2">
        <v>21</v>
      </c>
      <c r="G1006" t="s" s="2">
        <v>23</v>
      </c>
      <c r="H1006" t="s" s="2">
        <v>17</v>
      </c>
      <c r="I1006" s="3">
        <v>0</v>
      </c>
      <c r="J1006" t="s" s="2">
        <v>18</v>
      </c>
      <c r="K1006" t="s" s="2">
        <v>19</v>
      </c>
      <c r="L1006" s="3">
        <v>55</v>
      </c>
      <c r="M1006" t="s" s="2">
        <v>20</v>
      </c>
    </row>
    <row r="1007" ht="13.55" customHeight="1">
      <c r="A1007" s="3">
        <v>25323</v>
      </c>
      <c r="B1007" t="s" s="2">
        <v>13</v>
      </c>
      <c r="C1007" t="s" s="2">
        <v>13</v>
      </c>
      <c r="D1007" s="4">
        <v>40000</v>
      </c>
      <c r="E1007" s="3">
        <v>2</v>
      </c>
      <c r="F1007" t="s" s="2">
        <v>21</v>
      </c>
      <c r="G1007" t="s" s="2">
        <v>22</v>
      </c>
      <c r="H1007" t="s" s="2">
        <v>17</v>
      </c>
      <c r="I1007" s="3">
        <v>1</v>
      </c>
      <c r="J1007" t="s" s="2">
        <v>29</v>
      </c>
      <c r="K1007" t="s" s="2">
        <v>19</v>
      </c>
      <c r="L1007" s="3">
        <v>35</v>
      </c>
      <c r="M1007" t="s" s="2">
        <v>17</v>
      </c>
    </row>
    <row r="1008" ht="13.55" customHeight="1">
      <c r="A1008" s="3">
        <v>23542</v>
      </c>
      <c r="B1008" t="s" s="2">
        <v>25</v>
      </c>
      <c r="C1008" t="s" s="2">
        <v>13</v>
      </c>
      <c r="D1008" s="4">
        <v>60000</v>
      </c>
      <c r="E1008" s="3">
        <v>1</v>
      </c>
      <c r="F1008" t="s" s="2">
        <v>21</v>
      </c>
      <c r="G1008" t="s" s="2">
        <v>16</v>
      </c>
      <c r="H1008" t="s" s="2">
        <v>20</v>
      </c>
      <c r="I1008" s="3">
        <v>1</v>
      </c>
      <c r="J1008" t="s" s="2">
        <v>18</v>
      </c>
      <c r="K1008" t="s" s="2">
        <v>27</v>
      </c>
      <c r="L1008" s="3">
        <v>45</v>
      </c>
      <c r="M1008" t="s" s="2">
        <v>17</v>
      </c>
    </row>
    <row r="1009" ht="13.55" customHeight="1">
      <c r="A1009" s="3">
        <v>20870</v>
      </c>
      <c r="B1009" t="s" s="2">
        <v>25</v>
      </c>
      <c r="C1009" t="s" s="2">
        <v>14</v>
      </c>
      <c r="D1009" s="4">
        <v>10000</v>
      </c>
      <c r="E1009" s="3">
        <v>2</v>
      </c>
      <c r="F1009" t="s" s="2">
        <v>30</v>
      </c>
      <c r="G1009" t="s" s="2">
        <v>28</v>
      </c>
      <c r="H1009" t="s" s="2">
        <v>17</v>
      </c>
      <c r="I1009" s="3">
        <v>1</v>
      </c>
      <c r="J1009" t="s" s="2">
        <v>18</v>
      </c>
      <c r="K1009" t="s" s="2">
        <v>19</v>
      </c>
      <c r="L1009" s="3">
        <v>38</v>
      </c>
      <c r="M1009" t="s" s="2">
        <v>17</v>
      </c>
    </row>
    <row r="1010" ht="13.55" customHeight="1">
      <c r="A1010" s="3">
        <v>23316</v>
      </c>
      <c r="B1010" t="s" s="2">
        <v>25</v>
      </c>
      <c r="C1010" t="s" s="2">
        <v>13</v>
      </c>
      <c r="D1010" s="4">
        <v>30000</v>
      </c>
      <c r="E1010" s="3">
        <v>3</v>
      </c>
      <c r="F1010" t="s" s="2">
        <v>21</v>
      </c>
      <c r="G1010" t="s" s="2">
        <v>22</v>
      </c>
      <c r="H1010" t="s" s="2">
        <v>20</v>
      </c>
      <c r="I1010" s="3">
        <v>2</v>
      </c>
      <c r="J1010" t="s" s="2">
        <v>29</v>
      </c>
      <c r="K1010" t="s" s="2">
        <v>27</v>
      </c>
      <c r="L1010" s="3">
        <v>59</v>
      </c>
      <c r="M1010" t="s" s="2">
        <v>17</v>
      </c>
    </row>
    <row r="1011" ht="13.55" customHeight="1">
      <c r="A1011" s="3">
        <v>12610</v>
      </c>
      <c r="B1011" t="s" s="2">
        <v>13</v>
      </c>
      <c r="C1011" t="s" s="2">
        <v>14</v>
      </c>
      <c r="D1011" s="4">
        <v>30000</v>
      </c>
      <c r="E1011" s="3">
        <v>1</v>
      </c>
      <c r="F1011" t="s" s="2">
        <v>15</v>
      </c>
      <c r="G1011" t="s" s="2">
        <v>22</v>
      </c>
      <c r="H1011" t="s" s="2">
        <v>17</v>
      </c>
      <c r="I1011" s="3">
        <v>0</v>
      </c>
      <c r="J1011" t="s" s="2">
        <v>18</v>
      </c>
      <c r="K1011" t="s" s="2">
        <v>19</v>
      </c>
      <c r="L1011" s="3">
        <v>47</v>
      </c>
      <c r="M1011" t="s" s="2">
        <v>20</v>
      </c>
    </row>
    <row r="1012" ht="13.55" customHeight="1">
      <c r="A1012" s="3">
        <v>27183</v>
      </c>
      <c r="B1012" t="s" s="2">
        <v>25</v>
      </c>
      <c r="C1012" t="s" s="2">
        <v>13</v>
      </c>
      <c r="D1012" s="4">
        <v>40000</v>
      </c>
      <c r="E1012" s="3">
        <v>2</v>
      </c>
      <c r="F1012" t="s" s="2">
        <v>21</v>
      </c>
      <c r="G1012" t="s" s="2">
        <v>22</v>
      </c>
      <c r="H1012" t="s" s="2">
        <v>17</v>
      </c>
      <c r="I1012" s="3">
        <v>1</v>
      </c>
      <c r="J1012" t="s" s="2">
        <v>29</v>
      </c>
      <c r="K1012" t="s" s="2">
        <v>19</v>
      </c>
      <c r="L1012" s="3">
        <v>35</v>
      </c>
      <c r="M1012" t="s" s="2">
        <v>17</v>
      </c>
    </row>
    <row r="1013" ht="13.55" customHeight="1">
      <c r="A1013" s="3">
        <v>25940</v>
      </c>
      <c r="B1013" t="s" s="2">
        <v>25</v>
      </c>
      <c r="C1013" t="s" s="2">
        <v>13</v>
      </c>
      <c r="D1013" s="4">
        <v>20000</v>
      </c>
      <c r="E1013" s="3">
        <v>2</v>
      </c>
      <c r="F1013" t="s" s="2">
        <v>32</v>
      </c>
      <c r="G1013" t="s" s="2">
        <v>22</v>
      </c>
      <c r="H1013" t="s" s="2">
        <v>17</v>
      </c>
      <c r="I1013" s="3">
        <v>2</v>
      </c>
      <c r="J1013" t="s" s="2">
        <v>26</v>
      </c>
      <c r="K1013" t="s" s="2">
        <v>27</v>
      </c>
      <c r="L1013" s="3">
        <v>55</v>
      </c>
      <c r="M1013" t="s" s="2">
        <v>17</v>
      </c>
    </row>
    <row r="1014" ht="13.55" customHeight="1">
      <c r="A1014" s="3">
        <v>25598</v>
      </c>
      <c r="B1014" t="s" s="2">
        <v>13</v>
      </c>
      <c r="C1014" t="s" s="2">
        <v>14</v>
      </c>
      <c r="D1014" s="4">
        <v>40000</v>
      </c>
      <c r="E1014" s="3">
        <v>0</v>
      </c>
      <c r="F1014" t="s" s="2">
        <v>34</v>
      </c>
      <c r="G1014" t="s" s="2">
        <v>22</v>
      </c>
      <c r="H1014" t="s" s="2">
        <v>17</v>
      </c>
      <c r="I1014" s="3">
        <v>0</v>
      </c>
      <c r="J1014" t="s" s="2">
        <v>18</v>
      </c>
      <c r="K1014" t="s" s="2">
        <v>19</v>
      </c>
      <c r="L1014" s="3">
        <v>36</v>
      </c>
      <c r="M1014" t="s" s="2">
        <v>17</v>
      </c>
    </row>
    <row r="1015" ht="13.55" customHeight="1">
      <c r="A1015" s="3">
        <v>21564</v>
      </c>
      <c r="B1015" t="s" s="2">
        <v>25</v>
      </c>
      <c r="C1015" t="s" s="2">
        <v>14</v>
      </c>
      <c r="D1015" s="4">
        <v>80000</v>
      </c>
      <c r="E1015" s="3">
        <v>0</v>
      </c>
      <c r="F1015" t="s" s="2">
        <v>15</v>
      </c>
      <c r="G1015" t="s" s="2">
        <v>23</v>
      </c>
      <c r="H1015" t="s" s="2">
        <v>17</v>
      </c>
      <c r="I1015" s="3">
        <v>4</v>
      </c>
      <c r="J1015" t="s" s="2">
        <v>33</v>
      </c>
      <c r="K1015" t="s" s="2">
        <v>27</v>
      </c>
      <c r="L1015" s="3">
        <v>35</v>
      </c>
      <c r="M1015" t="s" s="2">
        <v>20</v>
      </c>
    </row>
    <row r="1016" ht="13.55" customHeight="1">
      <c r="A1016" s="3">
        <v>19193</v>
      </c>
      <c r="B1016" t="s" s="2">
        <v>25</v>
      </c>
      <c r="C1016" t="s" s="2">
        <v>13</v>
      </c>
      <c r="D1016" s="4">
        <v>40000</v>
      </c>
      <c r="E1016" s="3">
        <v>2</v>
      </c>
      <c r="F1016" t="s" s="2">
        <v>21</v>
      </c>
      <c r="G1016" t="s" s="2">
        <v>22</v>
      </c>
      <c r="H1016" t="s" s="2">
        <v>17</v>
      </c>
      <c r="I1016" s="3">
        <v>0</v>
      </c>
      <c r="J1016" t="s" s="2">
        <v>29</v>
      </c>
      <c r="K1016" t="s" s="2">
        <v>19</v>
      </c>
      <c r="L1016" s="3">
        <v>35</v>
      </c>
      <c r="M1016" t="s" s="2">
        <v>17</v>
      </c>
    </row>
    <row r="1017" ht="13.55" customHeight="1">
      <c r="A1017" s="3">
        <v>26412</v>
      </c>
      <c r="B1017" t="s" s="2">
        <v>13</v>
      </c>
      <c r="C1017" t="s" s="2">
        <v>14</v>
      </c>
      <c r="D1017" s="4">
        <v>80000</v>
      </c>
      <c r="E1017" s="3">
        <v>5</v>
      </c>
      <c r="F1017" t="s" s="2">
        <v>30</v>
      </c>
      <c r="G1017" t="s" s="2">
        <v>31</v>
      </c>
      <c r="H1017" t="s" s="2">
        <v>20</v>
      </c>
      <c r="I1017" s="3">
        <v>3</v>
      </c>
      <c r="J1017" t="s" s="2">
        <v>26</v>
      </c>
      <c r="K1017" t="s" s="2">
        <v>19</v>
      </c>
      <c r="L1017" s="3">
        <v>56</v>
      </c>
      <c r="M1017" t="s" s="2">
        <v>20</v>
      </c>
    </row>
    <row r="1018" ht="13.55" customHeight="1">
      <c r="A1018" s="3">
        <v>27184</v>
      </c>
      <c r="B1018" t="s" s="2">
        <v>25</v>
      </c>
      <c r="C1018" t="s" s="2">
        <v>13</v>
      </c>
      <c r="D1018" s="4">
        <v>40000</v>
      </c>
      <c r="E1018" s="3">
        <v>2</v>
      </c>
      <c r="F1018" t="s" s="2">
        <v>21</v>
      </c>
      <c r="G1018" t="s" s="2">
        <v>22</v>
      </c>
      <c r="H1018" t="s" s="2">
        <v>20</v>
      </c>
      <c r="I1018" s="3">
        <v>1</v>
      </c>
      <c r="J1018" t="s" s="2">
        <v>18</v>
      </c>
      <c r="K1018" t="s" s="2">
        <v>19</v>
      </c>
      <c r="L1018" s="3">
        <v>34</v>
      </c>
      <c r="M1018" t="s" s="2">
        <v>20</v>
      </c>
    </row>
    <row r="1019" ht="13.55" customHeight="1">
      <c r="A1019" s="3">
        <v>12590</v>
      </c>
      <c r="B1019" t="s" s="2">
        <v>25</v>
      </c>
      <c r="C1019" t="s" s="2">
        <v>13</v>
      </c>
      <c r="D1019" s="4">
        <v>30000</v>
      </c>
      <c r="E1019" s="3">
        <v>1</v>
      </c>
      <c r="F1019" t="s" s="2">
        <v>15</v>
      </c>
      <c r="G1019" t="s" s="2">
        <v>22</v>
      </c>
      <c r="H1019" t="s" s="2">
        <v>17</v>
      </c>
      <c r="I1019" s="3">
        <v>0</v>
      </c>
      <c r="J1019" t="s" s="2">
        <v>18</v>
      </c>
      <c r="K1019" t="s" s="2">
        <v>19</v>
      </c>
      <c r="L1019" s="3">
        <v>63</v>
      </c>
      <c r="M1019" t="s" s="2">
        <v>20</v>
      </c>
    </row>
    <row r="1020" ht="13.55" customHeight="1">
      <c r="A1020" s="3">
        <v>17841</v>
      </c>
      <c r="B1020" t="s" s="2">
        <v>25</v>
      </c>
      <c r="C1020" t="s" s="2">
        <v>13</v>
      </c>
      <c r="D1020" s="4">
        <v>30000</v>
      </c>
      <c r="E1020" s="3">
        <v>0</v>
      </c>
      <c r="F1020" t="s" s="2">
        <v>21</v>
      </c>
      <c r="G1020" t="s" s="2">
        <v>22</v>
      </c>
      <c r="H1020" t="s" s="2">
        <v>20</v>
      </c>
      <c r="I1020" s="3">
        <v>1</v>
      </c>
      <c r="J1020" t="s" s="2">
        <v>18</v>
      </c>
      <c r="K1020" t="s" s="2">
        <v>19</v>
      </c>
      <c r="L1020" s="3">
        <v>29</v>
      </c>
      <c r="M1020" t="s" s="2">
        <v>17</v>
      </c>
    </row>
    <row r="1021" ht="13.55" customHeight="1">
      <c r="A1021" s="3">
        <v>18283</v>
      </c>
      <c r="B1021" t="s" s="2">
        <v>25</v>
      </c>
      <c r="C1021" t="s" s="2">
        <v>14</v>
      </c>
      <c r="D1021" s="4">
        <v>100000</v>
      </c>
      <c r="E1021" s="3">
        <v>0</v>
      </c>
      <c r="F1021" t="s" s="2">
        <v>15</v>
      </c>
      <c r="G1021" t="s" s="2">
        <v>23</v>
      </c>
      <c r="H1021" t="s" s="2">
        <v>20</v>
      </c>
      <c r="I1021" s="3">
        <v>1</v>
      </c>
      <c r="J1021" t="s" s="2">
        <v>26</v>
      </c>
      <c r="K1021" t="s" s="2">
        <v>27</v>
      </c>
      <c r="L1021" s="3">
        <v>40</v>
      </c>
      <c r="M1021" t="s" s="2">
        <v>20</v>
      </c>
    </row>
    <row r="1022" ht="13.55" customHeight="1">
      <c r="A1022" s="3">
        <v>18299</v>
      </c>
      <c r="B1022" t="s" s="2">
        <v>13</v>
      </c>
      <c r="C1022" t="s" s="2">
        <v>13</v>
      </c>
      <c r="D1022" s="4">
        <v>70000</v>
      </c>
      <c r="E1022" s="3">
        <v>5</v>
      </c>
      <c r="F1022" t="s" s="2">
        <v>21</v>
      </c>
      <c r="G1022" t="s" s="2">
        <v>16</v>
      </c>
      <c r="H1022" t="s" s="2">
        <v>17</v>
      </c>
      <c r="I1022" s="3">
        <v>2</v>
      </c>
      <c r="J1022" t="s" s="2">
        <v>26</v>
      </c>
      <c r="K1022" t="s" s="2">
        <v>27</v>
      </c>
      <c r="L1022" s="3">
        <v>44</v>
      </c>
      <c r="M1022" t="s" s="2">
        <v>20</v>
      </c>
    </row>
    <row r="1023" ht="13.55" customHeight="1">
      <c r="A1023" s="3">
        <v>16466</v>
      </c>
      <c r="B1023" t="s" s="2">
        <v>25</v>
      </c>
      <c r="C1023" t="s" s="2">
        <v>14</v>
      </c>
      <c r="D1023" s="4">
        <v>20000</v>
      </c>
      <c r="E1023" s="3">
        <v>0</v>
      </c>
      <c r="F1023" t="s" s="2">
        <v>32</v>
      </c>
      <c r="G1023" t="s" s="2">
        <v>28</v>
      </c>
      <c r="H1023" t="s" s="2">
        <v>20</v>
      </c>
      <c r="I1023" s="3">
        <v>2</v>
      </c>
      <c r="J1023" t="s" s="2">
        <v>18</v>
      </c>
      <c r="K1023" t="s" s="2">
        <v>19</v>
      </c>
      <c r="L1023" s="3">
        <v>32</v>
      </c>
      <c r="M1023" t="s" s="2">
        <v>17</v>
      </c>
    </row>
    <row r="1024" ht="13.55" customHeight="1">
      <c r="A1024" s="3">
        <v>19273</v>
      </c>
      <c r="B1024" t="s" s="2">
        <v>13</v>
      </c>
      <c r="C1024" t="s" s="2">
        <v>14</v>
      </c>
      <c r="D1024" s="4">
        <v>20000</v>
      </c>
      <c r="E1024" s="3">
        <v>2</v>
      </c>
      <c r="F1024" t="s" s="2">
        <v>21</v>
      </c>
      <c r="G1024" t="s" s="2">
        <v>28</v>
      </c>
      <c r="H1024" t="s" s="2">
        <v>17</v>
      </c>
      <c r="I1024" s="3">
        <v>0</v>
      </c>
      <c r="J1024" t="s" s="2">
        <v>18</v>
      </c>
      <c r="K1024" t="s" s="2">
        <v>19</v>
      </c>
      <c r="L1024" s="3">
        <v>63</v>
      </c>
      <c r="M1024" t="s" s="2">
        <v>20</v>
      </c>
    </row>
    <row r="1025" ht="13.55" customHeight="1">
      <c r="A1025" s="3">
        <v>22400</v>
      </c>
      <c r="B1025" t="s" s="2">
        <v>13</v>
      </c>
      <c r="C1025" t="s" s="2">
        <v>13</v>
      </c>
      <c r="D1025" s="4">
        <v>10000</v>
      </c>
      <c r="E1025" s="3">
        <v>0</v>
      </c>
      <c r="F1025" t="s" s="2">
        <v>21</v>
      </c>
      <c r="G1025" t="s" s="2">
        <v>28</v>
      </c>
      <c r="H1025" t="s" s="2">
        <v>20</v>
      </c>
      <c r="I1025" s="3">
        <v>1</v>
      </c>
      <c r="J1025" t="s" s="2">
        <v>18</v>
      </c>
      <c r="K1025" t="s" s="2">
        <v>27</v>
      </c>
      <c r="L1025" s="3">
        <v>26</v>
      </c>
      <c r="M1025" t="s" s="2">
        <v>17</v>
      </c>
    </row>
    <row r="1026" ht="13.55" customHeight="1">
      <c r="A1026" s="3">
        <v>20942</v>
      </c>
      <c r="B1026" t="s" s="2">
        <v>25</v>
      </c>
      <c r="C1026" t="s" s="2">
        <v>14</v>
      </c>
      <c r="D1026" s="4">
        <v>20000</v>
      </c>
      <c r="E1026" s="3">
        <v>0</v>
      </c>
      <c r="F1026" t="s" s="2">
        <v>30</v>
      </c>
      <c r="G1026" t="s" s="2">
        <v>28</v>
      </c>
      <c r="H1026" t="s" s="2">
        <v>20</v>
      </c>
      <c r="I1026" s="3">
        <v>1</v>
      </c>
      <c r="J1026" t="s" s="2">
        <v>26</v>
      </c>
      <c r="K1026" t="s" s="2">
        <v>19</v>
      </c>
      <c r="L1026" s="3">
        <v>31</v>
      </c>
      <c r="M1026" t="s" s="2">
        <v>20</v>
      </c>
    </row>
    <row r="1027" ht="13.55" customHeight="1">
      <c r="A1027" s="3">
        <v>18484</v>
      </c>
      <c r="B1027" t="s" s="2">
        <v>25</v>
      </c>
      <c r="C1027" t="s" s="2">
        <v>13</v>
      </c>
      <c r="D1027" s="4">
        <v>80000</v>
      </c>
      <c r="E1027" s="3">
        <v>2</v>
      </c>
      <c r="F1027" t="s" s="2">
        <v>30</v>
      </c>
      <c r="G1027" t="s" s="2">
        <v>16</v>
      </c>
      <c r="H1027" t="s" s="2">
        <v>20</v>
      </c>
      <c r="I1027" s="3">
        <v>2</v>
      </c>
      <c r="J1027" t="s" s="2">
        <v>29</v>
      </c>
      <c r="K1027" t="s" s="2">
        <v>27</v>
      </c>
      <c r="L1027" s="3">
        <v>50</v>
      </c>
      <c r="M1027" t="s" s="2">
        <v>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U1001"/>
  <sheetViews>
    <sheetView workbookViewId="0" showGridLines="0" defaultGridColor="1"/>
  </sheetViews>
  <sheetFormatPr defaultColWidth="11.8333" defaultRowHeight="14.4" customHeight="1" outlineLevelRow="0" outlineLevelCol="0"/>
  <cols>
    <col min="1" max="2" width="11.8516" style="6" customWidth="1"/>
    <col min="3" max="3" width="15" style="6" customWidth="1"/>
    <col min="4" max="12" width="11.8516" style="6" customWidth="1"/>
    <col min="13" max="13" width="15.5" style="6" customWidth="1"/>
    <col min="14" max="17" width="11.8516" style="6" customWidth="1"/>
    <col min="18" max="19" width="15.5" style="6" customWidth="1"/>
    <col min="20" max="21" width="20.1719" style="6" customWidth="1"/>
    <col min="22" max="16384" width="11.8516" style="6" customWidth="1"/>
  </cols>
  <sheetData>
    <row r="1" ht="13.55" customHeight="1">
      <c r="A1" t="s" s="7">
        <v>0</v>
      </c>
      <c r="B1" t="s" s="7">
        <v>1</v>
      </c>
      <c r="C1" t="s" s="7">
        <v>36</v>
      </c>
      <c r="D1" t="s" s="7">
        <v>2</v>
      </c>
      <c r="E1" t="s" s="7">
        <v>37</v>
      </c>
      <c r="F1" t="s" s="7">
        <v>3</v>
      </c>
      <c r="G1" t="s" s="7">
        <v>38</v>
      </c>
      <c r="H1" t="s" s="7">
        <v>4</v>
      </c>
      <c r="I1" t="s" s="7">
        <v>5</v>
      </c>
      <c r="J1" t="s" s="7">
        <v>6</v>
      </c>
      <c r="K1" t="s" s="7">
        <v>7</v>
      </c>
      <c r="L1" t="s" s="7">
        <v>8</v>
      </c>
      <c r="M1" t="s" s="7">
        <v>9</v>
      </c>
      <c r="N1" t="s" s="7">
        <v>10</v>
      </c>
      <c r="O1" t="s" s="7">
        <v>11</v>
      </c>
      <c r="P1" t="s" s="7">
        <v>39</v>
      </c>
      <c r="Q1" t="s" s="7">
        <v>40</v>
      </c>
      <c r="R1" t="s" s="7">
        <v>12</v>
      </c>
      <c r="S1" t="s" s="7">
        <v>41</v>
      </c>
      <c r="T1" t="s" s="7">
        <v>42</v>
      </c>
      <c r="U1" t="s" s="7">
        <v>43</v>
      </c>
    </row>
    <row r="2" ht="13.55" customHeight="1">
      <c r="A2" s="3">
        <v>17185</v>
      </c>
      <c r="B2" t="s" s="2">
        <v>13</v>
      </c>
      <c r="C2" t="str" s="8" cm="1">
        <f t="array" ref="C2">IF(B2="M","Married","Single")</f>
        <v>Married</v>
      </c>
      <c r="D2" t="s" s="2">
        <v>14</v>
      </c>
      <c r="E2" t="str" s="8" cm="1">
        <f t="array" ref="E2">IF(D2="M","Male",IF(D2="F","Female","Check"))</f>
        <v>Female</v>
      </c>
      <c r="F2" s="4">
        <v>170000</v>
      </c>
      <c r="G2" t="str" s="8" cm="1">
        <f t="array" ref="G2">IF(F2="","Check","okay")</f>
        <v>okay</v>
      </c>
      <c r="H2" s="3">
        <v>4</v>
      </c>
      <c r="I2" t="s" s="2">
        <v>21</v>
      </c>
      <c r="J2" t="s" s="2">
        <v>23</v>
      </c>
      <c r="K2" t="s" s="2">
        <v>20</v>
      </c>
      <c r="L2" s="3">
        <v>3</v>
      </c>
      <c r="M2" t="s" s="2">
        <v>26</v>
      </c>
      <c r="N2" t="s" s="2">
        <v>19</v>
      </c>
      <c r="O2" s="3">
        <v>48</v>
      </c>
      <c r="P2" t="str" s="8" cm="1">
        <f t="array" ref="P2">IF(O2="","check","Okay")</f>
        <v>Okay</v>
      </c>
      <c r="Q2" t="str" s="8" cm="1">
        <f t="array" ref="Q2">IF(O2&lt;30,"UNDER 30",IF(O2&lt;=50,"30-50","Over 50"))</f>
        <v>30-50</v>
      </c>
      <c r="R2" t="s" s="2">
        <v>17</v>
      </c>
      <c r="S2" s="3" cm="1">
        <f t="array" ref="S2">COUNTIF(A2:A1001,A2)</f>
        <v>1</v>
      </c>
      <c r="T2" t="str" s="8" cm="1">
        <f t="array" ref="T2">IF(ISNUMBER(F2),"Ok","check")</f>
        <v>Ok</v>
      </c>
      <c r="U2" t="str" s="8" cm="1">
        <f t="array" ref="U2">IF(ISNUMBER(O2),"ok","check")</f>
        <v>ok</v>
      </c>
    </row>
    <row r="3" ht="13.55" customHeight="1">
      <c r="A3" s="3">
        <v>11434</v>
      </c>
      <c r="B3" t="s" s="2">
        <v>13</v>
      </c>
      <c r="C3" t="str" s="8" cm="1">
        <f t="array" ref="C3">IF(B3="M","Married",IF(B3="S","Single","check"))</f>
        <v>Married</v>
      </c>
      <c r="D3" t="s" s="2">
        <v>13</v>
      </c>
      <c r="E3" t="str" s="8" cm="1">
        <f t="array" ref="E3">IF(D3="M","Male",IF(D3="F","Female","Check"))</f>
        <v>Male</v>
      </c>
      <c r="F3" s="4">
        <v>170000</v>
      </c>
      <c r="G3" t="str" s="8" cm="1">
        <f t="array" ref="G3">IF(F3="","Check","okay")</f>
        <v>okay</v>
      </c>
      <c r="H3" s="3">
        <v>5</v>
      </c>
      <c r="I3" t="s" s="2">
        <v>21</v>
      </c>
      <c r="J3" t="s" s="2">
        <v>23</v>
      </c>
      <c r="K3" t="s" s="2">
        <v>17</v>
      </c>
      <c r="L3" s="3">
        <v>0</v>
      </c>
      <c r="M3" t="s" s="2">
        <v>18</v>
      </c>
      <c r="N3" t="s" s="2">
        <v>19</v>
      </c>
      <c r="O3" s="3">
        <v>55</v>
      </c>
      <c r="P3" t="str" s="8" cm="1">
        <f t="array" ref="P3">IF(O3="","check","Okay")</f>
        <v>Okay</v>
      </c>
      <c r="Q3" t="str" s="8" cm="1">
        <f t="array" ref="Q3">IF(O3&lt;30,"UNDER 30",IF(O3&lt;=50,"30-50","Over 50"))</f>
        <v>Over 50</v>
      </c>
      <c r="R3" t="s" s="2">
        <v>20</v>
      </c>
      <c r="S3" s="3" cm="1">
        <f t="array" ref="S3">COUNTIF(A2:A1001,A3)</f>
        <v>1</v>
      </c>
      <c r="T3" t="str" s="8" cm="1">
        <f t="array" ref="T3">IF(ISNUMBER(F3),"Ok","check")</f>
        <v>Ok</v>
      </c>
      <c r="U3" t="str" s="8" cm="1">
        <f t="array" ref="U3">IF(ISNUMBER(O3),"ok","check")</f>
        <v>ok</v>
      </c>
    </row>
    <row r="4" ht="13.55" customHeight="1">
      <c r="A4" s="3">
        <v>16009</v>
      </c>
      <c r="B4" t="s" s="2">
        <v>25</v>
      </c>
      <c r="C4" t="str" s="8" cm="1">
        <f t="array" ref="C4">IF(B4="M","Married","Single")</f>
        <v>Single</v>
      </c>
      <c r="D4" t="s" s="2">
        <v>13</v>
      </c>
      <c r="E4" t="str" s="8" cm="1">
        <f t="array" ref="E4">IF(D4="M","Male",IF(D4="F","Female","Check"))</f>
        <v>Male</v>
      </c>
      <c r="F4" s="4">
        <v>170000</v>
      </c>
      <c r="G4" t="str" s="8" cm="1">
        <f t="array" ref="G4">IF(F4="","Check","okay")</f>
        <v>okay</v>
      </c>
      <c r="H4" s="3">
        <v>1</v>
      </c>
      <c r="I4" t="s" s="2">
        <v>34</v>
      </c>
      <c r="J4" t="s" s="2">
        <v>31</v>
      </c>
      <c r="K4" t="s" s="2">
        <v>20</v>
      </c>
      <c r="L4" s="3">
        <v>4</v>
      </c>
      <c r="M4" t="s" s="2">
        <v>18</v>
      </c>
      <c r="N4" t="s" s="2">
        <v>35</v>
      </c>
      <c r="O4" s="3">
        <v>66</v>
      </c>
      <c r="P4" t="str" s="8" cm="1">
        <f t="array" ref="P4">IF(O4="","check","Okay")</f>
        <v>Okay</v>
      </c>
      <c r="Q4" t="str" s="8" cm="1">
        <f t="array" ref="Q4">IF(O4&lt;30,"UNDER 30",IF(O4&lt;=50,"30-50","Over 50"))</f>
        <v>Over 50</v>
      </c>
      <c r="R4" t="s" s="2">
        <v>20</v>
      </c>
      <c r="S4" s="3" cm="1">
        <f t="array" ref="S4">COUNTIF(A2:A1001,A4)</f>
        <v>1</v>
      </c>
      <c r="T4" t="str" s="8" cm="1">
        <f t="array" ref="T4">IF(ISNUMBER(F4),"Ok","check")</f>
        <v>Ok</v>
      </c>
      <c r="U4" t="str" s="8" cm="1">
        <f t="array" ref="U4">IF(ISNUMBER(O4),"ok","check")</f>
        <v>ok</v>
      </c>
    </row>
    <row r="5" ht="13.55" customHeight="1">
      <c r="A5" s="3">
        <v>27974</v>
      </c>
      <c r="B5" t="s" s="2">
        <v>25</v>
      </c>
      <c r="C5" t="str" s="8" cm="1">
        <f t="array" ref="C5">IF(B5="M","Married","Single")</f>
        <v>Single</v>
      </c>
      <c r="D5" t="s" s="2">
        <v>13</v>
      </c>
      <c r="E5" t="str" s="8" cm="1">
        <f t="array" ref="E5">IF(D5="M","Male",IF(D5="F","Female","Check"))</f>
        <v>Male</v>
      </c>
      <c r="F5" s="4">
        <v>160000</v>
      </c>
      <c r="G5" t="str" s="8" cm="1">
        <f t="array" ref="G5">IF(F5="","Check","okay")</f>
        <v>okay</v>
      </c>
      <c r="H5" s="3">
        <v>2</v>
      </c>
      <c r="I5" t="s" s="2">
        <v>30</v>
      </c>
      <c r="J5" t="s" s="2">
        <v>31</v>
      </c>
      <c r="K5" t="s" s="2">
        <v>17</v>
      </c>
      <c r="L5" s="3">
        <v>4</v>
      </c>
      <c r="M5" t="s" s="2">
        <v>18</v>
      </c>
      <c r="N5" t="s" s="2">
        <v>27</v>
      </c>
      <c r="O5" s="3">
        <v>33</v>
      </c>
      <c r="P5" t="str" s="8" cm="1">
        <f t="array" ref="P5">IF(O5="","check","Okay")</f>
        <v>Okay</v>
      </c>
      <c r="Q5" t="str" s="8" cm="1">
        <f t="array" ref="Q5">IF(O5&lt;30,"UNDER 30",IF(O5&lt;=50,"30-50","Over 50"))</f>
        <v>30-50</v>
      </c>
      <c r="R5" t="s" s="2">
        <v>17</v>
      </c>
      <c r="S5" s="3" cm="1">
        <f t="array" ref="S5">COUNTIF(A2:A1001,A5)</f>
        <v>1</v>
      </c>
      <c r="T5" t="str" s="8" cm="1">
        <f t="array" ref="T5">IF(ISNUMBER(F5),"Ok","check")</f>
        <v>Ok</v>
      </c>
      <c r="U5" t="str" s="8" cm="1">
        <f t="array" ref="U5">IF(ISNUMBER(O5),"ok","check")</f>
        <v>ok</v>
      </c>
    </row>
    <row r="6" ht="13.55" customHeight="1">
      <c r="A6" s="3">
        <v>16675</v>
      </c>
      <c r="B6" t="s" s="2">
        <v>25</v>
      </c>
      <c r="C6" t="str" s="8" cm="1">
        <f t="array" ref="C6">IF(B6="M","Married","Single")</f>
        <v>Single</v>
      </c>
      <c r="D6" t="s" s="2">
        <v>14</v>
      </c>
      <c r="E6" t="str" s="8" cm="1">
        <f t="array" ref="E6">IF(D6="M","Male",IF(D6="F","Female","Check"))</f>
        <v>Female</v>
      </c>
      <c r="F6" s="4">
        <v>160000</v>
      </c>
      <c r="G6" t="str" s="8" cm="1">
        <f t="array" ref="G6">IF(F6="","Check","okay")</f>
        <v>okay</v>
      </c>
      <c r="H6" s="3">
        <v>0</v>
      </c>
      <c r="I6" t="s" s="2">
        <v>34</v>
      </c>
      <c r="J6" t="s" s="2">
        <v>31</v>
      </c>
      <c r="K6" t="s" s="2">
        <v>20</v>
      </c>
      <c r="L6" s="3">
        <v>3</v>
      </c>
      <c r="M6" t="s" s="2">
        <v>18</v>
      </c>
      <c r="N6" t="s" s="2">
        <v>27</v>
      </c>
      <c r="O6" s="3">
        <v>47</v>
      </c>
      <c r="P6" t="str" s="8" cm="1">
        <f t="array" ref="P6">IF(O6="","check","Okay")</f>
        <v>Okay</v>
      </c>
      <c r="Q6" t="str" s="8" cm="1">
        <f t="array" ref="Q6">IF(O6&lt;30,"UNDER 30",IF(O6&lt;=50,"30-50","Over 50"))</f>
        <v>30-50</v>
      </c>
      <c r="R6" t="s" s="2">
        <v>17</v>
      </c>
      <c r="S6" s="3" cm="1">
        <f t="array" ref="S6">COUNTIF(A2:A1001,A6)</f>
        <v>1</v>
      </c>
      <c r="T6" t="str" s="8" cm="1">
        <f t="array" ref="T6">IF(ISNUMBER(F6),"Ok","check")</f>
        <v>Ok</v>
      </c>
      <c r="U6" t="str" s="8" cm="1">
        <f t="array" ref="U6">IF(ISNUMBER(O6),"ok","check")</f>
        <v>ok</v>
      </c>
    </row>
    <row r="7" ht="13.55" customHeight="1">
      <c r="A7" s="3">
        <v>14191</v>
      </c>
      <c r="B7" t="s" s="2">
        <v>13</v>
      </c>
      <c r="C7" t="str" s="8" cm="1">
        <f t="array" ref="C7">IF(B7="M","Married","Single")</f>
        <v>Married</v>
      </c>
      <c r="D7" t="s" s="2">
        <v>13</v>
      </c>
      <c r="E7" t="str" s="8" cm="1">
        <f t="array" ref="E7">IF(D7="M","Male",IF(D7="F","Female","Check"))</f>
        <v>Male</v>
      </c>
      <c r="F7" s="4">
        <v>160000</v>
      </c>
      <c r="G7" t="str" s="8" cm="1">
        <f t="array" ref="G7">IF(F7="","Check","okay")</f>
        <v>okay</v>
      </c>
      <c r="H7" s="3">
        <v>4</v>
      </c>
      <c r="I7" t="s" s="2">
        <v>21</v>
      </c>
      <c r="J7" t="s" s="2">
        <v>23</v>
      </c>
      <c r="K7" t="s" s="2">
        <v>20</v>
      </c>
      <c r="L7" s="3">
        <v>2</v>
      </c>
      <c r="M7" t="s" s="2">
        <v>33</v>
      </c>
      <c r="N7" t="s" s="2">
        <v>19</v>
      </c>
      <c r="O7" s="3">
        <v>55</v>
      </c>
      <c r="P7" t="str" s="8" cm="1">
        <f t="array" ref="P7">IF(O7="","check","Okay")</f>
        <v>Okay</v>
      </c>
      <c r="Q7" t="str" s="8" cm="1">
        <f t="array" ref="Q7">IF(O7&lt;30,"UNDER 30",IF(O7&lt;=50,"30-50","Over 50"))</f>
        <v>Over 50</v>
      </c>
      <c r="R7" t="s" s="2">
        <v>17</v>
      </c>
      <c r="S7" s="3" cm="1">
        <f t="array" ref="S7">COUNTIF(A2:A1001,A7)</f>
        <v>1</v>
      </c>
      <c r="T7" t="str" s="8" cm="1">
        <f t="array" ref="T7">IF(ISNUMBER(F7),"Ok","check")</f>
        <v>Ok</v>
      </c>
      <c r="U7" t="str" s="8" cm="1">
        <f t="array" ref="U7">IF(ISNUMBER(O7),"ok","check")</f>
        <v>ok</v>
      </c>
    </row>
    <row r="8" ht="13.55" customHeight="1">
      <c r="A8" s="3">
        <v>12705</v>
      </c>
      <c r="B8" t="s" s="2">
        <v>13</v>
      </c>
      <c r="C8" t="str" s="8" cm="1">
        <f t="array" ref="C8">IF(B8="M","Married","Single")</f>
        <v>Married</v>
      </c>
      <c r="D8" t="s" s="2">
        <v>13</v>
      </c>
      <c r="E8" t="str" s="8" cm="1">
        <f t="array" ref="E8">IF(D8="M","Male",IF(D8="F","Female","Check"))</f>
        <v>Male</v>
      </c>
      <c r="F8" s="4">
        <v>150000</v>
      </c>
      <c r="G8" t="str" s="8" cm="1">
        <f t="array" ref="G8">IF(F8="","Check","okay")</f>
        <v>okay</v>
      </c>
      <c r="H8" s="3">
        <v>0</v>
      </c>
      <c r="I8" t="s" s="2">
        <v>15</v>
      </c>
      <c r="J8" t="s" s="2">
        <v>31</v>
      </c>
      <c r="K8" t="s" s="2">
        <v>17</v>
      </c>
      <c r="L8" s="3">
        <v>4</v>
      </c>
      <c r="M8" t="s" s="2">
        <v>18</v>
      </c>
      <c r="N8" t="s" s="2">
        <v>27</v>
      </c>
      <c r="O8" s="3">
        <v>37</v>
      </c>
      <c r="P8" t="str" s="8" cm="1">
        <f t="array" ref="P8">IF(O8="","check","Okay")</f>
        <v>Okay</v>
      </c>
      <c r="Q8" t="str" s="8" cm="1">
        <f t="array" ref="Q8">IF(O8&lt;30,"UNDER 30",IF(O8&lt;=50,"30-50","Over 50"))</f>
        <v>30-50</v>
      </c>
      <c r="R8" t="s" s="2">
        <v>17</v>
      </c>
      <c r="S8" s="3" cm="1">
        <f t="array" ref="S8">COUNTIF(A2:A1001,A8)</f>
        <v>1</v>
      </c>
      <c r="T8" t="str" s="8" cm="1">
        <f t="array" ref="T8">IF(ISNUMBER(F8),"Ok","check")</f>
        <v>Ok</v>
      </c>
      <c r="U8" t="str" s="8" cm="1">
        <f t="array" ref="U8">IF(ISNUMBER(O8),"ok","check")</f>
        <v>ok</v>
      </c>
    </row>
    <row r="9" ht="13.55" customHeight="1">
      <c r="A9" s="3">
        <v>11292</v>
      </c>
      <c r="B9" t="s" s="2">
        <v>25</v>
      </c>
      <c r="C9" t="str" s="8" cm="1">
        <f t="array" ref="C9">IF(B9="M","Married","Single")</f>
        <v>Single</v>
      </c>
      <c r="D9" t="s" s="2">
        <v>13</v>
      </c>
      <c r="E9" t="str" s="8" cm="1">
        <f t="array" ref="E9">IF(D9="M","Male",IF(D9="F","Female","Check"))</f>
        <v>Male</v>
      </c>
      <c r="F9" s="4">
        <v>150000</v>
      </c>
      <c r="G9" t="str" s="8" cm="1">
        <f t="array" ref="G9">IF(F9="","Check","okay")</f>
        <v>okay</v>
      </c>
      <c r="H9" s="3">
        <v>1</v>
      </c>
      <c r="I9" t="s" s="2">
        <v>21</v>
      </c>
      <c r="J9" t="s" s="2">
        <v>23</v>
      </c>
      <c r="K9" t="s" s="2">
        <v>20</v>
      </c>
      <c r="L9" s="3">
        <v>3</v>
      </c>
      <c r="M9" t="s" s="2">
        <v>18</v>
      </c>
      <c r="N9" t="s" s="2">
        <v>35</v>
      </c>
      <c r="O9" s="3">
        <v>44</v>
      </c>
      <c r="P9" t="str" s="8" cm="1">
        <f t="array" ref="P9">IF(O9="","check","Okay")</f>
        <v>Okay</v>
      </c>
      <c r="Q9" t="str" s="8" cm="1">
        <f t="array" ref="Q9">IF(O9&lt;30,"UNDER 30",IF(O9&lt;=50,"30-50","Over 50"))</f>
        <v>30-50</v>
      </c>
      <c r="R9" t="s" s="2">
        <v>17</v>
      </c>
      <c r="S9" s="3" cm="1">
        <f t="array" ref="S9">COUNTIF(A2:A1001,A9)</f>
        <v>1</v>
      </c>
      <c r="T9" t="str" s="8" cm="1">
        <f t="array" ref="T9">IF(ISNUMBER(F9),"Ok","check")</f>
        <v>Ok</v>
      </c>
      <c r="U9" t="str" s="8" cm="1">
        <f t="array" ref="U9">IF(ISNUMBER(O9),"ok","check")</f>
        <v>ok</v>
      </c>
    </row>
    <row r="10" ht="13.55" customHeight="1">
      <c r="A10" s="3">
        <v>15922</v>
      </c>
      <c r="B10" t="s" s="2">
        <v>13</v>
      </c>
      <c r="C10" t="str" s="8" cm="1">
        <f t="array" ref="C10">IF(B10="M","Married","Single")</f>
        <v>Married</v>
      </c>
      <c r="D10" t="s" s="2">
        <v>13</v>
      </c>
      <c r="E10" t="str" s="8" cm="1">
        <f t="array" ref="E10">IF(D10="M","Male",IF(D10="F","Female","Check"))</f>
        <v>Male</v>
      </c>
      <c r="F10" s="4">
        <v>150000</v>
      </c>
      <c r="G10" t="str" s="8" cm="1">
        <f t="array" ref="G10">IF(F10="","Check","okay")</f>
        <v>okay</v>
      </c>
      <c r="H10" s="3">
        <v>2</v>
      </c>
      <c r="I10" t="s" s="2">
        <v>30</v>
      </c>
      <c r="J10" t="s" s="2">
        <v>23</v>
      </c>
      <c r="K10" t="s" s="2">
        <v>17</v>
      </c>
      <c r="L10" s="3">
        <v>4</v>
      </c>
      <c r="M10" t="s" s="2">
        <v>18</v>
      </c>
      <c r="N10" t="s" s="2">
        <v>19</v>
      </c>
      <c r="O10" s="3">
        <v>48</v>
      </c>
      <c r="P10" t="str" s="8" cm="1">
        <f t="array" ref="P10">IF(O10="","check","Okay")</f>
        <v>Okay</v>
      </c>
      <c r="Q10" t="str" s="8" cm="1">
        <f t="array" ref="Q10">IF(O10&lt;30,"UNDER 30",IF(O10&lt;=50,"30-50","Over 50"))</f>
        <v>30-50</v>
      </c>
      <c r="R10" t="s" s="2">
        <v>20</v>
      </c>
      <c r="S10" s="3" cm="1">
        <f t="array" ref="S10">COUNTIF(A2:A1001,A10)</f>
        <v>1</v>
      </c>
      <c r="T10" t="str" s="8" cm="1">
        <f t="array" ref="T10">IF(ISNUMBER(F10),"Ok","check")</f>
        <v>Ok</v>
      </c>
      <c r="U10" t="str" s="8" cm="1">
        <f t="array" ref="U10">IF(ISNUMBER(O10),"ok","check")</f>
        <v>ok</v>
      </c>
    </row>
    <row r="11" ht="13.55" customHeight="1">
      <c r="A11" s="3">
        <v>23608</v>
      </c>
      <c r="B11" t="s" s="2">
        <v>13</v>
      </c>
      <c r="C11" t="str" s="8" cm="1">
        <f t="array" ref="C11">IF(B11="M","Married","Single")</f>
        <v>Married</v>
      </c>
      <c r="D11" t="s" s="2">
        <v>14</v>
      </c>
      <c r="E11" t="str" s="8" cm="1">
        <f t="array" ref="E11">IF(D11="M","Male",IF(D11="F","Female","Check"))</f>
        <v>Female</v>
      </c>
      <c r="F11" s="4">
        <v>150000</v>
      </c>
      <c r="G11" t="str" s="8" cm="1">
        <f t="array" ref="G11">IF(F11="","Check","okay")</f>
        <v>okay</v>
      </c>
      <c r="H11" s="3">
        <v>3</v>
      </c>
      <c r="I11" t="s" s="2">
        <v>30</v>
      </c>
      <c r="J11" t="s" s="2">
        <v>23</v>
      </c>
      <c r="K11" t="s" s="2">
        <v>17</v>
      </c>
      <c r="L11" s="3">
        <v>3</v>
      </c>
      <c r="M11" t="s" s="2">
        <v>18</v>
      </c>
      <c r="N11" t="s" s="2">
        <v>19</v>
      </c>
      <c r="O11" s="3">
        <v>51</v>
      </c>
      <c r="P11" t="str" s="8" cm="1">
        <f t="array" ref="P11">IF(O11="","check","Okay")</f>
        <v>Okay</v>
      </c>
      <c r="Q11" t="str" s="8" cm="1">
        <f t="array" ref="Q11">IF(O11&lt;30,"UNDER 30",IF(O11&lt;=50,"30-50","Over 50"))</f>
        <v>Over 50</v>
      </c>
      <c r="R11" t="s" s="2">
        <v>17</v>
      </c>
      <c r="S11" s="3" cm="1">
        <f t="array" ref="S11">COUNTIF(A2:A1001,A11)</f>
        <v>1</v>
      </c>
      <c r="T11" t="str" s="8" cm="1">
        <f t="array" ref="T11">IF(ISNUMBER(F11),"Ok","check")</f>
        <v>Ok</v>
      </c>
      <c r="U11" t="str" s="8" cm="1">
        <f t="array" ref="U11">IF(ISNUMBER(O11),"ok","check")</f>
        <v>ok</v>
      </c>
    </row>
    <row r="12" ht="13.55" customHeight="1">
      <c r="A12" s="3">
        <v>12678</v>
      </c>
      <c r="B12" t="s" s="2">
        <v>25</v>
      </c>
      <c r="C12" t="str" s="8" cm="1">
        <f t="array" ref="C12">IF(B12="M","Married","Single")</f>
        <v>Single</v>
      </c>
      <c r="D12" t="s" s="2">
        <v>14</v>
      </c>
      <c r="E12" t="str" s="8" cm="1">
        <f t="array" ref="E12">IF(D12="M","Male",IF(D12="F","Female","Check"))</f>
        <v>Female</v>
      </c>
      <c r="F12" s="4">
        <v>130000</v>
      </c>
      <c r="G12" t="str" s="8" cm="1">
        <f t="array" ref="G12">IF(F12="","Check","okay")</f>
        <v>okay</v>
      </c>
      <c r="H12" s="3">
        <v>4</v>
      </c>
      <c r="I12" t="s" s="2">
        <v>30</v>
      </c>
      <c r="J12" t="s" s="2">
        <v>31</v>
      </c>
      <c r="K12" t="s" s="2">
        <v>17</v>
      </c>
      <c r="L12" s="3">
        <v>4</v>
      </c>
      <c r="M12" t="s" s="2">
        <v>18</v>
      </c>
      <c r="N12" t="s" s="2">
        <v>27</v>
      </c>
      <c r="O12" s="3">
        <v>31</v>
      </c>
      <c r="P12" t="str" s="8" cm="1">
        <f t="array" ref="P12">IF(O12="","check","Okay")</f>
        <v>Okay</v>
      </c>
      <c r="Q12" t="str" s="8" cm="1">
        <f t="array" ref="Q12">IF(O12&lt;30,"UNDER 30",IF(O12&lt;=50,"30-50","Over 50"))</f>
        <v>30-50</v>
      </c>
      <c r="R12" t="s" s="2">
        <v>20</v>
      </c>
      <c r="S12" s="3" cm="1">
        <f t="array" ref="S12">COUNTIF(A2:A1001,A12)</f>
        <v>1</v>
      </c>
      <c r="T12" t="str" s="8" cm="1">
        <f t="array" ref="T12">IF(ISNUMBER(F12),"Ok","check")</f>
        <v>Ok</v>
      </c>
      <c r="U12" t="str" s="8" cm="1">
        <f t="array" ref="U12">IF(ISNUMBER(O12),"ok","check")</f>
        <v>ok</v>
      </c>
    </row>
    <row r="13" ht="13.55" customHeight="1">
      <c r="A13" s="3">
        <v>29191</v>
      </c>
      <c r="B13" t="s" s="2">
        <v>25</v>
      </c>
      <c r="C13" t="str" s="8" cm="1">
        <f t="array" ref="C13">IF(B13="M","Married","Single")</f>
        <v>Single</v>
      </c>
      <c r="D13" t="s" s="2">
        <v>14</v>
      </c>
      <c r="E13" t="str" s="8" cm="1">
        <f t="array" ref="E13">IF(D13="M","Male",IF(D13="F","Female","Check"))</f>
        <v>Female</v>
      </c>
      <c r="F13" s="4">
        <v>130000</v>
      </c>
      <c r="G13" t="str" s="8" cm="1">
        <f t="array" ref="G13">IF(F13="","Check","okay")</f>
        <v>okay</v>
      </c>
      <c r="H13" s="3">
        <v>1</v>
      </c>
      <c r="I13" t="s" s="2">
        <v>34</v>
      </c>
      <c r="J13" t="s" s="2">
        <v>31</v>
      </c>
      <c r="K13" t="s" s="2">
        <v>20</v>
      </c>
      <c r="L13" s="3">
        <v>1</v>
      </c>
      <c r="M13" t="s" s="2">
        <v>18</v>
      </c>
      <c r="N13" t="s" s="2">
        <v>27</v>
      </c>
      <c r="O13" s="3">
        <v>36</v>
      </c>
      <c r="P13" t="str" s="8" cm="1">
        <f t="array" ref="P13">IF(O13="","check","Okay")</f>
        <v>Okay</v>
      </c>
      <c r="Q13" t="str" s="8" cm="1">
        <f t="array" ref="Q13">IF(O13&lt;30,"UNDER 30",IF(O13&lt;=50,"30-50","Over 50"))</f>
        <v>30-50</v>
      </c>
      <c r="R13" t="s" s="2">
        <v>17</v>
      </c>
      <c r="S13" s="3" cm="1">
        <f t="array" ref="S13">COUNTIF(A2:A1001,A13)</f>
        <v>1</v>
      </c>
      <c r="T13" t="str" s="8" cm="1">
        <f t="array" ref="T13">IF(ISNUMBER(F13),"Ok","check")</f>
        <v>Ok</v>
      </c>
      <c r="U13" t="str" s="8" cm="1">
        <f t="array" ref="U13">IF(ISNUMBER(O13),"ok","check")</f>
        <v>ok</v>
      </c>
    </row>
    <row r="14" ht="13.55" customHeight="1">
      <c r="A14" s="3">
        <v>13176</v>
      </c>
      <c r="B14" t="s" s="2">
        <v>25</v>
      </c>
      <c r="C14" t="str" s="8" cm="1">
        <f t="array" ref="C14">IF(B14="M","Married","Single")</f>
        <v>Single</v>
      </c>
      <c r="D14" t="s" s="2">
        <v>13</v>
      </c>
      <c r="E14" t="str" s="8" cm="1">
        <f t="array" ref="E14">IF(D14="M","Male",IF(D14="F","Female","Check"))</f>
        <v>Male</v>
      </c>
      <c r="F14" s="4">
        <v>130000</v>
      </c>
      <c r="G14" t="str" s="8" cm="1">
        <f t="array" ref="G14">IF(F14="","Check","okay")</f>
        <v>okay</v>
      </c>
      <c r="H14" s="3">
        <v>0</v>
      </c>
      <c r="I14" t="s" s="2">
        <v>34</v>
      </c>
      <c r="J14" t="s" s="2">
        <v>31</v>
      </c>
      <c r="K14" t="s" s="2">
        <v>20</v>
      </c>
      <c r="L14" s="3">
        <v>2</v>
      </c>
      <c r="M14" t="s" s="2">
        <v>18</v>
      </c>
      <c r="N14" t="s" s="2">
        <v>35</v>
      </c>
      <c r="O14" s="3">
        <v>38</v>
      </c>
      <c r="P14" t="str" s="8" cm="1">
        <f t="array" ref="P14">IF(O14="","check","Okay")</f>
        <v>Okay</v>
      </c>
      <c r="Q14" t="str" s="8" cm="1">
        <f t="array" ref="Q14">IF(O14&lt;30,"UNDER 30",IF(O14&lt;=50,"30-50","Over 50"))</f>
        <v>30-50</v>
      </c>
      <c r="R14" t="s" s="2">
        <v>17</v>
      </c>
      <c r="S14" s="3" cm="1">
        <f t="array" ref="S14">COUNTIF(A2:A1001,A14)</f>
        <v>1</v>
      </c>
      <c r="T14" t="str" s="8" cm="1">
        <f t="array" ref="T14">IF(ISNUMBER(F14),"Ok","check")</f>
        <v>Ok</v>
      </c>
      <c r="U14" t="str" s="8" cm="1">
        <f t="array" ref="U14">IF(ISNUMBER(O14),"ok","check")</f>
        <v>ok</v>
      </c>
    </row>
    <row r="15" ht="13.55" customHeight="1">
      <c r="A15" s="3">
        <v>18935</v>
      </c>
      <c r="B15" t="s" s="2">
        <v>13</v>
      </c>
      <c r="C15" t="str" s="8" cm="1">
        <f t="array" ref="C15">IF(B15="M","Married","Single")</f>
        <v>Married</v>
      </c>
      <c r="D15" t="s" s="2">
        <v>14</v>
      </c>
      <c r="E15" t="str" s="8" cm="1">
        <f t="array" ref="E15">IF(D15="M","Male",IF(D15="F","Female","Check"))</f>
        <v>Female</v>
      </c>
      <c r="F15" s="4">
        <v>130000</v>
      </c>
      <c r="G15" t="str" s="8" cm="1">
        <f t="array" ref="G15">IF(F15="","Check","okay")</f>
        <v>okay</v>
      </c>
      <c r="H15" s="3">
        <v>0</v>
      </c>
      <c r="I15" t="s" s="2">
        <v>34</v>
      </c>
      <c r="J15" t="s" s="2">
        <v>31</v>
      </c>
      <c r="K15" t="s" s="2">
        <v>17</v>
      </c>
      <c r="L15" s="3">
        <v>3</v>
      </c>
      <c r="M15" t="s" s="2">
        <v>29</v>
      </c>
      <c r="N15" t="s" s="2">
        <v>35</v>
      </c>
      <c r="O15" s="3">
        <v>40</v>
      </c>
      <c r="P15" t="str" s="8" cm="1">
        <f t="array" ref="P15">IF(O15="","check","Okay")</f>
        <v>Okay</v>
      </c>
      <c r="Q15" t="str" s="8" cm="1">
        <f t="array" ref="Q15">IF(O15&lt;30,"UNDER 30",IF(O15&lt;=50,"30-50","Over 50"))</f>
        <v>30-50</v>
      </c>
      <c r="R15" t="s" s="2">
        <v>20</v>
      </c>
      <c r="S15" s="3" cm="1">
        <f t="array" ref="S15">COUNTIF(A2:A1001,A15)</f>
        <v>1</v>
      </c>
      <c r="T15" t="str" s="8" cm="1">
        <f t="array" ref="T15">IF(ISNUMBER(F15),"Ok","check")</f>
        <v>Ok</v>
      </c>
      <c r="U15" t="str" s="8" cm="1">
        <f t="array" ref="U15">IF(ISNUMBER(O15),"ok","check")</f>
        <v>ok</v>
      </c>
    </row>
    <row r="16" ht="13.55" customHeight="1">
      <c r="A16" s="3">
        <v>14443</v>
      </c>
      <c r="B16" t="s" s="2">
        <v>13</v>
      </c>
      <c r="C16" t="str" s="8" cm="1">
        <f t="array" ref="C16">IF(B16="M","Married","Single")</f>
        <v>Married</v>
      </c>
      <c r="D16" t="s" s="2">
        <v>13</v>
      </c>
      <c r="E16" t="str" s="8" cm="1">
        <f t="array" ref="E16">IF(D16="M","Male",IF(D16="F","Female","Check"))</f>
        <v>Male</v>
      </c>
      <c r="F16" s="4">
        <v>130000</v>
      </c>
      <c r="G16" t="str" s="8" cm="1">
        <f t="array" ref="G16">IF(F16="","Check","okay")</f>
        <v>okay</v>
      </c>
      <c r="H16" s="3">
        <v>1</v>
      </c>
      <c r="I16" t="s" s="2">
        <v>34</v>
      </c>
      <c r="J16" t="s" s="2">
        <v>31</v>
      </c>
      <c r="K16" t="s" s="2">
        <v>17</v>
      </c>
      <c r="L16" s="3">
        <v>4</v>
      </c>
      <c r="M16" t="s" s="2">
        <v>18</v>
      </c>
      <c r="N16" t="s" s="2">
        <v>35</v>
      </c>
      <c r="O16" s="3">
        <v>40</v>
      </c>
      <c r="P16" t="str" s="8" cm="1">
        <f t="array" ref="P16">IF(O16="","check","Okay")</f>
        <v>Okay</v>
      </c>
      <c r="Q16" t="str" s="8" cm="1">
        <f t="array" ref="Q16">IF(O16&lt;30,"UNDER 30",IF(O16&lt;=50,"30-50","Over 50"))</f>
        <v>30-50</v>
      </c>
      <c r="R16" t="s" s="2">
        <v>20</v>
      </c>
      <c r="S16" s="3" cm="1">
        <f t="array" ref="S16">COUNTIF(A2:A1001,A16)</f>
        <v>1</v>
      </c>
      <c r="T16" t="str" s="8" cm="1">
        <f t="array" ref="T16">IF(ISNUMBER(F16),"Ok","check")</f>
        <v>Ok</v>
      </c>
      <c r="U16" t="str" s="8" cm="1">
        <f t="array" ref="U16">IF(ISNUMBER(O16),"ok","check")</f>
        <v>ok</v>
      </c>
    </row>
    <row r="17" ht="13.55" customHeight="1">
      <c r="A17" s="3">
        <v>11269</v>
      </c>
      <c r="B17" t="s" s="2">
        <v>13</v>
      </c>
      <c r="C17" t="str" s="8" cm="1">
        <f t="array" ref="C17">IF(B17="M","Married","Single")</f>
        <v>Married</v>
      </c>
      <c r="D17" t="s" s="2">
        <v>13</v>
      </c>
      <c r="E17" t="str" s="8" cm="1">
        <f t="array" ref="E17">IF(D17="M","Male",IF(D17="F","Female","Check"))</f>
        <v>Male</v>
      </c>
      <c r="F17" s="4">
        <v>130000</v>
      </c>
      <c r="G17" t="str" s="8" cm="1">
        <f t="array" ref="G17">IF(F17="","Check","okay")</f>
        <v>okay</v>
      </c>
      <c r="H17" s="3">
        <v>2</v>
      </c>
      <c r="I17" t="s" s="2">
        <v>34</v>
      </c>
      <c r="J17" t="s" s="2">
        <v>31</v>
      </c>
      <c r="K17" t="s" s="2">
        <v>17</v>
      </c>
      <c r="L17" s="3">
        <v>2</v>
      </c>
      <c r="M17" t="s" s="2">
        <v>18</v>
      </c>
      <c r="N17" t="s" s="2">
        <v>35</v>
      </c>
      <c r="O17" s="3">
        <v>41</v>
      </c>
      <c r="P17" t="str" s="8" cm="1">
        <f t="array" ref="P17">IF(O17="","check","Okay")</f>
        <v>Okay</v>
      </c>
      <c r="Q17" t="str" s="8" cm="1">
        <f t="array" ref="Q17">IF(O17&lt;30,"UNDER 30",IF(O17&lt;=50,"30-50","Over 50"))</f>
        <v>30-50</v>
      </c>
      <c r="R17" t="s" s="2">
        <v>20</v>
      </c>
      <c r="S17" s="3" cm="1">
        <f t="array" ref="S17">COUNTIF(A2:A1001,A17)</f>
        <v>1</v>
      </c>
      <c r="T17" t="str" s="8" cm="1">
        <f t="array" ref="T17">IF(ISNUMBER(F17),"Ok","check")</f>
        <v>Ok</v>
      </c>
      <c r="U17" t="str" s="8" cm="1">
        <f t="array" ref="U17">IF(ISNUMBER(O17),"ok","check")</f>
        <v>ok</v>
      </c>
    </row>
    <row r="18" ht="13.55" customHeight="1">
      <c r="A18" s="3">
        <v>24398</v>
      </c>
      <c r="B18" t="s" s="2">
        <v>13</v>
      </c>
      <c r="C18" t="str" s="8" cm="1">
        <f t="array" ref="C18">IF(B18="M","Married","Single")</f>
        <v>Married</v>
      </c>
      <c r="D18" t="s" s="2">
        <v>13</v>
      </c>
      <c r="E18" t="str" s="8" cm="1">
        <f t="array" ref="E18">IF(D18="M","Male",IF(D18="F","Female","Check"))</f>
        <v>Male</v>
      </c>
      <c r="F18" s="4">
        <v>130000</v>
      </c>
      <c r="G18" t="str" s="8" cm="1">
        <f t="array" ref="G18">IF(F18="","Check","okay")</f>
        <v>okay</v>
      </c>
      <c r="H18" s="3">
        <v>1</v>
      </c>
      <c r="I18" t="s" s="2">
        <v>34</v>
      </c>
      <c r="J18" t="s" s="2">
        <v>31</v>
      </c>
      <c r="K18" t="s" s="2">
        <v>17</v>
      </c>
      <c r="L18" s="3">
        <v>4</v>
      </c>
      <c r="M18" t="s" s="2">
        <v>18</v>
      </c>
      <c r="N18" t="s" s="2">
        <v>35</v>
      </c>
      <c r="O18" s="3">
        <v>41</v>
      </c>
      <c r="P18" t="str" s="8" cm="1">
        <f t="array" ref="P18">IF(O18="","check","Okay")</f>
        <v>Okay</v>
      </c>
      <c r="Q18" t="str" s="8" cm="1">
        <f t="array" ref="Q18">IF(O18&lt;30,"UNDER 30",IF(O18&lt;=50,"30-50","Over 50"))</f>
        <v>30-50</v>
      </c>
      <c r="R18" t="s" s="2">
        <v>20</v>
      </c>
      <c r="S18" s="3" cm="1">
        <f t="array" ref="S18">COUNTIF(A2:A1001,A18)</f>
        <v>1</v>
      </c>
      <c r="T18" t="str" s="8" cm="1">
        <f t="array" ref="T18">IF(ISNUMBER(F18),"Ok","check")</f>
        <v>Ok</v>
      </c>
      <c r="U18" t="str" s="8" cm="1">
        <f t="array" ref="U18">IF(ISNUMBER(O18),"ok","check")</f>
        <v>ok</v>
      </c>
    </row>
    <row r="19" ht="13.55" customHeight="1">
      <c r="A19" s="3">
        <v>11270</v>
      </c>
      <c r="B19" t="s" s="2">
        <v>13</v>
      </c>
      <c r="C19" t="str" s="8" cm="1">
        <f t="array" ref="C19">IF(B19="M","Married","Single")</f>
        <v>Married</v>
      </c>
      <c r="D19" t="s" s="2">
        <v>13</v>
      </c>
      <c r="E19" t="str" s="8" cm="1">
        <f t="array" ref="E19">IF(D19="M","Male",IF(D19="F","Female","Check"))</f>
        <v>Male</v>
      </c>
      <c r="F19" s="4">
        <v>130000</v>
      </c>
      <c r="G19" t="str" s="8" cm="1">
        <f t="array" ref="G19">IF(F19="","Check","okay")</f>
        <v>okay</v>
      </c>
      <c r="H19" s="3">
        <v>2</v>
      </c>
      <c r="I19" t="s" s="2">
        <v>34</v>
      </c>
      <c r="J19" t="s" s="2">
        <v>31</v>
      </c>
      <c r="K19" t="s" s="2">
        <v>17</v>
      </c>
      <c r="L19" s="3">
        <v>3</v>
      </c>
      <c r="M19" t="s" s="2">
        <v>18</v>
      </c>
      <c r="N19" t="s" s="2">
        <v>35</v>
      </c>
      <c r="O19" s="3">
        <v>42</v>
      </c>
      <c r="P19" t="str" s="8" cm="1">
        <f t="array" ref="P19">IF(O19="","check","Okay")</f>
        <v>Okay</v>
      </c>
      <c r="Q19" t="str" s="8" cm="1">
        <f t="array" ref="Q19">IF(O19&lt;30,"UNDER 30",IF(O19&lt;=50,"30-50","Over 50"))</f>
        <v>30-50</v>
      </c>
      <c r="R19" t="s" s="2">
        <v>17</v>
      </c>
      <c r="S19" s="3" cm="1">
        <f t="array" ref="S19">COUNTIF(A2:A1001,A19)</f>
        <v>1</v>
      </c>
      <c r="T19" t="str" s="8" cm="1">
        <f t="array" ref="T19">IF(ISNUMBER(F19),"Ok","check")</f>
        <v>Ok</v>
      </c>
      <c r="U19" t="str" s="8" cm="1">
        <f t="array" ref="U19">IF(ISNUMBER(O19),"ok","check")</f>
        <v>ok</v>
      </c>
    </row>
    <row r="20" ht="13.55" customHeight="1">
      <c r="A20" s="3">
        <v>20339</v>
      </c>
      <c r="B20" t="s" s="2">
        <v>13</v>
      </c>
      <c r="C20" t="str" s="8" cm="1">
        <f t="array" ref="C20">IF(B20="M","Married","Single")</f>
        <v>Married</v>
      </c>
      <c r="D20" t="s" s="2">
        <v>14</v>
      </c>
      <c r="E20" t="str" s="8" cm="1">
        <f t="array" ref="E20">IF(D20="M","Male",IF(D20="F","Female","Check"))</f>
        <v>Female</v>
      </c>
      <c r="F20" s="4">
        <v>130000</v>
      </c>
      <c r="G20" t="str" s="8" cm="1">
        <f t="array" ref="G20">IF(F20="","Check","okay")</f>
        <v>okay</v>
      </c>
      <c r="H20" s="3">
        <v>1</v>
      </c>
      <c r="I20" t="s" s="2">
        <v>15</v>
      </c>
      <c r="J20" t="s" s="2">
        <v>31</v>
      </c>
      <c r="K20" t="s" s="2">
        <v>17</v>
      </c>
      <c r="L20" s="3">
        <v>4</v>
      </c>
      <c r="M20" t="s" s="2">
        <v>24</v>
      </c>
      <c r="N20" t="s" s="2">
        <v>35</v>
      </c>
      <c r="O20" s="3">
        <v>44</v>
      </c>
      <c r="P20" t="str" s="8" cm="1">
        <f t="array" ref="P20">IF(O20="","check","Okay")</f>
        <v>Okay</v>
      </c>
      <c r="Q20" t="str" s="8" cm="1">
        <f t="array" ref="Q20">IF(O20&lt;30,"UNDER 30",IF(O20&lt;=50,"30-50","Over 50"))</f>
        <v>30-50</v>
      </c>
      <c r="R20" t="s" s="2">
        <v>17</v>
      </c>
      <c r="S20" s="3" cm="1">
        <f t="array" ref="S20">COUNTIF(A2:A1001,A20)</f>
        <v>1</v>
      </c>
      <c r="T20" t="str" s="8" cm="1">
        <f t="array" ref="T20">IF(ISNUMBER(F20),"Ok","check")</f>
        <v>Ok</v>
      </c>
      <c r="U20" t="str" s="8" cm="1">
        <f t="array" ref="U20">IF(ISNUMBER(O20),"ok","check")</f>
        <v>ok</v>
      </c>
    </row>
    <row r="21" ht="13.55" customHeight="1">
      <c r="A21" s="3">
        <v>23027</v>
      </c>
      <c r="B21" t="s" s="2">
        <v>25</v>
      </c>
      <c r="C21" t="str" s="8" cm="1">
        <f t="array" ref="C21">IF(B21="M","Married","Single")</f>
        <v>Single</v>
      </c>
      <c r="D21" t="s" s="2">
        <v>13</v>
      </c>
      <c r="E21" t="str" s="8" cm="1">
        <f t="array" ref="E21">IF(D21="M","Male",IF(D21="F","Female","Check"))</f>
        <v>Male</v>
      </c>
      <c r="F21" s="4">
        <v>130000</v>
      </c>
      <c r="G21" t="str" s="8" cm="1">
        <f t="array" ref="G21">IF(F21="","Check","okay")</f>
        <v>okay</v>
      </c>
      <c r="H21" s="3">
        <v>1</v>
      </c>
      <c r="I21" t="s" s="2">
        <v>15</v>
      </c>
      <c r="J21" t="s" s="2">
        <v>31</v>
      </c>
      <c r="K21" t="s" s="2">
        <v>20</v>
      </c>
      <c r="L21" s="3">
        <v>4</v>
      </c>
      <c r="M21" t="s" s="2">
        <v>18</v>
      </c>
      <c r="N21" t="s" s="2">
        <v>35</v>
      </c>
      <c r="O21" s="3">
        <v>44</v>
      </c>
      <c r="P21" t="str" s="8" cm="1">
        <f t="array" ref="P21">IF(O21="","check","Okay")</f>
        <v>Okay</v>
      </c>
      <c r="Q21" t="str" s="8" cm="1">
        <f t="array" ref="Q21">IF(O21&lt;30,"UNDER 30",IF(O21&lt;=50,"30-50","Over 50"))</f>
        <v>30-50</v>
      </c>
      <c r="R21" t="s" s="2">
        <v>20</v>
      </c>
      <c r="S21" s="3" cm="1">
        <f t="array" ref="S21">COUNTIF(A2:A1001,A21)</f>
        <v>1</v>
      </c>
      <c r="T21" t="str" s="8" cm="1">
        <f t="array" ref="T21">IF(ISNUMBER(F21),"Ok","check")</f>
        <v>Ok</v>
      </c>
      <c r="U21" t="str" s="8" cm="1">
        <f t="array" ref="U21">IF(ISNUMBER(O21),"ok","check")</f>
        <v>ok</v>
      </c>
    </row>
    <row r="22" ht="13.55" customHeight="1">
      <c r="A22" s="3">
        <v>13453</v>
      </c>
      <c r="B22" t="s" s="2">
        <v>13</v>
      </c>
      <c r="C22" t="str" s="8" cm="1">
        <f t="array" ref="C22">IF(B22="M","Married","Single")</f>
        <v>Married</v>
      </c>
      <c r="D22" t="s" s="2">
        <v>14</v>
      </c>
      <c r="E22" t="str" s="8" cm="1">
        <f t="array" ref="E22">IF(D22="M","Male",IF(D22="F","Female","Check"))</f>
        <v>Female</v>
      </c>
      <c r="F22" s="4">
        <v>130000</v>
      </c>
      <c r="G22" t="str" s="8" cm="1">
        <f t="array" ref="G22">IF(F22="","Check","okay")</f>
        <v>okay</v>
      </c>
      <c r="H22" s="3">
        <v>3</v>
      </c>
      <c r="I22" t="s" s="2">
        <v>15</v>
      </c>
      <c r="J22" t="s" s="2">
        <v>31</v>
      </c>
      <c r="K22" t="s" s="2">
        <v>17</v>
      </c>
      <c r="L22" s="3">
        <v>3</v>
      </c>
      <c r="M22" t="s" s="2">
        <v>18</v>
      </c>
      <c r="N22" t="s" s="2">
        <v>35</v>
      </c>
      <c r="O22" s="3">
        <v>45</v>
      </c>
      <c r="P22" t="str" s="8" cm="1">
        <f t="array" ref="P22">IF(O22="","check","Okay")</f>
        <v>Okay</v>
      </c>
      <c r="Q22" t="str" s="8" cm="1">
        <f t="array" ref="Q22">IF(O22&lt;30,"UNDER 30",IF(O22&lt;=50,"30-50","Over 50"))</f>
        <v>30-50</v>
      </c>
      <c r="R22" t="s" s="2">
        <v>17</v>
      </c>
      <c r="S22" s="3" cm="1">
        <f t="array" ref="S22">COUNTIF(A2:A1001,A22)</f>
        <v>1</v>
      </c>
      <c r="T22" t="str" s="8" cm="1">
        <f t="array" ref="T22">IF(ISNUMBER(F22),"Ok","check")</f>
        <v>Ok</v>
      </c>
      <c r="U22" t="str" s="8" cm="1">
        <f t="array" ref="U22">IF(ISNUMBER(O22),"ok","check")</f>
        <v>ok</v>
      </c>
    </row>
    <row r="23" ht="13.55" customHeight="1">
      <c r="A23" s="3">
        <v>22088</v>
      </c>
      <c r="B23" t="s" s="2">
        <v>13</v>
      </c>
      <c r="C23" t="str" s="8" cm="1">
        <f t="array" ref="C23">IF(B23="M","Married","Single")</f>
        <v>Married</v>
      </c>
      <c r="D23" t="s" s="2">
        <v>14</v>
      </c>
      <c r="E23" t="str" s="8" cm="1">
        <f t="array" ref="E23">IF(D23="M","Male",IF(D23="F","Female","Check"))</f>
        <v>Female</v>
      </c>
      <c r="F23" s="4">
        <v>130000</v>
      </c>
      <c r="G23" t="str" s="8" cm="1">
        <f t="array" ref="G23">IF(F23="","Check","okay")</f>
        <v>okay</v>
      </c>
      <c r="H23" s="3">
        <v>1</v>
      </c>
      <c r="I23" t="s" s="2">
        <v>15</v>
      </c>
      <c r="J23" t="s" s="2">
        <v>31</v>
      </c>
      <c r="K23" t="s" s="2">
        <v>17</v>
      </c>
      <c r="L23" s="3">
        <v>2</v>
      </c>
      <c r="M23" t="s" s="2">
        <v>18</v>
      </c>
      <c r="N23" t="s" s="2">
        <v>35</v>
      </c>
      <c r="O23" s="3">
        <v>45</v>
      </c>
      <c r="P23" t="str" s="8" cm="1">
        <f t="array" ref="P23">IF(O23="","check","Okay")</f>
        <v>Okay</v>
      </c>
      <c r="Q23" t="str" s="8" cm="1">
        <f t="array" ref="Q23">IF(O23&lt;30,"UNDER 30",IF(O23&lt;=50,"30-50","Over 50"))</f>
        <v>30-50</v>
      </c>
      <c r="R23" t="s" s="2">
        <v>17</v>
      </c>
      <c r="S23" s="3" cm="1">
        <f t="array" ref="S23">COUNTIF(A2:A1001,A23)</f>
        <v>1</v>
      </c>
      <c r="T23" t="str" s="8" cm="1">
        <f t="array" ref="T23">IF(ISNUMBER(F23),"Ok","check")</f>
        <v>Ok</v>
      </c>
      <c r="U23" t="str" s="8" cm="1">
        <f t="array" ref="U23">IF(ISNUMBER(O23),"ok","check")</f>
        <v>ok</v>
      </c>
    </row>
    <row r="24" ht="13.55" customHeight="1">
      <c r="A24" s="3">
        <v>16867</v>
      </c>
      <c r="B24" t="s" s="2">
        <v>25</v>
      </c>
      <c r="C24" t="str" s="8" cm="1">
        <f t="array" ref="C24">IF(B24="M","Married","Single")</f>
        <v>Single</v>
      </c>
      <c r="D24" t="s" s="2">
        <v>14</v>
      </c>
      <c r="E24" t="str" s="8" cm="1">
        <f t="array" ref="E24">IF(D24="M","Male",IF(D24="F","Female","Check"))</f>
        <v>Female</v>
      </c>
      <c r="F24" s="4">
        <v>130000</v>
      </c>
      <c r="G24" t="str" s="8" cm="1">
        <f t="array" ref="G24">IF(F24="","Check","okay")</f>
        <v>okay</v>
      </c>
      <c r="H24" s="3">
        <v>1</v>
      </c>
      <c r="I24" t="s" s="2">
        <v>15</v>
      </c>
      <c r="J24" t="s" s="2">
        <v>31</v>
      </c>
      <c r="K24" t="s" s="2">
        <v>20</v>
      </c>
      <c r="L24" s="3">
        <v>3</v>
      </c>
      <c r="M24" t="s" s="2">
        <v>18</v>
      </c>
      <c r="N24" t="s" s="2">
        <v>35</v>
      </c>
      <c r="O24" s="3">
        <v>45</v>
      </c>
      <c r="P24" t="str" s="8" cm="1">
        <f t="array" ref="P24">IF(O24="","check","Okay")</f>
        <v>Okay</v>
      </c>
      <c r="Q24" t="str" s="8" cm="1">
        <f t="array" ref="Q24">IF(O24&lt;30,"UNDER 30",IF(O24&lt;=50,"30-50","Over 50"))</f>
        <v>30-50</v>
      </c>
      <c r="R24" t="s" s="2">
        <v>17</v>
      </c>
      <c r="S24" s="3" cm="1">
        <f t="array" ref="S24">COUNTIF(A2:A1001,A24)</f>
        <v>1</v>
      </c>
      <c r="T24" t="str" s="8" cm="1">
        <f t="array" ref="T24">IF(ISNUMBER(F24),"Ok","check")</f>
        <v>Ok</v>
      </c>
      <c r="U24" t="str" s="8" cm="1">
        <f t="array" ref="U24">IF(ISNUMBER(O24),"ok","check")</f>
        <v>ok</v>
      </c>
    </row>
    <row r="25" ht="13.55" customHeight="1">
      <c r="A25" s="3">
        <v>28269</v>
      </c>
      <c r="B25" t="s" s="2">
        <v>25</v>
      </c>
      <c r="C25" t="str" s="8" cm="1">
        <f t="array" ref="C25">IF(B25="M","Married","Single")</f>
        <v>Single</v>
      </c>
      <c r="D25" t="s" s="2">
        <v>14</v>
      </c>
      <c r="E25" t="str" s="8" cm="1">
        <f t="array" ref="E25">IF(D25="M","Male",IF(D25="F","Female","Check"))</f>
        <v>Female</v>
      </c>
      <c r="F25" s="4">
        <v>130000</v>
      </c>
      <c r="G25" t="str" s="8" cm="1">
        <f t="array" ref="G25">IF(F25="","Check","okay")</f>
        <v>okay</v>
      </c>
      <c r="H25" s="3">
        <v>1</v>
      </c>
      <c r="I25" t="s" s="2">
        <v>15</v>
      </c>
      <c r="J25" t="s" s="2">
        <v>31</v>
      </c>
      <c r="K25" t="s" s="2">
        <v>20</v>
      </c>
      <c r="L25" s="3">
        <v>1</v>
      </c>
      <c r="M25" t="s" s="2">
        <v>24</v>
      </c>
      <c r="N25" t="s" s="2">
        <v>35</v>
      </c>
      <c r="O25" s="3">
        <v>45</v>
      </c>
      <c r="P25" t="str" s="8" cm="1">
        <f t="array" ref="P25">IF(O25="","check","Okay")</f>
        <v>Okay</v>
      </c>
      <c r="Q25" t="str" s="8" cm="1">
        <f t="array" ref="Q25">IF(O25&lt;30,"UNDER 30",IF(O25&lt;=50,"30-50","Over 50"))</f>
        <v>30-50</v>
      </c>
      <c r="R25" t="s" s="2">
        <v>20</v>
      </c>
      <c r="S25" s="3" cm="1">
        <f t="array" ref="S25">COUNTIF(A2:A1001,A25)</f>
        <v>1</v>
      </c>
      <c r="T25" t="str" s="8" cm="1">
        <f t="array" ref="T25">IF(ISNUMBER(F25),"Ok","check")</f>
        <v>Ok</v>
      </c>
      <c r="U25" t="str" s="8" cm="1">
        <f t="array" ref="U25">IF(ISNUMBER(O25),"ok","check")</f>
        <v>ok</v>
      </c>
    </row>
    <row r="26" ht="13.55" customHeight="1">
      <c r="A26" s="3">
        <v>14278</v>
      </c>
      <c r="B26" t="s" s="2">
        <v>13</v>
      </c>
      <c r="C26" t="str" s="8" cm="1">
        <f t="array" ref="C26">IF(B26="M","Married","Single")</f>
        <v>Married</v>
      </c>
      <c r="D26" t="s" s="2">
        <v>14</v>
      </c>
      <c r="E26" t="str" s="8" cm="1">
        <f t="array" ref="E26">IF(D26="M","Male",IF(D26="F","Female","Check"))</f>
        <v>Female</v>
      </c>
      <c r="F26" s="4">
        <v>130000</v>
      </c>
      <c r="G26" t="str" s="8" cm="1">
        <f t="array" ref="G26">IF(F26="","Check","okay")</f>
        <v>okay</v>
      </c>
      <c r="H26" s="3">
        <v>0</v>
      </c>
      <c r="I26" t="s" s="2">
        <v>34</v>
      </c>
      <c r="J26" t="s" s="2">
        <v>31</v>
      </c>
      <c r="K26" t="s" s="2">
        <v>17</v>
      </c>
      <c r="L26" s="3">
        <v>1</v>
      </c>
      <c r="M26" t="s" s="2">
        <v>33</v>
      </c>
      <c r="N26" t="s" s="2">
        <v>27</v>
      </c>
      <c r="O26" s="3">
        <v>48</v>
      </c>
      <c r="P26" t="str" s="8" cm="1">
        <f t="array" ref="P26">IF(O26="","check","Okay")</f>
        <v>Okay</v>
      </c>
      <c r="Q26" t="str" s="8" cm="1">
        <f t="array" ref="Q26">IF(O26&lt;30,"UNDER 30",IF(O26&lt;=50,"30-50","Over 50"))</f>
        <v>30-50</v>
      </c>
      <c r="R26" t="s" s="2">
        <v>20</v>
      </c>
      <c r="S26" s="3" cm="1">
        <f t="array" ref="S26">COUNTIF(A2:A1001,A26)</f>
        <v>1</v>
      </c>
      <c r="T26" t="str" s="8" cm="1">
        <f t="array" ref="T26">IF(ISNUMBER(F26),"Ok","check")</f>
        <v>Ok</v>
      </c>
      <c r="U26" t="str" s="8" cm="1">
        <f t="array" ref="U26">IF(ISNUMBER(O26),"ok","check")</f>
        <v>ok</v>
      </c>
    </row>
    <row r="27" ht="13.55" customHeight="1">
      <c r="A27" s="3">
        <v>15758</v>
      </c>
      <c r="B27" t="s" s="2">
        <v>13</v>
      </c>
      <c r="C27" t="str" s="8" cm="1">
        <f t="array" ref="C27">IF(B27="M","Married","Single")</f>
        <v>Married</v>
      </c>
      <c r="D27" t="s" s="2">
        <v>13</v>
      </c>
      <c r="E27" t="str" s="8" cm="1">
        <f t="array" ref="E27">IF(D27="M","Male",IF(D27="F","Female","Check"))</f>
        <v>Male</v>
      </c>
      <c r="F27" s="4">
        <v>130000</v>
      </c>
      <c r="G27" t="str" s="8" cm="1">
        <f t="array" ref="G27">IF(F27="","Check","okay")</f>
        <v>okay</v>
      </c>
      <c r="H27" s="3">
        <v>0</v>
      </c>
      <c r="I27" t="s" s="2">
        <v>34</v>
      </c>
      <c r="J27" t="s" s="2">
        <v>31</v>
      </c>
      <c r="K27" t="s" s="2">
        <v>17</v>
      </c>
      <c r="L27" s="3">
        <v>0</v>
      </c>
      <c r="M27" t="s" s="2">
        <v>26</v>
      </c>
      <c r="N27" t="s" s="2">
        <v>27</v>
      </c>
      <c r="O27" s="3">
        <v>48</v>
      </c>
      <c r="P27" t="str" s="8" cm="1">
        <f t="array" ref="P27">IF(O27="","check","Okay")</f>
        <v>Okay</v>
      </c>
      <c r="Q27" t="str" s="8" cm="1">
        <f t="array" ref="Q27">IF(O27&lt;30,"UNDER 30",IF(O27&lt;=50,"30-50","Over 50"))</f>
        <v>30-50</v>
      </c>
      <c r="R27" t="s" s="2">
        <v>20</v>
      </c>
      <c r="S27" s="3" cm="1">
        <f t="array" ref="S27">COUNTIF(A2:A1001,A27)</f>
        <v>1</v>
      </c>
      <c r="T27" t="str" s="8" cm="1">
        <f t="array" ref="T27">IF(ISNUMBER(F27),"Ok","check")</f>
        <v>Ok</v>
      </c>
      <c r="U27" t="str" s="8" cm="1">
        <f t="array" ref="U27">IF(ISNUMBER(O27),"ok","check")</f>
        <v>ok</v>
      </c>
    </row>
    <row r="28" ht="13.55" customHeight="1">
      <c r="A28" s="3">
        <v>13082</v>
      </c>
      <c r="B28" t="s" s="2">
        <v>25</v>
      </c>
      <c r="C28" t="str" s="8" cm="1">
        <f t="array" ref="C28">IF(B28="M","Married","Single")</f>
        <v>Single</v>
      </c>
      <c r="D28" t="s" s="2">
        <v>13</v>
      </c>
      <c r="E28" t="str" s="8" cm="1">
        <f t="array" ref="E28">IF(D28="M","Male",IF(D28="F","Female","Check"))</f>
        <v>Male</v>
      </c>
      <c r="F28" s="4">
        <v>130000</v>
      </c>
      <c r="G28" t="str" s="8" cm="1">
        <f t="array" ref="G28">IF(F28="","Check","okay")</f>
        <v>okay</v>
      </c>
      <c r="H28" s="3">
        <v>0</v>
      </c>
      <c r="I28" t="s" s="2">
        <v>34</v>
      </c>
      <c r="J28" t="s" s="2">
        <v>31</v>
      </c>
      <c r="K28" t="s" s="2">
        <v>17</v>
      </c>
      <c r="L28" s="3">
        <v>0</v>
      </c>
      <c r="M28" t="s" s="2">
        <v>24</v>
      </c>
      <c r="N28" t="s" s="2">
        <v>27</v>
      </c>
      <c r="O28" s="3">
        <v>48</v>
      </c>
      <c r="P28" t="str" s="8" cm="1">
        <f t="array" ref="P28">IF(O28="","check","Okay")</f>
        <v>Okay</v>
      </c>
      <c r="Q28" t="str" s="8" cm="1">
        <f t="array" ref="Q28">IF(O28&lt;30,"UNDER 30",IF(O28&lt;=50,"30-50","Over 50"))</f>
        <v>30-50</v>
      </c>
      <c r="R28" t="s" s="2">
        <v>17</v>
      </c>
      <c r="S28" s="3" cm="1">
        <f t="array" ref="S28">COUNTIF(A2:A1001,A28)</f>
        <v>1</v>
      </c>
      <c r="T28" t="str" s="8" cm="1">
        <f t="array" ref="T28">IF(ISNUMBER(F28),"Ok","check")</f>
        <v>Ok</v>
      </c>
      <c r="U28" t="str" s="8" cm="1">
        <f t="array" ref="U28">IF(ISNUMBER(O28),"ok","check")</f>
        <v>ok</v>
      </c>
    </row>
    <row r="29" ht="13.55" customHeight="1">
      <c r="A29" s="3">
        <v>12133</v>
      </c>
      <c r="B29" t="s" s="2">
        <v>13</v>
      </c>
      <c r="C29" t="str" s="8" cm="1">
        <f t="array" ref="C29">IF(B29="M","Married","Single")</f>
        <v>Married</v>
      </c>
      <c r="D29" t="s" s="2">
        <v>14</v>
      </c>
      <c r="E29" t="str" s="8" cm="1">
        <f t="array" ref="E29">IF(D29="M","Male",IF(D29="F","Female","Check"))</f>
        <v>Female</v>
      </c>
      <c r="F29" s="4">
        <v>130000</v>
      </c>
      <c r="G29" t="str" s="8" cm="1">
        <f t="array" ref="G29">IF(F29="","Check","okay")</f>
        <v>okay</v>
      </c>
      <c r="H29" s="3">
        <v>3</v>
      </c>
      <c r="I29" t="s" s="2">
        <v>21</v>
      </c>
      <c r="J29" t="s" s="2">
        <v>23</v>
      </c>
      <c r="K29" t="s" s="2">
        <v>17</v>
      </c>
      <c r="L29" s="3">
        <v>3</v>
      </c>
      <c r="M29" t="s" s="2">
        <v>26</v>
      </c>
      <c r="N29" t="s" s="2">
        <v>19</v>
      </c>
      <c r="O29" s="3">
        <v>50</v>
      </c>
      <c r="P29" t="str" s="8" cm="1">
        <f t="array" ref="P29">IF(O29="","check","Okay")</f>
        <v>Okay</v>
      </c>
      <c r="Q29" t="str" s="8" cm="1">
        <f t="array" ref="Q29">IF(O29&lt;30,"UNDER 30",IF(O29&lt;=50,"30-50","Over 50"))</f>
        <v>30-50</v>
      </c>
      <c r="R29" t="s" s="2">
        <v>17</v>
      </c>
      <c r="S29" s="3" cm="1">
        <f t="array" ref="S29">COUNTIF(A2:A1001,A29)</f>
        <v>1</v>
      </c>
      <c r="T29" t="str" s="8" cm="1">
        <f t="array" ref="T29">IF(ISNUMBER(F29),"Ok","check")</f>
        <v>Ok</v>
      </c>
      <c r="U29" t="str" s="8" cm="1">
        <f t="array" ref="U29">IF(ISNUMBER(O29),"ok","check")</f>
        <v>ok</v>
      </c>
    </row>
    <row r="30" ht="13.55" customHeight="1">
      <c r="A30" s="3">
        <v>11249</v>
      </c>
      <c r="B30" t="s" s="2">
        <v>13</v>
      </c>
      <c r="C30" t="str" s="8" cm="1">
        <f t="array" ref="C30">IF(B30="M","Married","Single")</f>
        <v>Married</v>
      </c>
      <c r="D30" t="s" s="2">
        <v>14</v>
      </c>
      <c r="E30" t="str" s="8" cm="1">
        <f t="array" ref="E30">IF(D30="M","Male",IF(D30="F","Female","Check"))</f>
        <v>Female</v>
      </c>
      <c r="F30" s="4">
        <v>130000</v>
      </c>
      <c r="G30" t="str" s="8" cm="1">
        <f t="array" ref="G30">IF(F30="","Check","okay")</f>
        <v>okay</v>
      </c>
      <c r="H30" s="3">
        <v>3</v>
      </c>
      <c r="I30" t="s" s="2">
        <v>21</v>
      </c>
      <c r="J30" t="s" s="2">
        <v>23</v>
      </c>
      <c r="K30" t="s" s="2">
        <v>17</v>
      </c>
      <c r="L30" s="3">
        <v>3</v>
      </c>
      <c r="M30" t="s" s="2">
        <v>18</v>
      </c>
      <c r="N30" t="s" s="2">
        <v>19</v>
      </c>
      <c r="O30" s="3">
        <v>51</v>
      </c>
      <c r="P30" t="str" s="8" cm="1">
        <f t="array" ref="P30">IF(O30="","check","Okay")</f>
        <v>Okay</v>
      </c>
      <c r="Q30" t="str" s="8" cm="1">
        <f t="array" ref="Q30">IF(O30&lt;30,"UNDER 30",IF(O30&lt;=50,"30-50","Over 50"))</f>
        <v>Over 50</v>
      </c>
      <c r="R30" t="s" s="2">
        <v>17</v>
      </c>
      <c r="S30" s="3" cm="1">
        <f t="array" ref="S30">COUNTIF(A2:A1001,A30)</f>
        <v>1</v>
      </c>
      <c r="T30" t="str" s="8" cm="1">
        <f t="array" ref="T30">IF(ISNUMBER(F30),"Ok","check")</f>
        <v>Ok</v>
      </c>
      <c r="U30" t="str" s="8" cm="1">
        <f t="array" ref="U30">IF(ISNUMBER(O30),"ok","check")</f>
        <v>ok</v>
      </c>
    </row>
    <row r="31" ht="13.55" customHeight="1">
      <c r="A31" s="3">
        <v>18140</v>
      </c>
      <c r="B31" t="s" s="2">
        <v>13</v>
      </c>
      <c r="C31" t="str" s="8" cm="1">
        <f t="array" ref="C31">IF(B31="M","Married","Single")</f>
        <v>Married</v>
      </c>
      <c r="D31" t="s" s="2">
        <v>13</v>
      </c>
      <c r="E31" t="str" s="8" cm="1">
        <f t="array" ref="E31">IF(D31="M","Male",IF(D31="F","Female","Check"))</f>
        <v>Male</v>
      </c>
      <c r="F31" s="4">
        <v>130000</v>
      </c>
      <c r="G31" t="str" s="8" cm="1">
        <f t="array" ref="G31">IF(F31="","Check","okay")</f>
        <v>okay</v>
      </c>
      <c r="H31" s="3">
        <v>3</v>
      </c>
      <c r="I31" t="s" s="2">
        <v>21</v>
      </c>
      <c r="J31" t="s" s="2">
        <v>23</v>
      </c>
      <c r="K31" t="s" s="2">
        <v>20</v>
      </c>
      <c r="L31" s="3">
        <v>3</v>
      </c>
      <c r="M31" t="s" s="2">
        <v>26</v>
      </c>
      <c r="N31" t="s" s="2">
        <v>19</v>
      </c>
      <c r="O31" s="3">
        <v>51</v>
      </c>
      <c r="P31" t="str" s="8" cm="1">
        <f t="array" ref="P31">IF(O31="","check","Okay")</f>
        <v>Okay</v>
      </c>
      <c r="Q31" t="str" s="8" cm="1">
        <f t="array" ref="Q31">IF(O31&lt;30,"UNDER 30",IF(O31&lt;=50,"30-50","Over 50"))</f>
        <v>Over 50</v>
      </c>
      <c r="R31" t="s" s="2">
        <v>17</v>
      </c>
      <c r="S31" s="3" cm="1">
        <f t="array" ref="S31">COUNTIF(A2:A1001,A31)</f>
        <v>1</v>
      </c>
      <c r="T31" t="str" s="8" cm="1">
        <f t="array" ref="T31">IF(ISNUMBER(F31),"Ok","check")</f>
        <v>Ok</v>
      </c>
      <c r="U31" t="str" s="8" cm="1">
        <f t="array" ref="U31">IF(ISNUMBER(O31),"ok","check")</f>
        <v>ok</v>
      </c>
    </row>
    <row r="32" ht="13.55" customHeight="1">
      <c r="A32" s="3">
        <v>18160</v>
      </c>
      <c r="B32" t="s" s="2">
        <v>13</v>
      </c>
      <c r="C32" t="str" s="8" cm="1">
        <f t="array" ref="C32">IF(B32="M","Married","Single")</f>
        <v>Married</v>
      </c>
      <c r="D32" t="s" s="2">
        <v>13</v>
      </c>
      <c r="E32" t="str" s="8" cm="1">
        <f t="array" ref="E32">IF(D32="M","Male",IF(D32="F","Female","Check"))</f>
        <v>Male</v>
      </c>
      <c r="F32" s="4">
        <v>130000</v>
      </c>
      <c r="G32" t="str" s="8" cm="1">
        <f t="array" ref="G32">IF(F32="","Check","okay")</f>
        <v>okay</v>
      </c>
      <c r="H32" s="3">
        <v>3</v>
      </c>
      <c r="I32" t="s" s="2">
        <v>30</v>
      </c>
      <c r="J32" t="s" s="2">
        <v>23</v>
      </c>
      <c r="K32" t="s" s="2">
        <v>17</v>
      </c>
      <c r="L32" s="3">
        <v>4</v>
      </c>
      <c r="M32" t="s" s="2">
        <v>26</v>
      </c>
      <c r="N32" t="s" s="2">
        <v>19</v>
      </c>
      <c r="O32" s="3">
        <v>51</v>
      </c>
      <c r="P32" t="str" s="8" cm="1">
        <f t="array" ref="P32">IF(O32="","check","Okay")</f>
        <v>Okay</v>
      </c>
      <c r="Q32" t="str" s="8" cm="1">
        <f t="array" ref="Q32">IF(O32&lt;30,"UNDER 30",IF(O32&lt;=50,"30-50","Over 50"))</f>
        <v>Over 50</v>
      </c>
      <c r="R32" t="s" s="2">
        <v>17</v>
      </c>
      <c r="S32" s="3" cm="1">
        <f t="array" ref="S32">COUNTIF(A2:A1001,A32)</f>
        <v>1</v>
      </c>
      <c r="T32" t="str" s="8" cm="1">
        <f t="array" ref="T32">IF(ISNUMBER(F32),"Ok","check")</f>
        <v>Ok</v>
      </c>
      <c r="U32" t="str" s="8" cm="1">
        <f t="array" ref="U32">IF(ISNUMBER(O32),"ok","check")</f>
        <v>ok</v>
      </c>
    </row>
    <row r="33" ht="13.55" customHeight="1">
      <c r="A33" s="3">
        <v>17191</v>
      </c>
      <c r="B33" t="s" s="2">
        <v>25</v>
      </c>
      <c r="C33" t="str" s="8" cm="1">
        <f t="array" ref="C33">IF(B33="M","Married","Single")</f>
        <v>Single</v>
      </c>
      <c r="D33" t="s" s="2">
        <v>13</v>
      </c>
      <c r="E33" t="str" s="8" cm="1">
        <f t="array" ref="E33">IF(D33="M","Male",IF(D33="F","Female","Check"))</f>
        <v>Male</v>
      </c>
      <c r="F33" s="4">
        <v>130000</v>
      </c>
      <c r="G33" t="str" s="8" cm="1">
        <f t="array" ref="G33">IF(F33="","Check","okay")</f>
        <v>okay</v>
      </c>
      <c r="H33" s="3">
        <v>3</v>
      </c>
      <c r="I33" t="s" s="2">
        <v>21</v>
      </c>
      <c r="J33" t="s" s="2">
        <v>23</v>
      </c>
      <c r="K33" t="s" s="2">
        <v>20</v>
      </c>
      <c r="L33" s="3">
        <v>3</v>
      </c>
      <c r="M33" t="s" s="2">
        <v>18</v>
      </c>
      <c r="N33" t="s" s="2">
        <v>19</v>
      </c>
      <c r="O33" s="3">
        <v>51</v>
      </c>
      <c r="P33" t="str" s="8" cm="1">
        <f t="array" ref="P33">IF(O33="","check","Okay")</f>
        <v>Okay</v>
      </c>
      <c r="Q33" t="str" s="8" cm="1">
        <f t="array" ref="Q33">IF(O33&lt;30,"UNDER 30",IF(O33&lt;=50,"30-50","Over 50"))</f>
        <v>Over 50</v>
      </c>
      <c r="R33" t="s" s="2">
        <v>17</v>
      </c>
      <c r="S33" s="3" cm="1">
        <f t="array" ref="S33">COUNTIF(A2:A1001,A33)</f>
        <v>1</v>
      </c>
      <c r="T33" t="str" s="8" cm="1">
        <f t="array" ref="T33">IF(ISNUMBER(F33),"Ok","check")</f>
        <v>Ok</v>
      </c>
      <c r="U33" t="str" s="8" cm="1">
        <f t="array" ref="U33">IF(ISNUMBER(O33),"ok","check")</f>
        <v>ok</v>
      </c>
    </row>
    <row r="34" ht="13.55" customHeight="1">
      <c r="A34" s="3">
        <v>22821</v>
      </c>
      <c r="B34" t="s" s="2">
        <v>13</v>
      </c>
      <c r="C34" t="str" s="8" cm="1">
        <f t="array" ref="C34">IF(B34="M","Married","Single")</f>
        <v>Married</v>
      </c>
      <c r="D34" t="s" s="2">
        <v>14</v>
      </c>
      <c r="E34" t="str" s="8" cm="1">
        <f t="array" ref="E34">IF(D34="M","Male",IF(D34="F","Female","Check"))</f>
        <v>Female</v>
      </c>
      <c r="F34" s="4">
        <v>130000</v>
      </c>
      <c r="G34" t="str" s="8" cm="1">
        <f t="array" ref="G34">IF(F34="","Check","okay")</f>
        <v>okay</v>
      </c>
      <c r="H34" s="3">
        <v>3</v>
      </c>
      <c r="I34" t="s" s="2">
        <v>21</v>
      </c>
      <c r="J34" t="s" s="2">
        <v>23</v>
      </c>
      <c r="K34" t="s" s="2">
        <v>17</v>
      </c>
      <c r="L34" s="3">
        <v>4</v>
      </c>
      <c r="M34" t="s" s="2">
        <v>18</v>
      </c>
      <c r="N34" t="s" s="2">
        <v>19</v>
      </c>
      <c r="O34" s="3">
        <v>52</v>
      </c>
      <c r="P34" t="str" s="8" cm="1">
        <f t="array" ref="P34">IF(O34="","check","Okay")</f>
        <v>Okay</v>
      </c>
      <c r="Q34" t="str" s="8" cm="1">
        <f t="array" ref="Q34">IF(O34&lt;30,"UNDER 30",IF(O34&lt;=50,"30-50","Over 50"))</f>
        <v>Over 50</v>
      </c>
      <c r="R34" t="s" s="2">
        <v>20</v>
      </c>
      <c r="S34" s="3" cm="1">
        <f t="array" ref="S34">COUNTIF(A2:A1001,A34)</f>
        <v>1</v>
      </c>
      <c r="T34" t="str" s="8" cm="1">
        <f t="array" ref="T34">IF(ISNUMBER(F34),"Ok","check")</f>
        <v>Ok</v>
      </c>
      <c r="U34" t="str" s="8" cm="1">
        <f t="array" ref="U34">IF(ISNUMBER(O34),"ok","check")</f>
        <v>ok</v>
      </c>
    </row>
    <row r="35" ht="13.55" customHeight="1">
      <c r="A35" s="3">
        <v>24857</v>
      </c>
      <c r="B35" t="s" s="2">
        <v>13</v>
      </c>
      <c r="C35" t="str" s="8" cm="1">
        <f t="array" ref="C35">IF(B35="M","Married","Single")</f>
        <v>Married</v>
      </c>
      <c r="D35" t="s" s="2">
        <v>14</v>
      </c>
      <c r="E35" t="str" s="8" cm="1">
        <f t="array" ref="E35">IF(D35="M","Male",IF(D35="F","Female","Check"))</f>
        <v>Female</v>
      </c>
      <c r="F35" s="4">
        <v>130000</v>
      </c>
      <c r="G35" t="str" s="8" cm="1">
        <f t="array" ref="G35">IF(F35="","Check","okay")</f>
        <v>okay</v>
      </c>
      <c r="H35" s="3">
        <v>3</v>
      </c>
      <c r="I35" t="s" s="2">
        <v>30</v>
      </c>
      <c r="J35" t="s" s="2">
        <v>23</v>
      </c>
      <c r="K35" t="s" s="2">
        <v>17</v>
      </c>
      <c r="L35" s="3">
        <v>4</v>
      </c>
      <c r="M35" t="s" s="2">
        <v>18</v>
      </c>
      <c r="N35" t="s" s="2">
        <v>19</v>
      </c>
      <c r="O35" s="3">
        <v>52</v>
      </c>
      <c r="P35" t="str" s="8" cm="1">
        <f t="array" ref="P35">IF(O35="","check","Okay")</f>
        <v>Okay</v>
      </c>
      <c r="Q35" t="str" s="8" cm="1">
        <f t="array" ref="Q35">IF(O35&lt;30,"UNDER 30",IF(O35&lt;=50,"30-50","Over 50"))</f>
        <v>Over 50</v>
      </c>
      <c r="R35" t="s" s="2">
        <v>20</v>
      </c>
      <c r="S35" s="3" cm="1">
        <f t="array" ref="S35">COUNTIF(A2:A1001,A35)</f>
        <v>1</v>
      </c>
      <c r="T35" t="str" s="8" cm="1">
        <f t="array" ref="T35">IF(ISNUMBER(F35),"Ok","check")</f>
        <v>Ok</v>
      </c>
      <c r="U35" t="str" s="8" cm="1">
        <f t="array" ref="U35">IF(ISNUMBER(O35),"ok","check")</f>
        <v>ok</v>
      </c>
    </row>
    <row r="36" ht="13.55" customHeight="1">
      <c r="A36" s="3">
        <v>19066</v>
      </c>
      <c r="B36" t="s" s="2">
        <v>13</v>
      </c>
      <c r="C36" t="str" s="8" cm="1">
        <f t="array" ref="C36">IF(B36="M","Married","Single")</f>
        <v>Married</v>
      </c>
      <c r="D36" t="s" s="2">
        <v>13</v>
      </c>
      <c r="E36" t="str" s="8" cm="1">
        <f t="array" ref="E36">IF(D36="M","Male",IF(D36="F","Female","Check"))</f>
        <v>Male</v>
      </c>
      <c r="F36" s="4">
        <v>130000</v>
      </c>
      <c r="G36" t="str" s="8" cm="1">
        <f t="array" ref="G36">IF(F36="","Check","okay")</f>
        <v>okay</v>
      </c>
      <c r="H36" s="3">
        <v>4</v>
      </c>
      <c r="I36" t="s" s="2">
        <v>21</v>
      </c>
      <c r="J36" t="s" s="2">
        <v>23</v>
      </c>
      <c r="K36" t="s" s="2">
        <v>20</v>
      </c>
      <c r="L36" s="3">
        <v>3</v>
      </c>
      <c r="M36" t="s" s="2">
        <v>33</v>
      </c>
      <c r="N36" t="s" s="2">
        <v>19</v>
      </c>
      <c r="O36" s="3">
        <v>54</v>
      </c>
      <c r="P36" t="str" s="8" cm="1">
        <f t="array" ref="P36">IF(O36="","check","Okay")</f>
        <v>Okay</v>
      </c>
      <c r="Q36" t="str" s="8" cm="1">
        <f t="array" ref="Q36">IF(O36&lt;30,"UNDER 30",IF(O36&lt;=50,"30-50","Over 50"))</f>
        <v>Over 50</v>
      </c>
      <c r="R36" t="s" s="2">
        <v>20</v>
      </c>
      <c r="S36" s="3" cm="1">
        <f t="array" ref="S36">COUNTIF(A2:A1001,A36)</f>
        <v>1</v>
      </c>
      <c r="T36" t="str" s="8" cm="1">
        <f t="array" ref="T36">IF(ISNUMBER(F36),"Ok","check")</f>
        <v>Ok</v>
      </c>
      <c r="U36" t="str" s="8" cm="1">
        <f t="array" ref="U36">IF(ISNUMBER(O36),"ok","check")</f>
        <v>ok</v>
      </c>
    </row>
    <row r="37" ht="13.55" customHeight="1">
      <c r="A37" s="3">
        <v>18172</v>
      </c>
      <c r="B37" t="s" s="2">
        <v>13</v>
      </c>
      <c r="C37" t="str" s="8" cm="1">
        <f t="array" ref="C37">IF(B37="M","Married","Single")</f>
        <v>Married</v>
      </c>
      <c r="D37" t="s" s="2">
        <v>13</v>
      </c>
      <c r="E37" t="str" s="8" cm="1">
        <f t="array" ref="E37">IF(D37="M","Male",IF(D37="F","Female","Check"))</f>
        <v>Male</v>
      </c>
      <c r="F37" s="4">
        <v>130000</v>
      </c>
      <c r="G37" t="str" s="8" cm="1">
        <f t="array" ref="G37">IF(F37="","Check","okay")</f>
        <v>okay</v>
      </c>
      <c r="H37" s="3">
        <v>4</v>
      </c>
      <c r="I37" t="s" s="2">
        <v>30</v>
      </c>
      <c r="J37" t="s" s="2">
        <v>23</v>
      </c>
      <c r="K37" t="s" s="2">
        <v>17</v>
      </c>
      <c r="L37" s="3">
        <v>3</v>
      </c>
      <c r="M37" t="s" s="2">
        <v>18</v>
      </c>
      <c r="N37" t="s" s="2">
        <v>19</v>
      </c>
      <c r="O37" s="3">
        <v>55</v>
      </c>
      <c r="P37" t="str" s="8" cm="1">
        <f t="array" ref="P37">IF(O37="","check","Okay")</f>
        <v>Okay</v>
      </c>
      <c r="Q37" t="str" s="8" cm="1">
        <f t="array" ref="Q37">IF(O37&lt;30,"UNDER 30",IF(O37&lt;=50,"30-50","Over 50"))</f>
        <v>Over 50</v>
      </c>
      <c r="R37" t="s" s="2">
        <v>20</v>
      </c>
      <c r="S37" s="3" cm="1">
        <f t="array" ref="S37">COUNTIF(A2:A1001,A37)</f>
        <v>1</v>
      </c>
      <c r="T37" t="str" s="8" cm="1">
        <f t="array" ref="T37">IF(ISNUMBER(F37),"Ok","check")</f>
        <v>Ok</v>
      </c>
      <c r="U37" t="str" s="8" cm="1">
        <f t="array" ref="U37">IF(ISNUMBER(O37),"ok","check")</f>
        <v>ok</v>
      </c>
    </row>
    <row r="38" ht="13.55" customHeight="1">
      <c r="A38" s="3">
        <v>28918</v>
      </c>
      <c r="B38" t="s" s="2">
        <v>13</v>
      </c>
      <c r="C38" t="str" s="8" cm="1">
        <f t="array" ref="C38">IF(B38="M","Married","Single")</f>
        <v>Married</v>
      </c>
      <c r="D38" t="s" s="2">
        <v>14</v>
      </c>
      <c r="E38" t="str" s="8" cm="1">
        <f t="array" ref="E38">IF(D38="M","Male",IF(D38="F","Female","Check"))</f>
        <v>Female</v>
      </c>
      <c r="F38" s="4">
        <v>130000</v>
      </c>
      <c r="G38" t="str" s="8" cm="1">
        <f t="array" ref="G38">IF(F38="","Check","okay")</f>
        <v>okay</v>
      </c>
      <c r="H38" s="3">
        <v>4</v>
      </c>
      <c r="I38" t="s" s="2">
        <v>30</v>
      </c>
      <c r="J38" t="s" s="2">
        <v>31</v>
      </c>
      <c r="K38" t="s" s="2">
        <v>20</v>
      </c>
      <c r="L38" s="3">
        <v>4</v>
      </c>
      <c r="M38" t="s" s="2">
        <v>33</v>
      </c>
      <c r="N38" t="s" s="2">
        <v>19</v>
      </c>
      <c r="O38" s="3">
        <v>58</v>
      </c>
      <c r="P38" t="str" s="8" cm="1">
        <f t="array" ref="P38">IF(O38="","check","Okay")</f>
        <v>Okay</v>
      </c>
      <c r="Q38" t="str" s="8" cm="1">
        <f t="array" ref="Q38">IF(O38&lt;30,"UNDER 30",IF(O38&lt;=50,"30-50","Over 50"))</f>
        <v>Over 50</v>
      </c>
      <c r="R38" t="s" s="2">
        <v>20</v>
      </c>
      <c r="S38" s="3" cm="1">
        <f t="array" ref="S38">COUNTIF(A2:A1001,A38)</f>
        <v>1</v>
      </c>
      <c r="T38" t="str" s="8" cm="1">
        <f t="array" ref="T38">IF(ISNUMBER(F38),"Ok","check")</f>
        <v>Ok</v>
      </c>
      <c r="U38" t="str" s="8" cm="1">
        <f t="array" ref="U38">IF(ISNUMBER(O38),"ok","check")</f>
        <v>ok</v>
      </c>
    </row>
    <row r="39" ht="13.55" customHeight="1">
      <c r="A39" s="3">
        <v>12664</v>
      </c>
      <c r="B39" t="s" s="2">
        <v>13</v>
      </c>
      <c r="C39" t="str" s="8" cm="1">
        <f t="array" ref="C39">IF(B39="M","Married","Single")</f>
        <v>Married</v>
      </c>
      <c r="D39" t="s" s="2">
        <v>14</v>
      </c>
      <c r="E39" t="str" s="8" cm="1">
        <f t="array" ref="E39">IF(D39="M","Male",IF(D39="F","Female","Check"))</f>
        <v>Female</v>
      </c>
      <c r="F39" s="4">
        <v>130000</v>
      </c>
      <c r="G39" t="str" s="8" cm="1">
        <f t="array" ref="G39">IF(F39="","Check","okay")</f>
        <v>okay</v>
      </c>
      <c r="H39" s="3">
        <v>5</v>
      </c>
      <c r="I39" t="s" s="2">
        <v>21</v>
      </c>
      <c r="J39" t="s" s="2">
        <v>23</v>
      </c>
      <c r="K39" t="s" s="2">
        <v>17</v>
      </c>
      <c r="L39" s="3">
        <v>4</v>
      </c>
      <c r="M39" t="s" s="2">
        <v>18</v>
      </c>
      <c r="N39" t="s" s="2">
        <v>19</v>
      </c>
      <c r="O39" s="3">
        <v>59</v>
      </c>
      <c r="P39" t="str" s="8" cm="1">
        <f t="array" ref="P39">IF(O39="","check","Okay")</f>
        <v>Okay</v>
      </c>
      <c r="Q39" t="str" s="8" cm="1">
        <f t="array" ref="Q39">IF(O39&lt;30,"UNDER 30",IF(O39&lt;=50,"30-50","Over 50"))</f>
        <v>Over 50</v>
      </c>
      <c r="R39" t="s" s="2">
        <v>20</v>
      </c>
      <c r="S39" s="3" cm="1">
        <f t="array" ref="S39">COUNTIF(A2:A1001,A39)</f>
        <v>1</v>
      </c>
      <c r="T39" t="str" s="8" cm="1">
        <f t="array" ref="T39">IF(ISNUMBER(F39),"Ok","check")</f>
        <v>Ok</v>
      </c>
      <c r="U39" t="str" s="8" cm="1">
        <f t="array" ref="U39">IF(ISNUMBER(O39),"ok","check")</f>
        <v>ok</v>
      </c>
    </row>
    <row r="40" ht="13.55" customHeight="1">
      <c r="A40" s="3">
        <v>17203</v>
      </c>
      <c r="B40" t="s" s="2">
        <v>13</v>
      </c>
      <c r="C40" t="str" s="8" cm="1">
        <f t="array" ref="C40">IF(B40="M","Married","Single")</f>
        <v>Married</v>
      </c>
      <c r="D40" t="s" s="2">
        <v>14</v>
      </c>
      <c r="E40" t="str" s="8" cm="1">
        <f t="array" ref="E40">IF(D40="M","Male",IF(D40="F","Female","Check"))</f>
        <v>Female</v>
      </c>
      <c r="F40" s="4">
        <v>130000</v>
      </c>
      <c r="G40" t="str" s="8" cm="1">
        <f t="array" ref="G40">IF(F40="","Check","okay")</f>
        <v>okay</v>
      </c>
      <c r="H40" s="3">
        <v>4</v>
      </c>
      <c r="I40" t="s" s="2">
        <v>21</v>
      </c>
      <c r="J40" t="s" s="2">
        <v>23</v>
      </c>
      <c r="K40" t="s" s="2">
        <v>17</v>
      </c>
      <c r="L40" s="3">
        <v>4</v>
      </c>
      <c r="M40" t="s" s="2">
        <v>26</v>
      </c>
      <c r="N40" t="s" s="2">
        <v>19</v>
      </c>
      <c r="O40" s="3">
        <v>61</v>
      </c>
      <c r="P40" t="str" s="8" cm="1">
        <f t="array" ref="P40">IF(O40="","check","Okay")</f>
        <v>Okay</v>
      </c>
      <c r="Q40" t="str" s="8" cm="1">
        <f t="array" ref="Q40">IF(O40&lt;30,"UNDER 30",IF(O40&lt;=50,"30-50","Over 50"))</f>
        <v>Over 50</v>
      </c>
      <c r="R40" t="s" s="2">
        <v>17</v>
      </c>
      <c r="S40" s="3" cm="1">
        <f t="array" ref="S40">COUNTIF(A2:A1001,A40)</f>
        <v>1</v>
      </c>
      <c r="T40" t="str" s="8" cm="1">
        <f t="array" ref="T40">IF(ISNUMBER(F40),"Ok","check")</f>
        <v>Ok</v>
      </c>
      <c r="U40" t="str" s="8" cm="1">
        <f t="array" ref="U40">IF(ISNUMBER(O40),"ok","check")</f>
        <v>ok</v>
      </c>
    </row>
    <row r="41" ht="13.55" customHeight="1">
      <c r="A41" s="3">
        <v>20567</v>
      </c>
      <c r="B41" t="s" s="2">
        <v>13</v>
      </c>
      <c r="C41" t="str" s="8" cm="1">
        <f t="array" ref="C41">IF(B41="M","Married","Single")</f>
        <v>Married</v>
      </c>
      <c r="D41" t="s" s="2">
        <v>13</v>
      </c>
      <c r="E41" t="str" s="8" cm="1">
        <f t="array" ref="E41">IF(D41="M","Male",IF(D41="F","Female","Check"))</f>
        <v>Male</v>
      </c>
      <c r="F41" s="4">
        <v>130000</v>
      </c>
      <c r="G41" t="str" s="8" cm="1">
        <f t="array" ref="G41">IF(F41="","Check","okay")</f>
        <v>okay</v>
      </c>
      <c r="H41" s="3">
        <v>4</v>
      </c>
      <c r="I41" t="s" s="2">
        <v>21</v>
      </c>
      <c r="J41" t="s" s="2">
        <v>23</v>
      </c>
      <c r="K41" t="s" s="2">
        <v>20</v>
      </c>
      <c r="L41" s="3">
        <v>4</v>
      </c>
      <c r="M41" t="s" s="2">
        <v>26</v>
      </c>
      <c r="N41" t="s" s="2">
        <v>19</v>
      </c>
      <c r="O41" s="3">
        <v>61</v>
      </c>
      <c r="P41" t="str" s="8" cm="1">
        <f t="array" ref="P41">IF(O41="","check","Okay")</f>
        <v>Okay</v>
      </c>
      <c r="Q41" t="str" s="8" cm="1">
        <f t="array" ref="Q41">IF(O41&lt;30,"UNDER 30",IF(O41&lt;=50,"30-50","Over 50"))</f>
        <v>Over 50</v>
      </c>
      <c r="R41" t="s" s="2">
        <v>17</v>
      </c>
      <c r="S41" s="3" cm="1">
        <f t="array" ref="S41">COUNTIF(A2:A1001,A41)</f>
        <v>1</v>
      </c>
      <c r="T41" t="str" s="8" cm="1">
        <f t="array" ref="T41">IF(ISNUMBER(F41),"Ok","check")</f>
        <v>Ok</v>
      </c>
      <c r="U41" t="str" s="8" cm="1">
        <f t="array" ref="U41">IF(ISNUMBER(O41),"ok","check")</f>
        <v>ok</v>
      </c>
    </row>
    <row r="42" ht="13.55" customHeight="1">
      <c r="A42" s="3">
        <v>12205</v>
      </c>
      <c r="B42" t="s" s="2">
        <v>25</v>
      </c>
      <c r="C42" t="str" s="8" cm="1">
        <f t="array" ref="C42">IF(B42="M","Married","Single")</f>
        <v>Single</v>
      </c>
      <c r="D42" t="s" s="2">
        <v>14</v>
      </c>
      <c r="E42" t="str" s="8" cm="1">
        <f t="array" ref="E42">IF(D42="M","Male",IF(D42="F","Female","Check"))</f>
        <v>Female</v>
      </c>
      <c r="F42" s="4">
        <v>130000</v>
      </c>
      <c r="G42" t="str" s="8" cm="1">
        <f t="array" ref="G42">IF(F42="","Check","okay")</f>
        <v>okay</v>
      </c>
      <c r="H42" s="3">
        <v>2</v>
      </c>
      <c r="I42" t="s" s="2">
        <v>15</v>
      </c>
      <c r="J42" t="s" s="2">
        <v>31</v>
      </c>
      <c r="K42" t="s" s="2">
        <v>20</v>
      </c>
      <c r="L42" s="3">
        <v>4</v>
      </c>
      <c r="M42" t="s" s="2">
        <v>18</v>
      </c>
      <c r="N42" t="s" s="2">
        <v>35</v>
      </c>
      <c r="O42" s="3">
        <v>67</v>
      </c>
      <c r="P42" t="str" s="8" cm="1">
        <f t="array" ref="P42">IF(O42="","check","Okay")</f>
        <v>Okay</v>
      </c>
      <c r="Q42" t="str" s="8" cm="1">
        <f t="array" ref="Q42">IF(O42&lt;30,"UNDER 30",IF(O42&lt;=50,"30-50","Over 50"))</f>
        <v>Over 50</v>
      </c>
      <c r="R42" t="s" s="2">
        <v>20</v>
      </c>
      <c r="S42" s="3" cm="1">
        <f t="array" ref="S42">COUNTIF(A2:A1001,A42)</f>
        <v>1</v>
      </c>
      <c r="T42" t="str" s="8" cm="1">
        <f t="array" ref="T42">IF(ISNUMBER(F42),"Ok","check")</f>
        <v>Ok</v>
      </c>
      <c r="U42" t="str" s="8" cm="1">
        <f t="array" ref="U42">IF(ISNUMBER(O42),"ok","check")</f>
        <v>ok</v>
      </c>
    </row>
    <row r="43" ht="13.55" customHeight="1">
      <c r="A43" s="3">
        <v>15412</v>
      </c>
      <c r="B43" t="s" s="2">
        <v>13</v>
      </c>
      <c r="C43" t="str" s="8" cm="1">
        <f t="array" ref="C43">IF(B43="M","Married","Single")</f>
        <v>Married</v>
      </c>
      <c r="D43" t="s" s="2">
        <v>13</v>
      </c>
      <c r="E43" t="str" s="8" cm="1">
        <f t="array" ref="E43">IF(D43="M","Male",IF(D43="F","Female","Check"))</f>
        <v>Male</v>
      </c>
      <c r="F43" s="4">
        <v>130000</v>
      </c>
      <c r="G43" t="str" s="8" cm="1">
        <f t="array" ref="G43">IF(F43="","Check","okay")</f>
        <v>okay</v>
      </c>
      <c r="H43" s="3">
        <v>2</v>
      </c>
      <c r="I43" t="s" s="2">
        <v>34</v>
      </c>
      <c r="J43" t="s" s="2">
        <v>31</v>
      </c>
      <c r="K43" t="s" s="2">
        <v>17</v>
      </c>
      <c r="L43" s="3">
        <v>3</v>
      </c>
      <c r="M43" t="s" s="2">
        <v>24</v>
      </c>
      <c r="N43" t="s" s="2">
        <v>35</v>
      </c>
      <c r="O43" s="3">
        <v>69</v>
      </c>
      <c r="P43" t="str" s="8" cm="1">
        <f t="array" ref="P43">IF(O43="","check","Okay")</f>
        <v>Okay</v>
      </c>
      <c r="Q43" t="str" s="8" cm="1">
        <f t="array" ref="Q43">IF(O43&lt;30,"UNDER 30",IF(O43&lt;=50,"30-50","Over 50"))</f>
        <v>Over 50</v>
      </c>
      <c r="R43" t="s" s="2">
        <v>20</v>
      </c>
      <c r="S43" s="3" cm="1">
        <f t="array" ref="S43">COUNTIF(A2:A1001,A43)</f>
        <v>1</v>
      </c>
      <c r="T43" t="str" s="8" cm="1">
        <f t="array" ref="T43">IF(ISNUMBER(F43),"Ok","check")</f>
        <v>Ok</v>
      </c>
      <c r="U43" t="str" s="8" cm="1">
        <f t="array" ref="U43">IF(ISNUMBER(O43),"ok","check")</f>
        <v>ok</v>
      </c>
    </row>
    <row r="44" ht="13.55" customHeight="1">
      <c r="A44" s="3">
        <v>21560</v>
      </c>
      <c r="B44" t="s" s="2">
        <v>13</v>
      </c>
      <c r="C44" t="str" s="8" cm="1">
        <f t="array" ref="C44">IF(B44="M","Married","Single")</f>
        <v>Married</v>
      </c>
      <c r="D44" t="s" s="2">
        <v>13</v>
      </c>
      <c r="E44" t="str" s="8" cm="1">
        <f t="array" ref="E44">IF(D44="M","Male",IF(D44="F","Female","Check"))</f>
        <v>Male</v>
      </c>
      <c r="F44" s="4">
        <v>120000</v>
      </c>
      <c r="G44" t="str" s="8" cm="1">
        <f t="array" ref="G44">IF(F44="","Check","okay")</f>
        <v>okay</v>
      </c>
      <c r="H44" s="3">
        <v>0</v>
      </c>
      <c r="I44" t="s" s="2">
        <v>32</v>
      </c>
      <c r="J44" t="s" s="2">
        <v>23</v>
      </c>
      <c r="K44" t="s" s="2">
        <v>17</v>
      </c>
      <c r="L44" s="3">
        <v>4</v>
      </c>
      <c r="M44" t="s" s="2">
        <v>33</v>
      </c>
      <c r="N44" t="s" s="2">
        <v>27</v>
      </c>
      <c r="O44" s="3">
        <v>32</v>
      </c>
      <c r="P44" t="str" s="8" cm="1">
        <f t="array" ref="P44">IF(O44="","check","Okay")</f>
        <v>Okay</v>
      </c>
      <c r="Q44" t="str" s="8" cm="1">
        <f t="array" ref="Q44">IF(O44&lt;30,"UNDER 30",IF(O44&lt;=50,"30-50","Over 50"))</f>
        <v>30-50</v>
      </c>
      <c r="R44" t="s" s="2">
        <v>17</v>
      </c>
      <c r="S44" s="3" cm="1">
        <f t="array" ref="S44">COUNTIF(A2:A1001,A44)</f>
        <v>1</v>
      </c>
      <c r="T44" t="str" s="8" cm="1">
        <f t="array" ref="T44">IF(ISNUMBER(F44),"Ok","check")</f>
        <v>Ok</v>
      </c>
      <c r="U44" t="str" s="8" cm="1">
        <f t="array" ref="U44">IF(ISNUMBER(O44),"ok","check")</f>
        <v>ok</v>
      </c>
    </row>
    <row r="45" ht="13.55" customHeight="1">
      <c r="A45" s="3">
        <v>28957</v>
      </c>
      <c r="B45" t="s" s="2">
        <v>25</v>
      </c>
      <c r="C45" t="str" s="8" cm="1">
        <f t="array" ref="C45">IF(B45="M","Married","Single")</f>
        <v>Single</v>
      </c>
      <c r="D45" t="s" s="2">
        <v>14</v>
      </c>
      <c r="E45" t="str" s="8" cm="1">
        <f t="array" ref="E45">IF(D45="M","Male",IF(D45="F","Female","Check"))</f>
        <v>Female</v>
      </c>
      <c r="F45" s="4">
        <v>120000</v>
      </c>
      <c r="G45" t="str" s="8" cm="1">
        <f t="array" ref="G45">IF(F45="","Check","okay")</f>
        <v>okay</v>
      </c>
      <c r="H45" s="3">
        <v>0</v>
      </c>
      <c r="I45" t="s" s="2">
        <v>32</v>
      </c>
      <c r="J45" t="s" s="2">
        <v>23</v>
      </c>
      <c r="K45" t="s" s="2">
        <v>17</v>
      </c>
      <c r="L45" s="3">
        <v>4</v>
      </c>
      <c r="M45" t="s" s="2">
        <v>33</v>
      </c>
      <c r="N45" t="s" s="2">
        <v>27</v>
      </c>
      <c r="O45" s="3">
        <v>34</v>
      </c>
      <c r="P45" t="str" s="8" cm="1">
        <f t="array" ref="P45">IF(O45="","check","Okay")</f>
        <v>Okay</v>
      </c>
      <c r="Q45" t="str" s="8" cm="1">
        <f t="array" ref="Q45">IF(O45&lt;30,"UNDER 30",IF(O45&lt;=50,"30-50","Over 50"))</f>
        <v>30-50</v>
      </c>
      <c r="R45" t="s" s="2">
        <v>17</v>
      </c>
      <c r="S45" s="3" cm="1">
        <f t="array" ref="S45">COUNTIF(A2:A1001,A45)</f>
        <v>1</v>
      </c>
      <c r="T45" t="str" s="8" cm="1">
        <f t="array" ref="T45">IF(ISNUMBER(F45),"Ok","check")</f>
        <v>Ok</v>
      </c>
      <c r="U45" t="str" s="8" cm="1">
        <f t="array" ref="U45">IF(ISNUMBER(O45),"ok","check")</f>
        <v>ok</v>
      </c>
    </row>
    <row r="46" ht="13.55" customHeight="1">
      <c r="A46" s="3">
        <v>14238</v>
      </c>
      <c r="B46" t="s" s="2">
        <v>13</v>
      </c>
      <c r="C46" t="str" s="8" cm="1">
        <f t="array" ref="C46">IF(B46="M","Married","Single")</f>
        <v>Married</v>
      </c>
      <c r="D46" t="s" s="2">
        <v>13</v>
      </c>
      <c r="E46" t="str" s="8" cm="1">
        <f t="array" ref="E46">IF(D46="M","Male",IF(D46="F","Female","Check"))</f>
        <v>Male</v>
      </c>
      <c r="F46" s="4">
        <v>120000</v>
      </c>
      <c r="G46" t="str" s="8" cm="1">
        <f t="array" ref="G46">IF(F46="","Check","okay")</f>
        <v>okay</v>
      </c>
      <c r="H46" s="3">
        <v>0</v>
      </c>
      <c r="I46" t="s" s="2">
        <v>32</v>
      </c>
      <c r="J46" t="s" s="2">
        <v>23</v>
      </c>
      <c r="K46" t="s" s="2">
        <v>17</v>
      </c>
      <c r="L46" s="3">
        <v>4</v>
      </c>
      <c r="M46" t="s" s="2">
        <v>33</v>
      </c>
      <c r="N46" t="s" s="2">
        <v>27</v>
      </c>
      <c r="O46" s="3">
        <v>36</v>
      </c>
      <c r="P46" t="str" s="8" cm="1">
        <f t="array" ref="P46">IF(O46="","check","Okay")</f>
        <v>Okay</v>
      </c>
      <c r="Q46" t="str" s="8" cm="1">
        <f t="array" ref="Q46">IF(O46&lt;30,"UNDER 30",IF(O46&lt;=50,"30-50","Over 50"))</f>
        <v>30-50</v>
      </c>
      <c r="R46" t="s" s="2">
        <v>17</v>
      </c>
      <c r="S46" s="3" cm="1">
        <f t="array" ref="S46">COUNTIF(A2:A1001,A46)</f>
        <v>1</v>
      </c>
      <c r="T46" t="str" s="8" cm="1">
        <f t="array" ref="T46">IF(ISNUMBER(F46),"Ok","check")</f>
        <v>Ok</v>
      </c>
      <c r="U46" t="str" s="8" cm="1">
        <f t="array" ref="U46">IF(ISNUMBER(O46),"ok","check")</f>
        <v>ok</v>
      </c>
    </row>
    <row r="47" ht="13.55" customHeight="1">
      <c r="A47" s="3">
        <v>16917</v>
      </c>
      <c r="B47" t="s" s="2">
        <v>13</v>
      </c>
      <c r="C47" t="str" s="8" cm="1">
        <f t="array" ref="C47">IF(B47="M","Married","Single")</f>
        <v>Married</v>
      </c>
      <c r="D47" t="s" s="2">
        <v>13</v>
      </c>
      <c r="E47" t="str" s="8" cm="1">
        <f t="array" ref="E47">IF(D47="M","Male",IF(D47="F","Female","Check"))</f>
        <v>Male</v>
      </c>
      <c r="F47" s="4">
        <v>120000</v>
      </c>
      <c r="G47" t="str" s="8" cm="1">
        <f t="array" ref="G47">IF(F47="","Check","okay")</f>
        <v>okay</v>
      </c>
      <c r="H47" s="3">
        <v>1</v>
      </c>
      <c r="I47" t="s" s="2">
        <v>15</v>
      </c>
      <c r="J47" t="s" s="2">
        <v>31</v>
      </c>
      <c r="K47" t="s" s="2">
        <v>17</v>
      </c>
      <c r="L47" s="3">
        <v>4</v>
      </c>
      <c r="M47" t="s" s="2">
        <v>18</v>
      </c>
      <c r="N47" t="s" s="2">
        <v>35</v>
      </c>
      <c r="O47" s="3">
        <v>38</v>
      </c>
      <c r="P47" t="str" s="8" cm="1">
        <f t="array" ref="P47">IF(O47="","check","Okay")</f>
        <v>Okay</v>
      </c>
      <c r="Q47" t="str" s="8" cm="1">
        <f t="array" ref="Q47">IF(O47&lt;30,"UNDER 30",IF(O47&lt;=50,"30-50","Over 50"))</f>
        <v>30-50</v>
      </c>
      <c r="R47" t="s" s="2">
        <v>20</v>
      </c>
      <c r="S47" s="3" cm="1">
        <f t="array" ref="S47">COUNTIF(A2:A1001,A47)</f>
        <v>1</v>
      </c>
      <c r="T47" t="str" s="8" cm="1">
        <f t="array" ref="T47">IF(ISNUMBER(F47),"Ok","check")</f>
        <v>Ok</v>
      </c>
      <c r="U47" t="str" s="8" cm="1">
        <f t="array" ref="U47">IF(ISNUMBER(O47),"ok","check")</f>
        <v>ok</v>
      </c>
    </row>
    <row r="48" ht="13.55" customHeight="1">
      <c r="A48" s="3">
        <v>15194</v>
      </c>
      <c r="B48" t="s" s="2">
        <v>25</v>
      </c>
      <c r="C48" t="str" s="8" cm="1">
        <f t="array" ref="C48">IF(B48="M","Married","Single")</f>
        <v>Single</v>
      </c>
      <c r="D48" t="s" s="2">
        <v>13</v>
      </c>
      <c r="E48" t="str" s="8" cm="1">
        <f t="array" ref="E48">IF(D48="M","Male",IF(D48="F","Female","Check"))</f>
        <v>Male</v>
      </c>
      <c r="F48" s="4">
        <v>120000</v>
      </c>
      <c r="G48" t="str" s="8" cm="1">
        <f t="array" ref="G48">IF(F48="","Check","okay")</f>
        <v>okay</v>
      </c>
      <c r="H48" s="3">
        <v>2</v>
      </c>
      <c r="I48" t="s" s="2">
        <v>15</v>
      </c>
      <c r="J48" t="s" s="2">
        <v>31</v>
      </c>
      <c r="K48" t="s" s="2">
        <v>20</v>
      </c>
      <c r="L48" s="3">
        <v>3</v>
      </c>
      <c r="M48" t="s" s="2">
        <v>18</v>
      </c>
      <c r="N48" t="s" s="2">
        <v>35</v>
      </c>
      <c r="O48" s="3">
        <v>39</v>
      </c>
      <c r="P48" t="str" s="8" cm="1">
        <f t="array" ref="P48">IF(O48="","check","Okay")</f>
        <v>Okay</v>
      </c>
      <c r="Q48" t="str" s="8" cm="1">
        <f t="array" ref="Q48">IF(O48&lt;30,"UNDER 30",IF(O48&lt;=50,"30-50","Over 50"))</f>
        <v>30-50</v>
      </c>
      <c r="R48" t="s" s="2">
        <v>17</v>
      </c>
      <c r="S48" s="3" cm="1">
        <f t="array" ref="S48">COUNTIF(A2:A1001,A48)</f>
        <v>1</v>
      </c>
      <c r="T48" t="str" s="8" cm="1">
        <f t="array" ref="T48">IF(ISNUMBER(F48),"Ok","check")</f>
        <v>Ok</v>
      </c>
      <c r="U48" t="str" s="8" cm="1">
        <f t="array" ref="U48">IF(ISNUMBER(O48),"ok","check")</f>
        <v>ok</v>
      </c>
    </row>
    <row r="49" ht="13.55" customHeight="1">
      <c r="A49" s="3">
        <v>19280</v>
      </c>
      <c r="B49" t="s" s="2">
        <v>13</v>
      </c>
      <c r="C49" t="str" s="8" cm="1">
        <f t="array" ref="C49">IF(B49="M","Married","Single")</f>
        <v>Married</v>
      </c>
      <c r="D49" t="s" s="2">
        <v>13</v>
      </c>
      <c r="E49" t="str" s="8" cm="1">
        <f t="array" ref="E49">IF(D49="M","Male",IF(D49="F","Female","Check"))</f>
        <v>Male</v>
      </c>
      <c r="F49" s="4">
        <v>120000</v>
      </c>
      <c r="G49" t="str" s="8" cm="1">
        <f t="array" ref="G49">IF(F49="","Check","okay")</f>
        <v>okay</v>
      </c>
      <c r="H49" s="3">
        <v>2</v>
      </c>
      <c r="I49" t="s" s="2">
        <v>21</v>
      </c>
      <c r="J49" t="s" s="2">
        <v>28</v>
      </c>
      <c r="K49" t="s" s="2">
        <v>17</v>
      </c>
      <c r="L49" s="3">
        <v>1</v>
      </c>
      <c r="M49" t="s" s="2">
        <v>18</v>
      </c>
      <c r="N49" t="s" s="2">
        <v>19</v>
      </c>
      <c r="O49" s="3">
        <v>40</v>
      </c>
      <c r="P49" t="str" s="8" cm="1">
        <f t="array" ref="P49">IF(O49="","check","Okay")</f>
        <v>Okay</v>
      </c>
      <c r="Q49" t="str" s="8" cm="1">
        <f t="array" ref="Q49">IF(O49&lt;30,"UNDER 30",IF(O49&lt;=50,"30-50","Over 50"))</f>
        <v>30-50</v>
      </c>
      <c r="R49" t="s" s="2">
        <v>17</v>
      </c>
      <c r="S49" s="3" cm="1">
        <f t="array" ref="S49">COUNTIF(A2:A1001,A49)</f>
        <v>1</v>
      </c>
      <c r="T49" t="str" s="8" cm="1">
        <f t="array" ref="T49">IF(ISNUMBER(F49),"Ok","check")</f>
        <v>Ok</v>
      </c>
      <c r="U49" t="str" s="8" cm="1">
        <f t="array" ref="U49">IF(ISNUMBER(O49),"ok","check")</f>
        <v>ok</v>
      </c>
    </row>
    <row r="50" ht="13.55" customHeight="1">
      <c r="A50" s="3">
        <v>24397</v>
      </c>
      <c r="B50" t="s" s="2">
        <v>25</v>
      </c>
      <c r="C50" t="str" s="8" cm="1">
        <f t="array" ref="C50">IF(B50="M","Married","Single")</f>
        <v>Single</v>
      </c>
      <c r="D50" t="s" s="2">
        <v>13</v>
      </c>
      <c r="E50" t="str" s="8" cm="1">
        <f t="array" ref="E50">IF(D50="M","Male",IF(D50="F","Female","Check"))</f>
        <v>Male</v>
      </c>
      <c r="F50" s="4">
        <v>120000</v>
      </c>
      <c r="G50" t="str" s="8" cm="1">
        <f t="array" ref="G50">IF(F50="","Check","okay")</f>
        <v>okay</v>
      </c>
      <c r="H50" s="3">
        <v>2</v>
      </c>
      <c r="I50" t="s" s="2">
        <v>15</v>
      </c>
      <c r="J50" t="s" s="2">
        <v>31</v>
      </c>
      <c r="K50" t="s" s="2">
        <v>20</v>
      </c>
      <c r="L50" s="3">
        <v>4</v>
      </c>
      <c r="M50" t="s" s="2">
        <v>29</v>
      </c>
      <c r="N50" t="s" s="2">
        <v>35</v>
      </c>
      <c r="O50" s="3">
        <v>40</v>
      </c>
      <c r="P50" t="str" s="8" cm="1">
        <f t="array" ref="P50">IF(O50="","check","Okay")</f>
        <v>Okay</v>
      </c>
      <c r="Q50" t="str" s="8" cm="1">
        <f t="array" ref="Q50">IF(O50&lt;30,"UNDER 30",IF(O50&lt;=50,"30-50","Over 50"))</f>
        <v>30-50</v>
      </c>
      <c r="R50" t="s" s="2">
        <v>20</v>
      </c>
      <c r="S50" s="3" cm="1">
        <f t="array" ref="S50">COUNTIF(A2:A1001,A50)</f>
        <v>1</v>
      </c>
      <c r="T50" t="str" s="8" cm="1">
        <f t="array" ref="T50">IF(ISNUMBER(F50),"Ok","check")</f>
        <v>Ok</v>
      </c>
      <c r="U50" t="str" s="8" cm="1">
        <f t="array" ref="U50">IF(ISNUMBER(O50),"ok","check")</f>
        <v>ok</v>
      </c>
    </row>
    <row r="51" ht="13.55" customHeight="1">
      <c r="A51" s="3">
        <v>29237</v>
      </c>
      <c r="B51" t="s" s="2">
        <v>25</v>
      </c>
      <c r="C51" t="str" s="8" cm="1">
        <f t="array" ref="C51">IF(B51="M","Married","Single")</f>
        <v>Single</v>
      </c>
      <c r="D51" t="s" s="2">
        <v>14</v>
      </c>
      <c r="E51" t="str" s="8" cm="1">
        <f t="array" ref="E51">IF(D51="M","Male",IF(D51="F","Female","Check"))</f>
        <v>Female</v>
      </c>
      <c r="F51" s="4">
        <v>120000</v>
      </c>
      <c r="G51" t="str" s="8" cm="1">
        <f t="array" ref="G51">IF(F51="","Check","okay")</f>
        <v>okay</v>
      </c>
      <c r="H51" s="3">
        <v>4</v>
      </c>
      <c r="I51" t="s" s="2">
        <v>21</v>
      </c>
      <c r="J51" t="s" s="2">
        <v>23</v>
      </c>
      <c r="K51" t="s" s="2">
        <v>17</v>
      </c>
      <c r="L51" s="3">
        <v>3</v>
      </c>
      <c r="M51" t="s" s="2">
        <v>26</v>
      </c>
      <c r="N51" t="s" s="2">
        <v>35</v>
      </c>
      <c r="O51" s="3">
        <v>43</v>
      </c>
      <c r="P51" t="str" s="8" cm="1">
        <f t="array" ref="P51">IF(O51="","check","Okay")</f>
        <v>Okay</v>
      </c>
      <c r="Q51" t="str" s="8" cm="1">
        <f t="array" ref="Q51">IF(O51&lt;30,"UNDER 30",IF(O51&lt;=50,"30-50","Over 50"))</f>
        <v>30-50</v>
      </c>
      <c r="R51" t="s" s="2">
        <v>17</v>
      </c>
      <c r="S51" s="3" cm="1">
        <f t="array" ref="S51">COUNTIF(A2:A1001,A51)</f>
        <v>1</v>
      </c>
      <c r="T51" t="str" s="8" cm="1">
        <f t="array" ref="T51">IF(ISNUMBER(F51),"Ok","check")</f>
        <v>Ok</v>
      </c>
      <c r="U51" t="str" s="8" cm="1">
        <f t="array" ref="U51">IF(ISNUMBER(O51),"ok","check")</f>
        <v>ok</v>
      </c>
    </row>
    <row r="52" ht="13.55" customHeight="1">
      <c r="A52" s="3">
        <v>13313</v>
      </c>
      <c r="B52" t="s" s="2">
        <v>13</v>
      </c>
      <c r="C52" t="str" s="8" cm="1">
        <f t="array" ref="C52">IF(B52="M","Married","Single")</f>
        <v>Married</v>
      </c>
      <c r="D52" t="s" s="2">
        <v>14</v>
      </c>
      <c r="E52" t="str" s="8" cm="1">
        <f t="array" ref="E52">IF(D52="M","Male",IF(D52="F","Female","Check"))</f>
        <v>Female</v>
      </c>
      <c r="F52" s="4">
        <v>120000</v>
      </c>
      <c r="G52" t="str" s="8" cm="1">
        <f t="array" ref="G52">IF(F52="","Check","okay")</f>
        <v>okay</v>
      </c>
      <c r="H52" s="3">
        <v>1</v>
      </c>
      <c r="I52" t="s" s="2">
        <v>30</v>
      </c>
      <c r="J52" t="s" s="2">
        <v>23</v>
      </c>
      <c r="K52" t="s" s="2">
        <v>20</v>
      </c>
      <c r="L52" s="3">
        <v>4</v>
      </c>
      <c r="M52" t="s" s="2">
        <v>24</v>
      </c>
      <c r="N52" t="s" s="2">
        <v>35</v>
      </c>
      <c r="O52" s="3">
        <v>45</v>
      </c>
      <c r="P52" t="str" s="8" cm="1">
        <f t="array" ref="P52">IF(O52="","check","Okay")</f>
        <v>Okay</v>
      </c>
      <c r="Q52" t="str" s="8" cm="1">
        <f t="array" ref="Q52">IF(O52&lt;30,"UNDER 30",IF(O52&lt;=50,"30-50","Over 50"))</f>
        <v>30-50</v>
      </c>
      <c r="R52" t="s" s="2">
        <v>20</v>
      </c>
      <c r="S52" s="3" cm="1">
        <f t="array" ref="S52">COUNTIF(A2:A1001,A52)</f>
        <v>1</v>
      </c>
      <c r="T52" t="str" s="8" cm="1">
        <f t="array" ref="T52">IF(ISNUMBER(F52),"Ok","check")</f>
        <v>Ok</v>
      </c>
      <c r="U52" t="str" s="8" cm="1">
        <f t="array" ref="U52">IF(ISNUMBER(O52),"ok","check")</f>
        <v>ok</v>
      </c>
    </row>
    <row r="53" ht="13.55" customHeight="1">
      <c r="A53" s="3">
        <v>13089</v>
      </c>
      <c r="B53" t="s" s="2">
        <v>13</v>
      </c>
      <c r="C53" t="str" s="8" cm="1">
        <f t="array" ref="C53">IF(B53="M","Married","Single")</f>
        <v>Married</v>
      </c>
      <c r="D53" t="s" s="2">
        <v>14</v>
      </c>
      <c r="E53" t="str" s="8" cm="1">
        <f t="array" ref="E53">IF(D53="M","Male",IF(D53="F","Female","Check"))</f>
        <v>Female</v>
      </c>
      <c r="F53" s="4">
        <v>120000</v>
      </c>
      <c r="G53" t="str" s="8" cm="1">
        <f t="array" ref="G53">IF(F53="","Check","okay")</f>
        <v>okay</v>
      </c>
      <c r="H53" s="3">
        <v>1</v>
      </c>
      <c r="I53" t="s" s="2">
        <v>15</v>
      </c>
      <c r="J53" t="s" s="2">
        <v>31</v>
      </c>
      <c r="K53" t="s" s="2">
        <v>17</v>
      </c>
      <c r="L53" s="3">
        <v>2</v>
      </c>
      <c r="M53" t="s" s="2">
        <v>18</v>
      </c>
      <c r="N53" t="s" s="2">
        <v>27</v>
      </c>
      <c r="O53" s="3">
        <v>46</v>
      </c>
      <c r="P53" t="str" s="8" cm="1">
        <f t="array" ref="P53">IF(O53="","check","Okay")</f>
        <v>Okay</v>
      </c>
      <c r="Q53" t="str" s="8" cm="1">
        <f t="array" ref="Q53">IF(O53&lt;30,"UNDER 30",IF(O53&lt;=50,"30-50","Over 50"))</f>
        <v>30-50</v>
      </c>
      <c r="R53" t="s" s="2">
        <v>17</v>
      </c>
      <c r="S53" s="3" cm="1">
        <f t="array" ref="S53">COUNTIF(A2:A1001,A53)</f>
        <v>1</v>
      </c>
      <c r="T53" t="str" s="8" cm="1">
        <f t="array" ref="T53">IF(ISNUMBER(F53),"Ok","check")</f>
        <v>Ok</v>
      </c>
      <c r="U53" t="str" s="8" cm="1">
        <f t="array" ref="U53">IF(ISNUMBER(O53),"ok","check")</f>
        <v>ok</v>
      </c>
    </row>
    <row r="54" ht="13.55" customHeight="1">
      <c r="A54" s="3">
        <v>13314</v>
      </c>
      <c r="B54" t="s" s="2">
        <v>13</v>
      </c>
      <c r="C54" t="str" s="8" cm="1">
        <f t="array" ref="C54">IF(B54="M","Married","Single")</f>
        <v>Married</v>
      </c>
      <c r="D54" t="s" s="2">
        <v>13</v>
      </c>
      <c r="E54" t="str" s="8" cm="1">
        <f t="array" ref="E54">IF(D54="M","Male",IF(D54="F","Female","Check"))</f>
        <v>Male</v>
      </c>
      <c r="F54" s="4">
        <v>120000</v>
      </c>
      <c r="G54" t="str" s="8" cm="1">
        <f t="array" ref="G54">IF(F54="","Check","okay")</f>
        <v>okay</v>
      </c>
      <c r="H54" s="3">
        <v>1</v>
      </c>
      <c r="I54" t="s" s="2">
        <v>30</v>
      </c>
      <c r="J54" t="s" s="2">
        <v>23</v>
      </c>
      <c r="K54" t="s" s="2">
        <v>17</v>
      </c>
      <c r="L54" s="3">
        <v>4</v>
      </c>
      <c r="M54" t="s" s="2">
        <v>26</v>
      </c>
      <c r="N54" t="s" s="2">
        <v>35</v>
      </c>
      <c r="O54" s="3">
        <v>46</v>
      </c>
      <c r="P54" t="str" s="8" cm="1">
        <f t="array" ref="P54">IF(O54="","check","Okay")</f>
        <v>Okay</v>
      </c>
      <c r="Q54" t="str" s="8" cm="1">
        <f t="array" ref="Q54">IF(O54&lt;30,"UNDER 30",IF(O54&lt;=50,"30-50","Over 50"))</f>
        <v>30-50</v>
      </c>
      <c r="R54" t="s" s="2">
        <v>17</v>
      </c>
      <c r="S54" s="3" cm="1">
        <f t="array" ref="S54">COUNTIF(A2:A1001,A54)</f>
        <v>1</v>
      </c>
      <c r="T54" t="str" s="8" cm="1">
        <f t="array" ref="T54">IF(ISNUMBER(F54),"Ok","check")</f>
        <v>Ok</v>
      </c>
      <c r="U54" t="str" s="8" cm="1">
        <f t="array" ref="U54">IF(ISNUMBER(O54),"ok","check")</f>
        <v>ok</v>
      </c>
    </row>
    <row r="55" ht="13.55" customHeight="1">
      <c r="A55" s="3">
        <v>17522</v>
      </c>
      <c r="B55" t="s" s="2">
        <v>13</v>
      </c>
      <c r="C55" t="str" s="8" cm="1">
        <f t="array" ref="C55">IF(B55="M","Married","Single")</f>
        <v>Married</v>
      </c>
      <c r="D55" t="s" s="2">
        <v>13</v>
      </c>
      <c r="E55" t="str" s="8" cm="1">
        <f t="array" ref="E55">IF(D55="M","Male",IF(D55="F","Female","Check"))</f>
        <v>Male</v>
      </c>
      <c r="F55" s="4">
        <v>120000</v>
      </c>
      <c r="G55" t="str" s="8" cm="1">
        <f t="array" ref="G55">IF(F55="","Check","okay")</f>
        <v>okay</v>
      </c>
      <c r="H55" s="3">
        <v>4</v>
      </c>
      <c r="I55" t="s" s="2">
        <v>15</v>
      </c>
      <c r="J55" t="s" s="2">
        <v>31</v>
      </c>
      <c r="K55" t="s" s="2">
        <v>17</v>
      </c>
      <c r="L55" s="3">
        <v>1</v>
      </c>
      <c r="M55" t="s" s="2">
        <v>24</v>
      </c>
      <c r="N55" t="s" s="2">
        <v>27</v>
      </c>
      <c r="O55" s="3">
        <v>47</v>
      </c>
      <c r="P55" t="str" s="8" cm="1">
        <f t="array" ref="P55">IF(O55="","check","Okay")</f>
        <v>Okay</v>
      </c>
      <c r="Q55" t="str" s="8" cm="1">
        <f t="array" ref="Q55">IF(O55&lt;30,"UNDER 30",IF(O55&lt;=50,"30-50","Over 50"))</f>
        <v>30-50</v>
      </c>
      <c r="R55" t="s" s="2">
        <v>20</v>
      </c>
      <c r="S55" s="3" cm="1">
        <f t="array" ref="S55">COUNTIF(A2:A1001,A55)</f>
        <v>1</v>
      </c>
      <c r="T55" t="str" s="8" cm="1">
        <f t="array" ref="T55">IF(ISNUMBER(F55),"Ok","check")</f>
        <v>Ok</v>
      </c>
      <c r="U55" t="str" s="8" cm="1">
        <f t="array" ref="U55">IF(ISNUMBER(O55),"ok","check")</f>
        <v>ok</v>
      </c>
    </row>
    <row r="56" ht="13.55" customHeight="1">
      <c r="A56" s="3">
        <v>15926</v>
      </c>
      <c r="B56" t="s" s="2">
        <v>25</v>
      </c>
      <c r="C56" t="str" s="8" cm="1">
        <f t="array" ref="C56">IF(B56="M","Married","Single")</f>
        <v>Single</v>
      </c>
      <c r="D56" t="s" s="2">
        <v>14</v>
      </c>
      <c r="E56" t="str" s="8" cm="1">
        <f t="array" ref="E56">IF(D56="M","Male",IF(D56="F","Female","Check"))</f>
        <v>Female</v>
      </c>
      <c r="F56" s="4">
        <v>120000</v>
      </c>
      <c r="G56" t="str" s="8" cm="1">
        <f t="array" ref="G56">IF(F56="","Check","okay")</f>
        <v>okay</v>
      </c>
      <c r="H56" s="3">
        <v>3</v>
      </c>
      <c r="I56" t="s" s="2">
        <v>30</v>
      </c>
      <c r="J56" t="s" s="2">
        <v>23</v>
      </c>
      <c r="K56" t="s" s="2">
        <v>17</v>
      </c>
      <c r="L56" s="3">
        <v>4</v>
      </c>
      <c r="M56" t="s" s="2">
        <v>26</v>
      </c>
      <c r="N56" t="s" s="2">
        <v>19</v>
      </c>
      <c r="O56" s="3">
        <v>50</v>
      </c>
      <c r="P56" t="str" s="8" cm="1">
        <f t="array" ref="P56">IF(O56="","check","Okay")</f>
        <v>Okay</v>
      </c>
      <c r="Q56" t="str" s="8" cm="1">
        <f t="array" ref="Q56">IF(O56&lt;30,"UNDER 30",IF(O56&lt;=50,"30-50","Over 50"))</f>
        <v>30-50</v>
      </c>
      <c r="R56" t="s" s="2">
        <v>17</v>
      </c>
      <c r="S56" s="3" cm="1">
        <f t="array" ref="S56">COUNTIF(A2:A1001,A56)</f>
        <v>1</v>
      </c>
      <c r="T56" t="str" s="8" cm="1">
        <f t="array" ref="T56">IF(ISNUMBER(F56),"Ok","check")</f>
        <v>Ok</v>
      </c>
      <c r="U56" t="str" s="8" cm="1">
        <f t="array" ref="U56">IF(ISNUMBER(O56),"ok","check")</f>
        <v>ok</v>
      </c>
    </row>
    <row r="57" ht="13.55" customHeight="1">
      <c r="A57" s="3">
        <v>26385</v>
      </c>
      <c r="B57" t="s" s="2">
        <v>25</v>
      </c>
      <c r="C57" t="str" s="8" cm="1">
        <f t="array" ref="C57">IF(B57="M","Married","Single")</f>
        <v>Single</v>
      </c>
      <c r="D57" t="s" s="2">
        <v>13</v>
      </c>
      <c r="E57" t="str" s="8" cm="1">
        <f t="array" ref="E57">IF(D57="M","Male",IF(D57="F","Female","Check"))</f>
        <v>Male</v>
      </c>
      <c r="F57" s="4">
        <v>120000</v>
      </c>
      <c r="G57" t="str" s="8" cm="1">
        <f t="array" ref="G57">IF(F57="","Check","okay")</f>
        <v>okay</v>
      </c>
      <c r="H57" s="3">
        <v>3</v>
      </c>
      <c r="I57" t="s" s="2">
        <v>30</v>
      </c>
      <c r="J57" t="s" s="2">
        <v>23</v>
      </c>
      <c r="K57" t="s" s="2">
        <v>20</v>
      </c>
      <c r="L57" s="3">
        <v>4</v>
      </c>
      <c r="M57" t="s" s="2">
        <v>26</v>
      </c>
      <c r="N57" t="s" s="2">
        <v>19</v>
      </c>
      <c r="O57" s="3">
        <v>50</v>
      </c>
      <c r="P57" t="str" s="8" cm="1">
        <f t="array" ref="P57">IF(O57="","check","Okay")</f>
        <v>Okay</v>
      </c>
      <c r="Q57" t="str" s="8" cm="1">
        <f t="array" ref="Q57">IF(O57&lt;30,"UNDER 30",IF(O57&lt;=50,"30-50","Over 50"))</f>
        <v>30-50</v>
      </c>
      <c r="R57" t="s" s="2">
        <v>20</v>
      </c>
      <c r="S57" s="3" cm="1">
        <f t="array" ref="S57">COUNTIF(A2:A1001,A57)</f>
        <v>1</v>
      </c>
      <c r="T57" t="str" s="8" cm="1">
        <f t="array" ref="T57">IF(ISNUMBER(F57),"Ok","check")</f>
        <v>Ok</v>
      </c>
      <c r="U57" t="str" s="8" cm="1">
        <f t="array" ref="U57">IF(ISNUMBER(O57),"ok","check")</f>
        <v>ok</v>
      </c>
    </row>
    <row r="58" ht="13.55" customHeight="1">
      <c r="A58" s="3">
        <v>19057</v>
      </c>
      <c r="B58" t="s" s="2">
        <v>13</v>
      </c>
      <c r="C58" t="str" s="8" cm="1">
        <f t="array" ref="C58">IF(B58="M","Married","Single")</f>
        <v>Married</v>
      </c>
      <c r="D58" t="s" s="2">
        <v>14</v>
      </c>
      <c r="E58" t="str" s="8" cm="1">
        <f t="array" ref="E58">IF(D58="M","Male",IF(D58="F","Female","Check"))</f>
        <v>Female</v>
      </c>
      <c r="F58" s="4">
        <v>120000</v>
      </c>
      <c r="G58" t="str" s="8" cm="1">
        <f t="array" ref="G58">IF(F58="","Check","okay")</f>
        <v>okay</v>
      </c>
      <c r="H58" s="3">
        <v>3</v>
      </c>
      <c r="I58" t="s" s="2">
        <v>15</v>
      </c>
      <c r="J58" t="s" s="2">
        <v>31</v>
      </c>
      <c r="K58" t="s" s="2">
        <v>20</v>
      </c>
      <c r="L58" s="3">
        <v>2</v>
      </c>
      <c r="M58" t="s" s="2">
        <v>33</v>
      </c>
      <c r="N58" t="s" s="2">
        <v>19</v>
      </c>
      <c r="O58" s="3">
        <v>52</v>
      </c>
      <c r="P58" t="str" s="8" cm="1">
        <f t="array" ref="P58">IF(O58="","check","Okay")</f>
        <v>Okay</v>
      </c>
      <c r="Q58" t="str" s="8" cm="1">
        <f t="array" ref="Q58">IF(O58&lt;30,"UNDER 30",IF(O58&lt;=50,"30-50","Over 50"))</f>
        <v>Over 50</v>
      </c>
      <c r="R58" t="s" s="2">
        <v>17</v>
      </c>
      <c r="S58" s="3" cm="1">
        <f t="array" ref="S58">COUNTIF(A2:A1001,A58)</f>
        <v>1</v>
      </c>
      <c r="T58" t="str" s="8" cm="1">
        <f t="array" ref="T58">IF(ISNUMBER(F58),"Ok","check")</f>
        <v>Ok</v>
      </c>
      <c r="U58" t="str" s="8" cm="1">
        <f t="array" ref="U58">IF(ISNUMBER(O58),"ok","check")</f>
        <v>ok</v>
      </c>
    </row>
    <row r="59" ht="13.55" customHeight="1">
      <c r="A59" s="3">
        <v>22830</v>
      </c>
      <c r="B59" t="s" s="2">
        <v>13</v>
      </c>
      <c r="C59" t="str" s="8" cm="1">
        <f t="array" ref="C59">IF(B59="M","Married","Single")</f>
        <v>Married</v>
      </c>
      <c r="D59" t="s" s="2">
        <v>13</v>
      </c>
      <c r="E59" t="str" s="8" cm="1">
        <f t="array" ref="E59">IF(D59="M","Male",IF(D59="F","Female","Check"))</f>
        <v>Male</v>
      </c>
      <c r="F59" s="4">
        <v>120000</v>
      </c>
      <c r="G59" t="str" s="8" cm="1">
        <f t="array" ref="G59">IF(F59="","Check","okay")</f>
        <v>okay</v>
      </c>
      <c r="H59" s="3">
        <v>4</v>
      </c>
      <c r="I59" t="s" s="2">
        <v>21</v>
      </c>
      <c r="J59" t="s" s="2">
        <v>31</v>
      </c>
      <c r="K59" t="s" s="2">
        <v>17</v>
      </c>
      <c r="L59" s="3">
        <v>3</v>
      </c>
      <c r="M59" t="s" s="2">
        <v>33</v>
      </c>
      <c r="N59" t="s" s="2">
        <v>19</v>
      </c>
      <c r="O59" s="3">
        <v>56</v>
      </c>
      <c r="P59" t="str" s="8" cm="1">
        <f t="array" ref="P59">IF(O59="","check","Okay")</f>
        <v>Okay</v>
      </c>
      <c r="Q59" t="str" s="8" cm="1">
        <f t="array" ref="Q59">IF(O59&lt;30,"UNDER 30",IF(O59&lt;=50,"30-50","Over 50"))</f>
        <v>Over 50</v>
      </c>
      <c r="R59" t="s" s="2">
        <v>20</v>
      </c>
      <c r="S59" s="3" cm="1">
        <f t="array" ref="S59">COUNTIF(A2:A1001,A59)</f>
        <v>1</v>
      </c>
      <c r="T59" t="str" s="8" cm="1">
        <f t="array" ref="T59">IF(ISNUMBER(F59),"Ok","check")</f>
        <v>Ok</v>
      </c>
      <c r="U59" t="str" s="8" cm="1">
        <f t="array" ref="U59">IF(ISNUMBER(O59),"ok","check")</f>
        <v>ok</v>
      </c>
    </row>
    <row r="60" ht="13.55" customHeight="1">
      <c r="A60" s="3">
        <v>16651</v>
      </c>
      <c r="B60" t="s" s="2">
        <v>13</v>
      </c>
      <c r="C60" t="str" s="8" cm="1">
        <f t="array" ref="C60">IF(B60="M","Married","Single")</f>
        <v>Married</v>
      </c>
      <c r="D60" t="s" s="2">
        <v>14</v>
      </c>
      <c r="E60" t="str" s="8" cm="1">
        <f t="array" ref="E60">IF(D60="M","Male",IF(D60="F","Female","Check"))</f>
        <v>Female</v>
      </c>
      <c r="F60" s="4">
        <v>120000</v>
      </c>
      <c r="G60" t="str" s="8" cm="1">
        <f t="array" ref="G60">IF(F60="","Check","okay")</f>
        <v>okay</v>
      </c>
      <c r="H60" s="3">
        <v>2</v>
      </c>
      <c r="I60" t="s" s="2">
        <v>15</v>
      </c>
      <c r="J60" t="s" s="2">
        <v>31</v>
      </c>
      <c r="K60" t="s" s="2">
        <v>17</v>
      </c>
      <c r="L60" s="3">
        <v>3</v>
      </c>
      <c r="M60" t="s" s="2">
        <v>26</v>
      </c>
      <c r="N60" t="s" s="2">
        <v>35</v>
      </c>
      <c r="O60" s="3">
        <v>62</v>
      </c>
      <c r="P60" t="str" s="8" cm="1">
        <f t="array" ref="P60">IF(O60="","check","Okay")</f>
        <v>Okay</v>
      </c>
      <c r="Q60" t="str" s="8" cm="1">
        <f t="array" ref="Q60">IF(O60&lt;30,"UNDER 30",IF(O60&lt;=50,"30-50","Over 50"))</f>
        <v>Over 50</v>
      </c>
      <c r="R60" t="s" s="2">
        <v>20</v>
      </c>
      <c r="S60" s="3" cm="1">
        <f t="array" ref="S60">COUNTIF(A2:A1001,A60)</f>
        <v>1</v>
      </c>
      <c r="T60" t="str" s="8" cm="1">
        <f t="array" ref="T60">IF(ISNUMBER(F60),"Ok","check")</f>
        <v>Ok</v>
      </c>
      <c r="U60" t="str" s="8" cm="1">
        <f t="array" ref="U60">IF(ISNUMBER(O60),"ok","check")</f>
        <v>ok</v>
      </c>
    </row>
    <row r="61" ht="13.55" customHeight="1">
      <c r="A61" s="3">
        <v>12056</v>
      </c>
      <c r="B61" t="s" s="2">
        <v>13</v>
      </c>
      <c r="C61" t="str" s="8" cm="1">
        <f t="array" ref="C61">IF(B61="M","Married","Single")</f>
        <v>Married</v>
      </c>
      <c r="D61" t="s" s="2">
        <v>13</v>
      </c>
      <c r="E61" t="str" s="8" cm="1">
        <f t="array" ref="E61">IF(D61="M","Male",IF(D61="F","Female","Check"))</f>
        <v>Male</v>
      </c>
      <c r="F61" s="4">
        <v>120000</v>
      </c>
      <c r="G61" t="str" s="8" cm="1">
        <f t="array" ref="G61">IF(F61="","Check","okay")</f>
        <v>okay</v>
      </c>
      <c r="H61" s="3">
        <v>2</v>
      </c>
      <c r="I61" t="s" s="2">
        <v>34</v>
      </c>
      <c r="J61" t="s" s="2">
        <v>31</v>
      </c>
      <c r="K61" t="s" s="2">
        <v>17</v>
      </c>
      <c r="L61" s="3">
        <v>3</v>
      </c>
      <c r="M61" t="s" s="2">
        <v>26</v>
      </c>
      <c r="N61" t="s" s="2">
        <v>35</v>
      </c>
      <c r="O61" s="3">
        <v>64</v>
      </c>
      <c r="P61" t="str" s="8" cm="1">
        <f t="array" ref="P61">IF(O61="","check","Okay")</f>
        <v>Okay</v>
      </c>
      <c r="Q61" t="str" s="8" cm="1">
        <f t="array" ref="Q61">IF(O61&lt;30,"UNDER 30",IF(O61&lt;=50,"30-50","Over 50"))</f>
        <v>Over 50</v>
      </c>
      <c r="R61" t="s" s="2">
        <v>20</v>
      </c>
      <c r="S61" s="3" cm="1">
        <f t="array" ref="S61">COUNTIF(A2:A1001,A61)</f>
        <v>1</v>
      </c>
      <c r="T61" t="str" s="8" cm="1">
        <f t="array" ref="T61">IF(ISNUMBER(F61),"Ok","check")</f>
        <v>Ok</v>
      </c>
      <c r="U61" t="str" s="8" cm="1">
        <f t="array" ref="U61">IF(ISNUMBER(O61),"ok","check")</f>
        <v>ok</v>
      </c>
    </row>
    <row r="62" ht="13.55" customHeight="1">
      <c r="A62" s="3">
        <v>21557</v>
      </c>
      <c r="B62" t="s" s="2">
        <v>25</v>
      </c>
      <c r="C62" t="str" s="8" cm="1">
        <f t="array" ref="C62">IF(B62="M","Married","Single")</f>
        <v>Single</v>
      </c>
      <c r="D62" t="s" s="2">
        <v>14</v>
      </c>
      <c r="E62" t="str" s="8" cm="1">
        <f t="array" ref="E62">IF(D62="M","Male",IF(D62="F","Female","Check"))</f>
        <v>Female</v>
      </c>
      <c r="F62" s="4">
        <v>110000</v>
      </c>
      <c r="G62" t="str" s="8" cm="1">
        <f t="array" ref="G62">IF(F62="","Check","okay")</f>
        <v>okay</v>
      </c>
      <c r="H62" s="3">
        <v>0</v>
      </c>
      <c r="I62" t="s" s="2">
        <v>21</v>
      </c>
      <c r="J62" t="s" s="2">
        <v>31</v>
      </c>
      <c r="K62" t="s" s="2">
        <v>17</v>
      </c>
      <c r="L62" s="3">
        <v>3</v>
      </c>
      <c r="M62" t="s" s="2">
        <v>33</v>
      </c>
      <c r="N62" t="s" s="2">
        <v>27</v>
      </c>
      <c r="O62" s="3">
        <v>32</v>
      </c>
      <c r="P62" t="str" s="8" cm="1">
        <f t="array" ref="P62">IF(O62="","check","Okay")</f>
        <v>Okay</v>
      </c>
      <c r="Q62" t="str" s="8" cm="1">
        <f t="array" ref="Q62">IF(O62&lt;30,"UNDER 30",IF(O62&lt;=50,"30-50","Over 50"))</f>
        <v>30-50</v>
      </c>
      <c r="R62" t="s" s="2">
        <v>17</v>
      </c>
      <c r="S62" s="3" cm="1">
        <f t="array" ref="S62">COUNTIF(A2:A1001,A62)</f>
        <v>1</v>
      </c>
      <c r="T62" t="str" s="8" cm="1">
        <f t="array" ref="T62">IF(ISNUMBER(F62),"Ok","check")</f>
        <v>Ok</v>
      </c>
      <c r="U62" t="str" s="8" cm="1">
        <f t="array" ref="U62">IF(ISNUMBER(O62),"ok","check")</f>
        <v>ok</v>
      </c>
    </row>
    <row r="63" ht="13.55" customHeight="1">
      <c r="A63" s="3">
        <v>24901</v>
      </c>
      <c r="B63" t="s" s="2">
        <v>25</v>
      </c>
      <c r="C63" t="str" s="8" cm="1">
        <f t="array" ref="C63">IF(B63="M","Married","Single")</f>
        <v>Single</v>
      </c>
      <c r="D63" t="s" s="2">
        <v>13</v>
      </c>
      <c r="E63" t="str" s="8" cm="1">
        <f t="array" ref="E63">IF(D63="M","Male",IF(D63="F","Female","Check"))</f>
        <v>Male</v>
      </c>
      <c r="F63" s="4">
        <v>110000</v>
      </c>
      <c r="G63" t="str" s="8" cm="1">
        <f t="array" ref="G63">IF(F63="","Check","okay")</f>
        <v>okay</v>
      </c>
      <c r="H63" s="3">
        <v>0</v>
      </c>
      <c r="I63" t="s" s="2">
        <v>21</v>
      </c>
      <c r="J63" t="s" s="2">
        <v>31</v>
      </c>
      <c r="K63" t="s" s="2">
        <v>20</v>
      </c>
      <c r="L63" s="3">
        <v>3</v>
      </c>
      <c r="M63" t="s" s="2">
        <v>33</v>
      </c>
      <c r="N63" t="s" s="2">
        <v>27</v>
      </c>
      <c r="O63" s="3">
        <v>32</v>
      </c>
      <c r="P63" t="str" s="8" cm="1">
        <f t="array" ref="P63">IF(O63="","check","Okay")</f>
        <v>Okay</v>
      </c>
      <c r="Q63" t="str" s="8" cm="1">
        <f t="array" ref="Q63">IF(O63&lt;30,"UNDER 30",IF(O63&lt;=50,"30-50","Over 50"))</f>
        <v>30-50</v>
      </c>
      <c r="R63" t="s" s="2">
        <v>17</v>
      </c>
      <c r="S63" s="3" cm="1">
        <f t="array" ref="S63">COUNTIF(A2:A1001,A63)</f>
        <v>1</v>
      </c>
      <c r="T63" t="str" s="8" cm="1">
        <f t="array" ref="T63">IF(ISNUMBER(F63),"Ok","check")</f>
        <v>Ok</v>
      </c>
      <c r="U63" t="str" s="8" cm="1">
        <f t="array" ref="U63">IF(ISNUMBER(O63),"ok","check")</f>
        <v>ok</v>
      </c>
    </row>
    <row r="64" ht="13.55" customHeight="1">
      <c r="A64" s="3">
        <v>21891</v>
      </c>
      <c r="B64" t="s" s="2">
        <v>13</v>
      </c>
      <c r="C64" t="str" s="8" cm="1">
        <f t="array" ref="C64">IF(B64="M","Married","Single")</f>
        <v>Married</v>
      </c>
      <c r="D64" t="s" s="2">
        <v>14</v>
      </c>
      <c r="E64" t="str" s="8" cm="1">
        <f t="array" ref="E64">IF(D64="M","Male",IF(D64="F","Female","Check"))</f>
        <v>Female</v>
      </c>
      <c r="F64" s="4">
        <v>110000</v>
      </c>
      <c r="G64" t="str" s="8" cm="1">
        <f t="array" ref="G64">IF(F64="","Check","okay")</f>
        <v>okay</v>
      </c>
      <c r="H64" s="3">
        <v>0</v>
      </c>
      <c r="I64" t="s" s="2">
        <v>30</v>
      </c>
      <c r="J64" t="s" s="2">
        <v>31</v>
      </c>
      <c r="K64" t="s" s="2">
        <v>17</v>
      </c>
      <c r="L64" s="3">
        <v>3</v>
      </c>
      <c r="M64" t="s" s="2">
        <v>33</v>
      </c>
      <c r="N64" t="s" s="2">
        <v>27</v>
      </c>
      <c r="O64" s="3">
        <v>34</v>
      </c>
      <c r="P64" t="str" s="8" cm="1">
        <f t="array" ref="P64">IF(O64="","check","Okay")</f>
        <v>Okay</v>
      </c>
      <c r="Q64" t="str" s="8" cm="1">
        <f t="array" ref="Q64">IF(O64&lt;30,"UNDER 30",IF(O64&lt;=50,"30-50","Over 50"))</f>
        <v>30-50</v>
      </c>
      <c r="R64" t="s" s="2">
        <v>17</v>
      </c>
      <c r="S64" s="3" cm="1">
        <f t="array" ref="S64">COUNTIF(A2:A1001,A64)</f>
        <v>1</v>
      </c>
      <c r="T64" t="str" s="8" cm="1">
        <f t="array" ref="T64">IF(ISNUMBER(F64),"Ok","check")</f>
        <v>Ok</v>
      </c>
      <c r="U64" t="str" s="8" cm="1">
        <f t="array" ref="U64">IF(ISNUMBER(O64),"ok","check")</f>
        <v>ok</v>
      </c>
    </row>
    <row r="65" ht="13.55" customHeight="1">
      <c r="A65" s="3">
        <v>29048</v>
      </c>
      <c r="B65" t="s" s="2">
        <v>25</v>
      </c>
      <c r="C65" t="str" s="8" cm="1">
        <f t="array" ref="C65">IF(B65="M","Married","Single")</f>
        <v>Single</v>
      </c>
      <c r="D65" t="s" s="2">
        <v>13</v>
      </c>
      <c r="E65" t="str" s="8" cm="1">
        <f t="array" ref="E65">IF(D65="M","Male",IF(D65="F","Female","Check"))</f>
        <v>Male</v>
      </c>
      <c r="F65" s="4">
        <v>110000</v>
      </c>
      <c r="G65" t="str" s="8" cm="1">
        <f t="array" ref="G65">IF(F65="","Check","okay")</f>
        <v>okay</v>
      </c>
      <c r="H65" s="3">
        <v>2</v>
      </c>
      <c r="I65" t="s" s="2">
        <v>15</v>
      </c>
      <c r="J65" t="s" s="2">
        <v>31</v>
      </c>
      <c r="K65" t="s" s="2">
        <v>20</v>
      </c>
      <c r="L65" s="3">
        <v>3</v>
      </c>
      <c r="M65" t="s" s="2">
        <v>18</v>
      </c>
      <c r="N65" t="s" s="2">
        <v>35</v>
      </c>
      <c r="O65" s="3">
        <v>37</v>
      </c>
      <c r="P65" t="str" s="8" cm="1">
        <f t="array" ref="P65">IF(O65="","check","Okay")</f>
        <v>Okay</v>
      </c>
      <c r="Q65" t="str" s="8" cm="1">
        <f t="array" ref="Q65">IF(O65&lt;30,"UNDER 30",IF(O65&lt;=50,"30-50","Over 50"))</f>
        <v>30-50</v>
      </c>
      <c r="R65" t="s" s="2">
        <v>17</v>
      </c>
      <c r="S65" s="3" cm="1">
        <f t="array" ref="S65">COUNTIF(A2:A1001,A65)</f>
        <v>1</v>
      </c>
      <c r="T65" t="str" s="8" cm="1">
        <f t="array" ref="T65">IF(ISNUMBER(F65),"Ok","check")</f>
        <v>Ok</v>
      </c>
      <c r="U65" t="str" s="8" cm="1">
        <f t="array" ref="U65">IF(ISNUMBER(O65),"ok","check")</f>
        <v>ok</v>
      </c>
    </row>
    <row r="66" ht="13.55" customHeight="1">
      <c r="A66" s="3">
        <v>22719</v>
      </c>
      <c r="B66" t="s" s="2">
        <v>25</v>
      </c>
      <c r="C66" t="str" s="8" cm="1">
        <f t="array" ref="C66">IF(B66="M","Married","Single")</f>
        <v>Single</v>
      </c>
      <c r="D66" t="s" s="2">
        <v>13</v>
      </c>
      <c r="E66" t="str" s="8" cm="1">
        <f t="array" ref="E66">IF(D66="M","Male",IF(D66="F","Female","Check"))</f>
        <v>Male</v>
      </c>
      <c r="F66" s="4">
        <v>110000</v>
      </c>
      <c r="G66" t="str" s="8" cm="1">
        <f t="array" ref="G66">IF(F66="","Check","okay")</f>
        <v>okay</v>
      </c>
      <c r="H66" s="3">
        <v>3</v>
      </c>
      <c r="I66" t="s" s="2">
        <v>15</v>
      </c>
      <c r="J66" t="s" s="2">
        <v>31</v>
      </c>
      <c r="K66" t="s" s="2">
        <v>17</v>
      </c>
      <c r="L66" s="3">
        <v>4</v>
      </c>
      <c r="M66" t="s" s="2">
        <v>24</v>
      </c>
      <c r="N66" t="s" s="2">
        <v>35</v>
      </c>
      <c r="O66" s="3">
        <v>40</v>
      </c>
      <c r="P66" t="str" s="8" cm="1">
        <f t="array" ref="P66">IF(O66="","check","Okay")</f>
        <v>Okay</v>
      </c>
      <c r="Q66" t="str" s="8" cm="1">
        <f t="array" ref="Q66">IF(O66&lt;30,"UNDER 30",IF(O66&lt;=50,"30-50","Over 50"))</f>
        <v>30-50</v>
      </c>
      <c r="R66" t="s" s="2">
        <v>17</v>
      </c>
      <c r="S66" s="3" cm="1">
        <f t="array" ref="S66">COUNTIF(A2:A1001,A66)</f>
        <v>1</v>
      </c>
      <c r="T66" t="str" s="8" cm="1">
        <f t="array" ref="T66">IF(ISNUMBER(F66),"Ok","check")</f>
        <v>Ok</v>
      </c>
      <c r="U66" t="str" s="8" cm="1">
        <f t="array" ref="U66">IF(ISNUMBER(O66),"ok","check")</f>
        <v>ok</v>
      </c>
    </row>
    <row r="67" ht="13.55" customHeight="1">
      <c r="A67" s="3">
        <v>26065</v>
      </c>
      <c r="B67" t="s" s="2">
        <v>25</v>
      </c>
      <c r="C67" t="str" s="8" cm="1">
        <f t="array" ref="C67">IF(B67="M","Married","Single")</f>
        <v>Single</v>
      </c>
      <c r="D67" t="s" s="2">
        <v>14</v>
      </c>
      <c r="E67" t="str" s="8" cm="1">
        <f t="array" ref="E67">IF(D67="M","Male",IF(D67="F","Female","Check"))</f>
        <v>Female</v>
      </c>
      <c r="F67" s="4">
        <v>110000</v>
      </c>
      <c r="G67" t="str" s="8" cm="1">
        <f t="array" ref="G67">IF(F67="","Check","okay")</f>
        <v>okay</v>
      </c>
      <c r="H67" s="3">
        <v>3</v>
      </c>
      <c r="I67" t="s" s="2">
        <v>15</v>
      </c>
      <c r="J67" t="s" s="2">
        <v>31</v>
      </c>
      <c r="K67" t="s" s="2">
        <v>20</v>
      </c>
      <c r="L67" s="3">
        <v>4</v>
      </c>
      <c r="M67" t="s" s="2">
        <v>29</v>
      </c>
      <c r="N67" t="s" s="2">
        <v>35</v>
      </c>
      <c r="O67" s="3">
        <v>42</v>
      </c>
      <c r="P67" t="str" s="8" cm="1">
        <f t="array" ref="P67">IF(O67="","check","Okay")</f>
        <v>Okay</v>
      </c>
      <c r="Q67" t="str" s="8" cm="1">
        <f t="array" ref="Q67">IF(O67&lt;30,"UNDER 30",IF(O67&lt;=50,"30-50","Over 50"))</f>
        <v>30-50</v>
      </c>
      <c r="R67" t="s" s="2">
        <v>20</v>
      </c>
      <c r="S67" s="3" cm="1">
        <f t="array" ref="S67">COUNTIF(A2:A1001,A67)</f>
        <v>1</v>
      </c>
      <c r="T67" t="str" s="8" cm="1">
        <f t="array" ref="T67">IF(ISNUMBER(F67),"Ok","check")</f>
        <v>Ok</v>
      </c>
      <c r="U67" t="str" s="8" cm="1">
        <f t="array" ref="U67">IF(ISNUMBER(O67),"ok","check")</f>
        <v>ok</v>
      </c>
    </row>
    <row r="68" ht="13.55" customHeight="1">
      <c r="A68" s="3">
        <v>13287</v>
      </c>
      <c r="B68" t="s" s="2">
        <v>25</v>
      </c>
      <c r="C68" t="str" s="8" cm="1">
        <f t="array" ref="C68">IF(B68="M","Married","Single")</f>
        <v>Single</v>
      </c>
      <c r="D68" t="s" s="2">
        <v>13</v>
      </c>
      <c r="E68" t="str" s="8" cm="1">
        <f t="array" ref="E68">IF(D68="M","Male",IF(D68="F","Female","Check"))</f>
        <v>Male</v>
      </c>
      <c r="F68" s="4">
        <v>110000</v>
      </c>
      <c r="G68" t="str" s="8" cm="1">
        <f t="array" ref="G68">IF(F68="","Check","okay")</f>
        <v>okay</v>
      </c>
      <c r="H68" s="3">
        <v>4</v>
      </c>
      <c r="I68" t="s" s="2">
        <v>15</v>
      </c>
      <c r="J68" t="s" s="2">
        <v>31</v>
      </c>
      <c r="K68" t="s" s="2">
        <v>17</v>
      </c>
      <c r="L68" s="3">
        <v>4</v>
      </c>
      <c r="M68" t="s" s="2">
        <v>26</v>
      </c>
      <c r="N68" t="s" s="2">
        <v>35</v>
      </c>
      <c r="O68" s="3">
        <v>42</v>
      </c>
      <c r="P68" t="str" s="8" cm="1">
        <f t="array" ref="P68">IF(O68="","check","Okay")</f>
        <v>Okay</v>
      </c>
      <c r="Q68" t="str" s="8" cm="1">
        <f t="array" ref="Q68">IF(O68&lt;30,"UNDER 30",IF(O68&lt;=50,"30-50","Over 50"))</f>
        <v>30-50</v>
      </c>
      <c r="R68" t="s" s="2">
        <v>17</v>
      </c>
      <c r="S68" s="3" cm="1">
        <f t="array" ref="S68">COUNTIF(A2:A1001,A68)</f>
        <v>1</v>
      </c>
      <c r="T68" t="str" s="8" cm="1">
        <f t="array" ref="T68">IF(ISNUMBER(F68),"Ok","check")</f>
        <v>Ok</v>
      </c>
      <c r="U68" t="str" s="8" cm="1">
        <f t="array" ref="U68">IF(ISNUMBER(O68),"ok","check")</f>
        <v>ok</v>
      </c>
    </row>
    <row r="69" ht="13.55" customHeight="1">
      <c r="A69" s="3">
        <v>29243</v>
      </c>
      <c r="B69" t="s" s="2">
        <v>25</v>
      </c>
      <c r="C69" t="str" s="8" cm="1">
        <f t="array" ref="C69">IF(B69="M","Married","Single")</f>
        <v>Single</v>
      </c>
      <c r="D69" t="s" s="2">
        <v>13</v>
      </c>
      <c r="E69" t="str" s="8" cm="1">
        <f t="array" ref="E69">IF(D69="M","Male",IF(D69="F","Female","Check"))</f>
        <v>Male</v>
      </c>
      <c r="F69" s="4">
        <v>110000</v>
      </c>
      <c r="G69" t="str" s="8" cm="1">
        <f t="array" ref="G69">IF(F69="","Check","okay")</f>
        <v>okay</v>
      </c>
      <c r="H69" s="3">
        <v>1</v>
      </c>
      <c r="I69" t="s" s="2">
        <v>15</v>
      </c>
      <c r="J69" t="s" s="2">
        <v>31</v>
      </c>
      <c r="K69" t="s" s="2">
        <v>17</v>
      </c>
      <c r="L69" s="3">
        <v>1</v>
      </c>
      <c r="M69" t="s" s="2">
        <v>26</v>
      </c>
      <c r="N69" t="s" s="2">
        <v>35</v>
      </c>
      <c r="O69" s="3">
        <v>43</v>
      </c>
      <c r="P69" t="str" s="8" cm="1">
        <f t="array" ref="P69">IF(O69="","check","Okay")</f>
        <v>Okay</v>
      </c>
      <c r="Q69" t="str" s="8" cm="1">
        <f t="array" ref="Q69">IF(O69&lt;30,"UNDER 30",IF(O69&lt;=50,"30-50","Over 50"))</f>
        <v>30-50</v>
      </c>
      <c r="R69" t="s" s="2">
        <v>20</v>
      </c>
      <c r="S69" s="3" cm="1">
        <f t="array" ref="S69">COUNTIF(A2:A1001,A69)</f>
        <v>1</v>
      </c>
      <c r="T69" t="str" s="8" cm="1">
        <f t="array" ref="T69">IF(ISNUMBER(F69),"Ok","check")</f>
        <v>Ok</v>
      </c>
      <c r="U69" t="str" s="8" cm="1">
        <f t="array" ref="U69">IF(ISNUMBER(O69),"ok","check")</f>
        <v>ok</v>
      </c>
    </row>
    <row r="70" ht="13.55" customHeight="1">
      <c r="A70" s="3">
        <v>15382</v>
      </c>
      <c r="B70" t="s" s="2">
        <v>13</v>
      </c>
      <c r="C70" t="str" s="8" cm="1">
        <f t="array" ref="C70">IF(B70="M","Married","Single")</f>
        <v>Married</v>
      </c>
      <c r="D70" t="s" s="2">
        <v>14</v>
      </c>
      <c r="E70" t="str" s="8" cm="1">
        <f t="array" ref="E70">IF(D70="M","Male",IF(D70="F","Female","Check"))</f>
        <v>Female</v>
      </c>
      <c r="F70" s="4">
        <v>110000</v>
      </c>
      <c r="G70" t="str" s="8" cm="1">
        <f t="array" ref="G70">IF(F70="","Check","okay")</f>
        <v>okay</v>
      </c>
      <c r="H70" s="3">
        <v>1</v>
      </c>
      <c r="I70" t="s" s="2">
        <v>15</v>
      </c>
      <c r="J70" t="s" s="2">
        <v>31</v>
      </c>
      <c r="K70" t="s" s="2">
        <v>17</v>
      </c>
      <c r="L70" s="3">
        <v>2</v>
      </c>
      <c r="M70" t="s" s="2">
        <v>29</v>
      </c>
      <c r="N70" t="s" s="2">
        <v>35</v>
      </c>
      <c r="O70" s="3">
        <v>44</v>
      </c>
      <c r="P70" t="str" s="8" cm="1">
        <f t="array" ref="P70">IF(O70="","check","Okay")</f>
        <v>Okay</v>
      </c>
      <c r="Q70" t="str" s="8" cm="1">
        <f t="array" ref="Q70">IF(O70&lt;30,"UNDER 30",IF(O70&lt;=50,"30-50","Over 50"))</f>
        <v>30-50</v>
      </c>
      <c r="R70" t="s" s="2">
        <v>20</v>
      </c>
      <c r="S70" s="3" cm="1">
        <f t="array" ref="S70">COUNTIF(A2:A1001,A70)</f>
        <v>1</v>
      </c>
      <c r="T70" t="str" s="8" cm="1">
        <f t="array" ref="T70">IF(ISNUMBER(F70),"Ok","check")</f>
        <v>Ok</v>
      </c>
      <c r="U70" t="str" s="8" cm="1">
        <f t="array" ref="U70">IF(ISNUMBER(O70),"ok","check")</f>
        <v>ok</v>
      </c>
    </row>
    <row r="71" ht="13.55" customHeight="1">
      <c r="A71" s="3">
        <v>13296</v>
      </c>
      <c r="B71" t="s" s="2">
        <v>13</v>
      </c>
      <c r="C71" t="str" s="8" cm="1">
        <f t="array" ref="C71">IF(B71="M","Married","Single")</f>
        <v>Married</v>
      </c>
      <c r="D71" t="s" s="2">
        <v>13</v>
      </c>
      <c r="E71" t="str" s="8" cm="1">
        <f t="array" ref="E71">IF(D71="M","Male",IF(D71="F","Female","Check"))</f>
        <v>Male</v>
      </c>
      <c r="F71" s="4">
        <v>110000</v>
      </c>
      <c r="G71" t="str" s="8" cm="1">
        <f t="array" ref="G71">IF(F71="","Check","okay")</f>
        <v>okay</v>
      </c>
      <c r="H71" s="3">
        <v>1</v>
      </c>
      <c r="I71" t="s" s="2">
        <v>15</v>
      </c>
      <c r="J71" t="s" s="2">
        <v>31</v>
      </c>
      <c r="K71" t="s" s="2">
        <v>17</v>
      </c>
      <c r="L71" s="3">
        <v>3</v>
      </c>
      <c r="M71" t="s" s="2">
        <v>26</v>
      </c>
      <c r="N71" t="s" s="2">
        <v>35</v>
      </c>
      <c r="O71" s="3">
        <v>45</v>
      </c>
      <c r="P71" t="str" s="8" cm="1">
        <f t="array" ref="P71">IF(O71="","check","Okay")</f>
        <v>Okay</v>
      </c>
      <c r="Q71" t="str" s="8" cm="1">
        <f t="array" ref="Q71">IF(O71&lt;30,"UNDER 30",IF(O71&lt;=50,"30-50","Over 50"))</f>
        <v>30-50</v>
      </c>
      <c r="R71" t="s" s="2">
        <v>20</v>
      </c>
      <c r="S71" s="3" cm="1">
        <f t="array" ref="S71">COUNTIF(A2:A1001,A71)</f>
        <v>1</v>
      </c>
      <c r="T71" t="str" s="8" cm="1">
        <f t="array" ref="T71">IF(ISNUMBER(F71),"Ok","check")</f>
        <v>Ok</v>
      </c>
      <c r="U71" t="str" s="8" cm="1">
        <f t="array" ref="U71">IF(ISNUMBER(O71),"ok","check")</f>
        <v>ok</v>
      </c>
    </row>
    <row r="72" ht="13.55" customHeight="1">
      <c r="A72" s="3">
        <v>25184</v>
      </c>
      <c r="B72" t="s" s="2">
        <v>25</v>
      </c>
      <c r="C72" t="str" s="8" cm="1">
        <f t="array" ref="C72">IF(B72="M","Married","Single")</f>
        <v>Single</v>
      </c>
      <c r="D72" t="s" s="2">
        <v>13</v>
      </c>
      <c r="E72" t="str" s="8" cm="1">
        <f t="array" ref="E72">IF(D72="M","Male",IF(D72="F","Female","Check"))</f>
        <v>Male</v>
      </c>
      <c r="F72" s="4">
        <v>110000</v>
      </c>
      <c r="G72" t="str" s="8" cm="1">
        <f t="array" ref="G72">IF(F72="","Check","okay")</f>
        <v>okay</v>
      </c>
      <c r="H72" s="3">
        <v>1</v>
      </c>
      <c r="I72" t="s" s="2">
        <v>21</v>
      </c>
      <c r="J72" t="s" s="2">
        <v>23</v>
      </c>
      <c r="K72" t="s" s="2">
        <v>17</v>
      </c>
      <c r="L72" s="3">
        <v>4</v>
      </c>
      <c r="M72" t="s" s="2">
        <v>26</v>
      </c>
      <c r="N72" t="s" s="2">
        <v>35</v>
      </c>
      <c r="O72" s="3">
        <v>45</v>
      </c>
      <c r="P72" t="str" s="8" cm="1">
        <f t="array" ref="P72">IF(O72="","check","Okay")</f>
        <v>Okay</v>
      </c>
      <c r="Q72" t="str" s="8" cm="1">
        <f t="array" ref="Q72">IF(O72&lt;30,"UNDER 30",IF(O72&lt;=50,"30-50","Over 50"))</f>
        <v>30-50</v>
      </c>
      <c r="R72" t="s" s="2">
        <v>17</v>
      </c>
      <c r="S72" s="3" cm="1">
        <f t="array" ref="S72">COUNTIF(A2:A1001,A72)</f>
        <v>1</v>
      </c>
      <c r="T72" t="str" s="8" cm="1">
        <f t="array" ref="T72">IF(ISNUMBER(F72),"Ok","check")</f>
        <v>Ok</v>
      </c>
      <c r="U72" t="str" s="8" cm="1">
        <f t="array" ref="U72">IF(ISNUMBER(O72),"ok","check")</f>
        <v>ok</v>
      </c>
    </row>
    <row r="73" ht="13.55" customHeight="1">
      <c r="A73" s="3">
        <v>15982</v>
      </c>
      <c r="B73" t="s" s="2">
        <v>13</v>
      </c>
      <c r="C73" t="str" s="8" cm="1">
        <f t="array" ref="C73">IF(B73="M","Married","Single")</f>
        <v>Married</v>
      </c>
      <c r="D73" t="s" s="2">
        <v>13</v>
      </c>
      <c r="E73" t="str" s="8" cm="1">
        <f t="array" ref="E73">IF(D73="M","Male",IF(D73="F","Female","Check"))</f>
        <v>Male</v>
      </c>
      <c r="F73" s="4">
        <v>110000</v>
      </c>
      <c r="G73" t="str" s="8" cm="1">
        <f t="array" ref="G73">IF(F73="","Check","okay")</f>
        <v>okay</v>
      </c>
      <c r="H73" s="3">
        <v>5</v>
      </c>
      <c r="I73" t="s" s="2">
        <v>21</v>
      </c>
      <c r="J73" t="s" s="2">
        <v>23</v>
      </c>
      <c r="K73" t="s" s="2">
        <v>17</v>
      </c>
      <c r="L73" s="3">
        <v>4</v>
      </c>
      <c r="M73" t="s" s="2">
        <v>24</v>
      </c>
      <c r="N73" t="s" s="2">
        <v>35</v>
      </c>
      <c r="O73" s="3">
        <v>46</v>
      </c>
      <c r="P73" t="str" s="8" cm="1">
        <f t="array" ref="P73">IF(O73="","check","Okay")</f>
        <v>Okay</v>
      </c>
      <c r="Q73" t="str" s="8" cm="1">
        <f t="array" ref="Q73">IF(O73&lt;30,"UNDER 30",IF(O73&lt;=50,"30-50","Over 50"))</f>
        <v>30-50</v>
      </c>
      <c r="R73" t="s" s="2">
        <v>20</v>
      </c>
      <c r="S73" s="3" cm="1">
        <f t="array" ref="S73">COUNTIF(A2:A1001,A73)</f>
        <v>1</v>
      </c>
      <c r="T73" t="str" s="8" cm="1">
        <f t="array" ref="T73">IF(ISNUMBER(F73),"Ok","check")</f>
        <v>Ok</v>
      </c>
      <c r="U73" t="str" s="8" cm="1">
        <f t="array" ref="U73">IF(ISNUMBER(O73),"ok","check")</f>
        <v>ok</v>
      </c>
    </row>
    <row r="74" ht="13.55" customHeight="1">
      <c r="A74" s="3">
        <v>27304</v>
      </c>
      <c r="B74" t="s" s="2">
        <v>25</v>
      </c>
      <c r="C74" t="str" s="8" cm="1">
        <f t="array" ref="C74">IF(B74="M","Married","Single")</f>
        <v>Single</v>
      </c>
      <c r="D74" t="s" s="2">
        <v>14</v>
      </c>
      <c r="E74" t="str" s="8" cm="1">
        <f t="array" ref="E74">IF(D74="M","Male",IF(D74="F","Female","Check"))</f>
        <v>Female</v>
      </c>
      <c r="F74" s="4">
        <v>110000</v>
      </c>
      <c r="G74" t="str" s="8" cm="1">
        <f t="array" ref="G74">IF(F74="","Check","okay")</f>
        <v>okay</v>
      </c>
      <c r="H74" s="3">
        <v>2</v>
      </c>
      <c r="I74" t="s" s="2">
        <v>21</v>
      </c>
      <c r="J74" t="s" s="2">
        <v>23</v>
      </c>
      <c r="K74" t="s" s="2">
        <v>20</v>
      </c>
      <c r="L74" s="3">
        <v>3</v>
      </c>
      <c r="M74" t="s" s="2">
        <v>26</v>
      </c>
      <c r="N74" t="s" s="2">
        <v>19</v>
      </c>
      <c r="O74" s="3">
        <v>48</v>
      </c>
      <c r="P74" t="str" s="8" cm="1">
        <f t="array" ref="P74">IF(O74="","check","Okay")</f>
        <v>Okay</v>
      </c>
      <c r="Q74" t="str" s="8" cm="1">
        <f t="array" ref="Q74">IF(O74&lt;30,"UNDER 30",IF(O74&lt;=50,"30-50","Over 50"))</f>
        <v>30-50</v>
      </c>
      <c r="R74" t="s" s="2">
        <v>20</v>
      </c>
      <c r="S74" s="3" cm="1">
        <f t="array" ref="S74">COUNTIF(A2:A1001,A74)</f>
        <v>1</v>
      </c>
      <c r="T74" t="str" s="8" cm="1">
        <f t="array" ref="T74">IF(ISNUMBER(F74),"Ok","check")</f>
        <v>Ok</v>
      </c>
      <c r="U74" t="str" s="8" cm="1">
        <f t="array" ref="U74">IF(ISNUMBER(O74),"ok","check")</f>
        <v>ok</v>
      </c>
    </row>
    <row r="75" ht="13.55" customHeight="1">
      <c r="A75" s="3">
        <v>18494</v>
      </c>
      <c r="B75" t="s" s="2">
        <v>13</v>
      </c>
      <c r="C75" t="str" s="8" cm="1">
        <f t="array" ref="C75">IF(B75="M","Married","Single")</f>
        <v>Married</v>
      </c>
      <c r="D75" t="s" s="2">
        <v>13</v>
      </c>
      <c r="E75" t="str" s="8" cm="1">
        <f t="array" ref="E75">IF(D75="M","Male",IF(D75="F","Female","Check"))</f>
        <v>Male</v>
      </c>
      <c r="F75" s="4">
        <v>110000</v>
      </c>
      <c r="G75" t="str" s="8" cm="1">
        <f t="array" ref="G75">IF(F75="","Check","okay")</f>
        <v>okay</v>
      </c>
      <c r="H75" s="3">
        <v>5</v>
      </c>
      <c r="I75" t="s" s="2">
        <v>15</v>
      </c>
      <c r="J75" t="s" s="2">
        <v>31</v>
      </c>
      <c r="K75" t="s" s="2">
        <v>17</v>
      </c>
      <c r="L75" s="3">
        <v>4</v>
      </c>
      <c r="M75" t="s" s="2">
        <v>24</v>
      </c>
      <c r="N75" t="s" s="2">
        <v>27</v>
      </c>
      <c r="O75" s="3">
        <v>48</v>
      </c>
      <c r="P75" t="str" s="8" cm="1">
        <f t="array" ref="P75">IF(O75="","check","Okay")</f>
        <v>Okay</v>
      </c>
      <c r="Q75" t="str" s="8" cm="1">
        <f t="array" ref="Q75">IF(O75&lt;30,"UNDER 30",IF(O75&lt;=50,"30-50","Over 50"))</f>
        <v>30-50</v>
      </c>
      <c r="R75" t="s" s="2">
        <v>17</v>
      </c>
      <c r="S75" s="3" cm="1">
        <f t="array" ref="S75">COUNTIF(A2:A1001,A75)</f>
        <v>1</v>
      </c>
      <c r="T75" t="str" s="8" cm="1">
        <f t="array" ref="T75">IF(ISNUMBER(F75),"Ok","check")</f>
        <v>Ok</v>
      </c>
      <c r="U75" t="str" s="8" cm="1">
        <f t="array" ref="U75">IF(ISNUMBER(O75),"ok","check")</f>
        <v>ok</v>
      </c>
    </row>
    <row r="76" ht="13.55" customHeight="1">
      <c r="A76" s="3">
        <v>22204</v>
      </c>
      <c r="B76" t="s" s="2">
        <v>13</v>
      </c>
      <c r="C76" t="str" s="8" cm="1">
        <f t="array" ref="C76">IF(B76="M","Married","Single")</f>
        <v>Married</v>
      </c>
      <c r="D76" t="s" s="2">
        <v>13</v>
      </c>
      <c r="E76" t="str" s="8" cm="1">
        <f t="array" ref="E76">IF(D76="M","Male",IF(D76="F","Female","Check"))</f>
        <v>Male</v>
      </c>
      <c r="F76" s="4">
        <v>110000</v>
      </c>
      <c r="G76" t="str" s="8" cm="1">
        <f t="array" ref="G76">IF(F76="","Check","okay")</f>
        <v>okay</v>
      </c>
      <c r="H76" s="3">
        <v>4</v>
      </c>
      <c r="I76" t="s" s="2">
        <v>15</v>
      </c>
      <c r="J76" t="s" s="2">
        <v>31</v>
      </c>
      <c r="K76" t="s" s="2">
        <v>17</v>
      </c>
      <c r="L76" s="3">
        <v>3</v>
      </c>
      <c r="M76" t="s" s="2">
        <v>24</v>
      </c>
      <c r="N76" t="s" s="2">
        <v>27</v>
      </c>
      <c r="O76" s="3">
        <v>48</v>
      </c>
      <c r="P76" t="str" s="8" cm="1">
        <f t="array" ref="P76">IF(O76="","check","Okay")</f>
        <v>Okay</v>
      </c>
      <c r="Q76" t="str" s="8" cm="1">
        <f t="array" ref="Q76">IF(O76&lt;30,"UNDER 30",IF(O76&lt;=50,"30-50","Over 50"))</f>
        <v>30-50</v>
      </c>
      <c r="R76" t="s" s="2">
        <v>20</v>
      </c>
      <c r="S76" s="3" cm="1">
        <f t="array" ref="S76">COUNTIF(A2:A1001,A76)</f>
        <v>1</v>
      </c>
      <c r="T76" t="str" s="8" cm="1">
        <f t="array" ref="T76">IF(ISNUMBER(F76),"Ok","check")</f>
        <v>Ok</v>
      </c>
      <c r="U76" t="str" s="8" cm="1">
        <f t="array" ref="U76">IF(ISNUMBER(O76),"ok","check")</f>
        <v>ok</v>
      </c>
    </row>
    <row r="77" ht="13.55" customHeight="1">
      <c r="A77" s="3">
        <v>25792</v>
      </c>
      <c r="B77" t="s" s="2">
        <v>25</v>
      </c>
      <c r="C77" t="str" s="8" cm="1">
        <f t="array" ref="C77">IF(B77="M","Married","Single")</f>
        <v>Single</v>
      </c>
      <c r="D77" t="s" s="2">
        <v>14</v>
      </c>
      <c r="E77" t="str" s="8" cm="1">
        <f t="array" ref="E77">IF(D77="M","Male",IF(D77="F","Female","Check"))</f>
        <v>Female</v>
      </c>
      <c r="F77" s="4">
        <v>110000</v>
      </c>
      <c r="G77" t="str" s="8" cm="1">
        <f t="array" ref="G77">IF(F77="","Check","okay")</f>
        <v>okay</v>
      </c>
      <c r="H77" s="3">
        <v>3</v>
      </c>
      <c r="I77" t="s" s="2">
        <v>15</v>
      </c>
      <c r="J77" t="s" s="2">
        <v>31</v>
      </c>
      <c r="K77" t="s" s="2">
        <v>17</v>
      </c>
      <c r="L77" s="3">
        <v>4</v>
      </c>
      <c r="M77" t="s" s="2">
        <v>33</v>
      </c>
      <c r="N77" t="s" s="2">
        <v>19</v>
      </c>
      <c r="O77" s="3">
        <v>53</v>
      </c>
      <c r="P77" t="str" s="8" cm="1">
        <f t="array" ref="P77">IF(O77="","check","Okay")</f>
        <v>Okay</v>
      </c>
      <c r="Q77" t="str" s="8" cm="1">
        <f t="array" ref="Q77">IF(O77&lt;30,"UNDER 30",IF(O77&lt;=50,"30-50","Over 50"))</f>
        <v>Over 50</v>
      </c>
      <c r="R77" t="s" s="2">
        <v>20</v>
      </c>
      <c r="S77" s="3" cm="1">
        <f t="array" ref="S77">COUNTIF(A2:A1001,A77)</f>
        <v>1</v>
      </c>
      <c r="T77" t="str" s="8" cm="1">
        <f t="array" ref="T77">IF(ISNUMBER(F77),"Ok","check")</f>
        <v>Ok</v>
      </c>
      <c r="U77" t="str" s="8" cm="1">
        <f t="array" ref="U77">IF(ISNUMBER(O77),"ok","check")</f>
        <v>ok</v>
      </c>
    </row>
    <row r="78" ht="13.55" customHeight="1">
      <c r="A78" s="3">
        <v>21568</v>
      </c>
      <c r="B78" t="s" s="2">
        <v>13</v>
      </c>
      <c r="C78" t="str" s="8" cm="1">
        <f t="array" ref="C78">IF(B78="M","Married","Single")</f>
        <v>Married</v>
      </c>
      <c r="D78" t="s" s="2">
        <v>14</v>
      </c>
      <c r="E78" t="str" s="8" cm="1">
        <f t="array" ref="E78">IF(D78="M","Male",IF(D78="F","Female","Check"))</f>
        <v>Female</v>
      </c>
      <c r="F78" s="4">
        <v>100000</v>
      </c>
      <c r="G78" t="str" s="8" cm="1">
        <f t="array" ref="G78">IF(F78="","Check","okay")</f>
        <v>okay</v>
      </c>
      <c r="H78" s="3">
        <v>0</v>
      </c>
      <c r="I78" t="s" s="2">
        <v>30</v>
      </c>
      <c r="J78" t="s" s="2">
        <v>31</v>
      </c>
      <c r="K78" t="s" s="2">
        <v>17</v>
      </c>
      <c r="L78" s="3">
        <v>4</v>
      </c>
      <c r="M78" t="s" s="2">
        <v>33</v>
      </c>
      <c r="N78" t="s" s="2">
        <v>27</v>
      </c>
      <c r="O78" s="3">
        <v>34</v>
      </c>
      <c r="P78" t="str" s="8" cm="1">
        <f t="array" ref="P78">IF(O78="","check","Okay")</f>
        <v>Okay</v>
      </c>
      <c r="Q78" t="str" s="8" cm="1">
        <f t="array" ref="Q78">IF(O78&lt;30,"UNDER 30",IF(O78&lt;=50,"30-50","Over 50"))</f>
        <v>30-50</v>
      </c>
      <c r="R78" t="s" s="2">
        <v>17</v>
      </c>
      <c r="S78" s="3" cm="1">
        <f t="array" ref="S78">COUNTIF(A2:A1001,A78)</f>
        <v>1</v>
      </c>
      <c r="T78" t="str" s="8" cm="1">
        <f t="array" ref="T78">IF(ISNUMBER(F78),"Ok","check")</f>
        <v>Ok</v>
      </c>
      <c r="U78" t="str" s="8" cm="1">
        <f t="array" ref="U78">IF(ISNUMBER(O78),"ok","check")</f>
        <v>ok</v>
      </c>
    </row>
    <row r="79" ht="13.55" customHeight="1">
      <c r="A79" s="3">
        <v>20625</v>
      </c>
      <c r="B79" t="s" s="2">
        <v>13</v>
      </c>
      <c r="C79" t="str" s="8" cm="1">
        <f t="array" ref="C79">IF(B79="M","Married","Single")</f>
        <v>Married</v>
      </c>
      <c r="D79" t="s" s="2">
        <v>13</v>
      </c>
      <c r="E79" t="str" s="8" cm="1">
        <f t="array" ref="E79">IF(D79="M","Male",IF(D79="F","Female","Check"))</f>
        <v>Male</v>
      </c>
      <c r="F79" s="4">
        <v>100000</v>
      </c>
      <c r="G79" t="str" s="8" cm="1">
        <f t="array" ref="G79">IF(F79="","Check","okay")</f>
        <v>okay</v>
      </c>
      <c r="H79" s="3">
        <v>0</v>
      </c>
      <c r="I79" t="s" s="2">
        <v>30</v>
      </c>
      <c r="J79" t="s" s="2">
        <v>31</v>
      </c>
      <c r="K79" t="s" s="2">
        <v>17</v>
      </c>
      <c r="L79" s="3">
        <v>3</v>
      </c>
      <c r="M79" t="s" s="2">
        <v>33</v>
      </c>
      <c r="N79" t="s" s="2">
        <v>27</v>
      </c>
      <c r="O79" s="3">
        <v>35</v>
      </c>
      <c r="P79" t="str" s="8" cm="1">
        <f t="array" ref="P79">IF(O79="","check","Okay")</f>
        <v>Okay</v>
      </c>
      <c r="Q79" t="str" s="8" cm="1">
        <f t="array" ref="Q79">IF(O79&lt;30,"UNDER 30",IF(O79&lt;=50,"30-50","Over 50"))</f>
        <v>30-50</v>
      </c>
      <c r="R79" t="s" s="2">
        <v>17</v>
      </c>
      <c r="S79" s="3" cm="1">
        <f t="array" ref="S79">COUNTIF(A2:A1001,A79)</f>
        <v>1</v>
      </c>
      <c r="T79" t="str" s="8" cm="1">
        <f t="array" ref="T79">IF(ISNUMBER(F79),"Ok","check")</f>
        <v>Ok</v>
      </c>
      <c r="U79" t="str" s="8" cm="1">
        <f t="array" ref="U79">IF(ISNUMBER(O79),"ok","check")</f>
        <v>ok</v>
      </c>
    </row>
    <row r="80" ht="13.55" customHeight="1">
      <c r="A80" s="3">
        <v>14233</v>
      </c>
      <c r="B80" t="s" s="2">
        <v>25</v>
      </c>
      <c r="C80" t="str" s="8" cm="1">
        <f t="array" ref="C80">IF(B80="M","Married","Single")</f>
        <v>Single</v>
      </c>
      <c r="D80" t="s" s="2">
        <v>13</v>
      </c>
      <c r="E80" t="str" s="8" cm="1">
        <f t="array" ref="E80">IF(D80="M","Male",IF(D80="F","Female","Check"))</f>
        <v>Male</v>
      </c>
      <c r="F80" s="4">
        <v>100000</v>
      </c>
      <c r="G80" t="str" s="8" cm="1">
        <f t="array" ref="G80">IF(F80="","Check","okay")</f>
        <v>okay</v>
      </c>
      <c r="H80" s="3">
        <v>0</v>
      </c>
      <c r="I80" t="s" s="2">
        <v>30</v>
      </c>
      <c r="J80" t="s" s="2">
        <v>31</v>
      </c>
      <c r="K80" t="s" s="2">
        <v>17</v>
      </c>
      <c r="L80" s="3">
        <v>3</v>
      </c>
      <c r="M80" t="s" s="2">
        <v>33</v>
      </c>
      <c r="N80" t="s" s="2">
        <v>27</v>
      </c>
      <c r="O80" s="3">
        <v>35</v>
      </c>
      <c r="P80" t="str" s="8" cm="1">
        <f t="array" ref="P80">IF(O80="","check","Okay")</f>
        <v>Okay</v>
      </c>
      <c r="Q80" t="str" s="8" cm="1">
        <f t="array" ref="Q80">IF(O80&lt;30,"UNDER 30",IF(O80&lt;=50,"30-50","Over 50"))</f>
        <v>30-50</v>
      </c>
      <c r="R80" t="s" s="2">
        <v>20</v>
      </c>
      <c r="S80" s="3" cm="1">
        <f t="array" ref="S80">COUNTIF(A2:A1001,A80)</f>
        <v>1</v>
      </c>
      <c r="T80" t="str" s="8" cm="1">
        <f t="array" ref="T80">IF(ISNUMBER(F80),"Ok","check")</f>
        <v>Ok</v>
      </c>
      <c r="U80" t="str" s="8" cm="1">
        <f t="array" ref="U80">IF(ISNUMBER(O80),"ok","check")</f>
        <v>ok</v>
      </c>
    </row>
    <row r="81" ht="13.55" customHeight="1">
      <c r="A81" s="3">
        <v>11896</v>
      </c>
      <c r="B81" t="s" s="2">
        <v>13</v>
      </c>
      <c r="C81" t="str" s="8" cm="1">
        <f t="array" ref="C81">IF(B81="M","Married","Single")</f>
        <v>Married</v>
      </c>
      <c r="D81" t="s" s="2">
        <v>13</v>
      </c>
      <c r="E81" t="str" s="8" cm="1">
        <f t="array" ref="E81">IF(D81="M","Male",IF(D81="F","Female","Check"))</f>
        <v>Male</v>
      </c>
      <c r="F81" s="4">
        <v>100000</v>
      </c>
      <c r="G81" t="str" s="8" cm="1">
        <f t="array" ref="G81">IF(F81="","Check","okay")</f>
        <v>okay</v>
      </c>
      <c r="H81" s="3">
        <v>1</v>
      </c>
      <c r="I81" t="s" s="2">
        <v>34</v>
      </c>
      <c r="J81" t="s" s="2">
        <v>31</v>
      </c>
      <c r="K81" t="s" s="2">
        <v>17</v>
      </c>
      <c r="L81" s="3">
        <v>0</v>
      </c>
      <c r="M81" t="s" s="2">
        <v>24</v>
      </c>
      <c r="N81" t="s" s="2">
        <v>27</v>
      </c>
      <c r="O81" s="3">
        <v>36</v>
      </c>
      <c r="P81" t="str" s="8" cm="1">
        <f t="array" ref="P81">IF(O81="","check","Okay")</f>
        <v>Okay</v>
      </c>
      <c r="Q81" t="str" s="8" cm="1">
        <f t="array" ref="Q81">IF(O81&lt;30,"UNDER 30",IF(O81&lt;=50,"30-50","Over 50"))</f>
        <v>30-50</v>
      </c>
      <c r="R81" t="s" s="2">
        <v>17</v>
      </c>
      <c r="S81" s="3" cm="1">
        <f t="array" ref="S81">COUNTIF(A2:A1001,A81)</f>
        <v>1</v>
      </c>
      <c r="T81" t="str" s="8" cm="1">
        <f t="array" ref="T81">IF(ISNUMBER(F81),"Ok","check")</f>
        <v>Ok</v>
      </c>
      <c r="U81" t="str" s="8" cm="1">
        <f t="array" ref="U81">IF(ISNUMBER(O81),"ok","check")</f>
        <v>ok</v>
      </c>
    </row>
    <row r="82" ht="13.55" customHeight="1">
      <c r="A82" s="3">
        <v>19664</v>
      </c>
      <c r="B82" t="s" s="2">
        <v>25</v>
      </c>
      <c r="C82" t="str" s="8" cm="1">
        <f t="array" ref="C82">IF(B82="M","Married","Single")</f>
        <v>Single</v>
      </c>
      <c r="D82" t="s" s="2">
        <v>13</v>
      </c>
      <c r="E82" t="str" s="8" cm="1">
        <f t="array" ref="E82">IF(D82="M","Male",IF(D82="F","Female","Check"))</f>
        <v>Male</v>
      </c>
      <c r="F82" s="4">
        <v>100000</v>
      </c>
      <c r="G82" t="str" s="8" cm="1">
        <f t="array" ref="G82">IF(F82="","Check","okay")</f>
        <v>okay</v>
      </c>
      <c r="H82" s="3">
        <v>3</v>
      </c>
      <c r="I82" t="s" s="2">
        <v>15</v>
      </c>
      <c r="J82" t="s" s="2">
        <v>31</v>
      </c>
      <c r="K82" t="s" s="2">
        <v>20</v>
      </c>
      <c r="L82" s="3">
        <v>3</v>
      </c>
      <c r="M82" t="s" s="2">
        <v>29</v>
      </c>
      <c r="N82" t="s" s="2">
        <v>35</v>
      </c>
      <c r="O82" s="3">
        <v>38</v>
      </c>
      <c r="P82" t="str" s="8" cm="1">
        <f t="array" ref="P82">IF(O82="","check","Okay")</f>
        <v>Okay</v>
      </c>
      <c r="Q82" t="str" s="8" cm="1">
        <f t="array" ref="Q82">IF(O82&lt;30,"UNDER 30",IF(O82&lt;=50,"30-50","Over 50"))</f>
        <v>30-50</v>
      </c>
      <c r="R82" t="s" s="2">
        <v>20</v>
      </c>
      <c r="S82" s="3" cm="1">
        <f t="array" ref="S82">COUNTIF(A2:A1001,A82)</f>
        <v>1</v>
      </c>
      <c r="T82" t="str" s="8" cm="1">
        <f t="array" ref="T82">IF(ISNUMBER(F82),"Ok","check")</f>
        <v>Ok</v>
      </c>
      <c r="U82" t="str" s="8" cm="1">
        <f t="array" ref="U82">IF(ISNUMBER(O82),"ok","check")</f>
        <v>ok</v>
      </c>
    </row>
    <row r="83" ht="13.55" customHeight="1">
      <c r="A83" s="3">
        <v>15214</v>
      </c>
      <c r="B83" t="s" s="2">
        <v>25</v>
      </c>
      <c r="C83" t="str" s="8" cm="1">
        <f t="array" ref="C83">IF(B83="M","Married","Single")</f>
        <v>Single</v>
      </c>
      <c r="D83" t="s" s="2">
        <v>14</v>
      </c>
      <c r="E83" t="str" s="8" cm="1">
        <f t="array" ref="E83">IF(D83="M","Male",IF(D83="F","Female","Check"))</f>
        <v>Female</v>
      </c>
      <c r="F83" s="4">
        <v>100000</v>
      </c>
      <c r="G83" t="str" s="8" cm="1">
        <f t="array" ref="G83">IF(F83="","Check","okay")</f>
        <v>okay</v>
      </c>
      <c r="H83" s="3">
        <v>0</v>
      </c>
      <c r="I83" t="s" s="2">
        <v>34</v>
      </c>
      <c r="J83" t="s" s="2">
        <v>31</v>
      </c>
      <c r="K83" t="s" s="2">
        <v>20</v>
      </c>
      <c r="L83" s="3">
        <v>1</v>
      </c>
      <c r="M83" t="s" s="2">
        <v>29</v>
      </c>
      <c r="N83" t="s" s="2">
        <v>27</v>
      </c>
      <c r="O83" s="3">
        <v>39</v>
      </c>
      <c r="P83" t="str" s="8" cm="1">
        <f t="array" ref="P83">IF(O83="","check","Okay")</f>
        <v>Okay</v>
      </c>
      <c r="Q83" t="str" s="8" cm="1">
        <f t="array" ref="Q83">IF(O83&lt;30,"UNDER 30",IF(O83&lt;=50,"30-50","Over 50"))</f>
        <v>30-50</v>
      </c>
      <c r="R83" t="s" s="2">
        <v>17</v>
      </c>
      <c r="S83" s="3" cm="1">
        <f t="array" ref="S83">COUNTIF(A2:A1001,A83)</f>
        <v>1</v>
      </c>
      <c r="T83" t="str" s="8" cm="1">
        <f t="array" ref="T83">IF(ISNUMBER(F83),"Ok","check")</f>
        <v>Ok</v>
      </c>
      <c r="U83" t="str" s="8" cm="1">
        <f t="array" ref="U83">IF(ISNUMBER(O83),"ok","check")</f>
        <v>ok</v>
      </c>
    </row>
    <row r="84" ht="13.55" customHeight="1">
      <c r="A84" s="3">
        <v>18952</v>
      </c>
      <c r="B84" t="s" s="2">
        <v>13</v>
      </c>
      <c r="C84" t="str" s="8" cm="1">
        <f t="array" ref="C84">IF(B84="M","Married","Single")</f>
        <v>Married</v>
      </c>
      <c r="D84" t="s" s="2">
        <v>14</v>
      </c>
      <c r="E84" t="str" s="8" cm="1">
        <f t="array" ref="E84">IF(D84="M","Male",IF(D84="F","Female","Check"))</f>
        <v>Female</v>
      </c>
      <c r="F84" s="4">
        <v>100000</v>
      </c>
      <c r="G84" t="str" s="8" cm="1">
        <f t="array" ref="G84">IF(F84="","Check","okay")</f>
        <v>okay</v>
      </c>
      <c r="H84" s="3">
        <v>4</v>
      </c>
      <c r="I84" t="s" s="2">
        <v>15</v>
      </c>
      <c r="J84" t="s" s="2">
        <v>31</v>
      </c>
      <c r="K84" t="s" s="2">
        <v>17</v>
      </c>
      <c r="L84" s="3">
        <v>4</v>
      </c>
      <c r="M84" t="s" s="2">
        <v>18</v>
      </c>
      <c r="N84" t="s" s="2">
        <v>35</v>
      </c>
      <c r="O84" s="3">
        <v>40</v>
      </c>
      <c r="P84" t="str" s="8" cm="1">
        <f t="array" ref="P84">IF(O84="","check","Okay")</f>
        <v>Okay</v>
      </c>
      <c r="Q84" t="str" s="8" cm="1">
        <f t="array" ref="Q84">IF(O84&lt;30,"UNDER 30",IF(O84&lt;=50,"30-50","Over 50"))</f>
        <v>30-50</v>
      </c>
      <c r="R84" t="s" s="2">
        <v>20</v>
      </c>
      <c r="S84" s="3" cm="1">
        <f t="array" ref="S84">COUNTIF(A2:A1001,A84)</f>
        <v>1</v>
      </c>
      <c r="T84" t="str" s="8" cm="1">
        <f t="array" ref="T84">IF(ISNUMBER(F84),"Ok","check")</f>
        <v>Ok</v>
      </c>
      <c r="U84" t="str" s="8" cm="1">
        <f t="array" ref="U84">IF(ISNUMBER(O84),"ok","check")</f>
        <v>ok</v>
      </c>
    </row>
    <row r="85" ht="13.55" customHeight="1">
      <c r="A85" s="3">
        <v>18283</v>
      </c>
      <c r="B85" t="s" s="2">
        <v>25</v>
      </c>
      <c r="C85" t="str" s="8" cm="1">
        <f t="array" ref="C85">IF(B85="M","Married","Single")</f>
        <v>Single</v>
      </c>
      <c r="D85" t="s" s="2">
        <v>14</v>
      </c>
      <c r="E85" t="str" s="8" cm="1">
        <f t="array" ref="E85">IF(D85="M","Male",IF(D85="F","Female","Check"))</f>
        <v>Female</v>
      </c>
      <c r="F85" s="4">
        <v>100000</v>
      </c>
      <c r="G85" t="str" s="8" cm="1">
        <f t="array" ref="G85">IF(F85="","Check","okay")</f>
        <v>okay</v>
      </c>
      <c r="H85" s="3">
        <v>0</v>
      </c>
      <c r="I85" t="s" s="2">
        <v>15</v>
      </c>
      <c r="J85" t="s" s="2">
        <v>23</v>
      </c>
      <c r="K85" t="s" s="2">
        <v>20</v>
      </c>
      <c r="L85" s="3">
        <v>1</v>
      </c>
      <c r="M85" t="s" s="2">
        <v>26</v>
      </c>
      <c r="N85" t="s" s="2">
        <v>27</v>
      </c>
      <c r="O85" s="3">
        <v>40</v>
      </c>
      <c r="P85" t="str" s="8" cm="1">
        <f t="array" ref="P85">IF(O85="","check","Okay")</f>
        <v>Okay</v>
      </c>
      <c r="Q85" t="str" s="8" cm="1">
        <f t="array" ref="Q85">IF(O85&lt;30,"UNDER 30",IF(O85&lt;=50,"30-50","Over 50"))</f>
        <v>30-50</v>
      </c>
      <c r="R85" t="s" s="2">
        <v>20</v>
      </c>
      <c r="S85" s="3" cm="1">
        <f t="array" ref="S85">COUNTIF(A2:A1001,A85)</f>
        <v>1</v>
      </c>
      <c r="T85" t="str" s="8" cm="1">
        <f t="array" ref="T85">IF(ISNUMBER(F85),"Ok","check")</f>
        <v>Ok</v>
      </c>
      <c r="U85" t="str" s="8" cm="1">
        <f t="array" ref="U85">IF(ISNUMBER(O85),"ok","check")</f>
        <v>ok</v>
      </c>
    </row>
    <row r="86" ht="13.55" customHeight="1">
      <c r="A86" s="3">
        <v>15940</v>
      </c>
      <c r="B86" t="s" s="2">
        <v>13</v>
      </c>
      <c r="C86" t="str" s="8" cm="1">
        <f t="array" ref="C86">IF(B86="M","Married","Single")</f>
        <v>Married</v>
      </c>
      <c r="D86" t="s" s="2">
        <v>13</v>
      </c>
      <c r="E86" t="str" s="8" cm="1">
        <f t="array" ref="E86">IF(D86="M","Male",IF(D86="F","Female","Check"))</f>
        <v>Male</v>
      </c>
      <c r="F86" s="4">
        <v>100000</v>
      </c>
      <c r="G86" t="str" s="8" cm="1">
        <f t="array" ref="G86">IF(F86="","Check","okay")</f>
        <v>okay</v>
      </c>
      <c r="H86" s="3">
        <v>4</v>
      </c>
      <c r="I86" t="s" s="2">
        <v>21</v>
      </c>
      <c r="J86" t="s" s="2">
        <v>23</v>
      </c>
      <c r="K86" t="s" s="2">
        <v>17</v>
      </c>
      <c r="L86" s="3">
        <v>4</v>
      </c>
      <c r="M86" t="s" s="2">
        <v>18</v>
      </c>
      <c r="N86" t="s" s="2">
        <v>35</v>
      </c>
      <c r="O86" s="3">
        <v>40</v>
      </c>
      <c r="P86" t="str" s="8" cm="1">
        <f t="array" ref="P86">IF(O86="","check","Okay")</f>
        <v>Okay</v>
      </c>
      <c r="Q86" t="str" s="8" cm="1">
        <f t="array" ref="Q86">IF(O86&lt;30,"UNDER 30",IF(O86&lt;=50,"30-50","Over 50"))</f>
        <v>30-50</v>
      </c>
      <c r="R86" t="s" s="2">
        <v>20</v>
      </c>
      <c r="S86" s="3" cm="1">
        <f t="array" ref="S86">COUNTIF(A2:A1001,A86)</f>
        <v>1</v>
      </c>
      <c r="T86" t="str" s="8" cm="1">
        <f t="array" ref="T86">IF(ISNUMBER(F86),"Ok","check")</f>
        <v>Ok</v>
      </c>
      <c r="U86" t="str" s="8" cm="1">
        <f t="array" ref="U86">IF(ISNUMBER(O86),"ok","check")</f>
        <v>ok</v>
      </c>
    </row>
    <row r="87" ht="13.55" customHeight="1">
      <c r="A87" s="3">
        <v>20228</v>
      </c>
      <c r="B87" t="s" s="2">
        <v>13</v>
      </c>
      <c r="C87" t="str" s="8" cm="1">
        <f t="array" ref="C87">IF(B87="M","Married","Single")</f>
        <v>Married</v>
      </c>
      <c r="D87" t="s" s="2">
        <v>13</v>
      </c>
      <c r="E87" t="str" s="8" cm="1">
        <f t="array" ref="E87">IF(D87="M","Male",IF(D87="F","Female","Check"))</f>
        <v>Male</v>
      </c>
      <c r="F87" s="4">
        <v>100000</v>
      </c>
      <c r="G87" t="str" s="8" cm="1">
        <f t="array" ref="G87">IF(F87="","Check","okay")</f>
        <v>okay</v>
      </c>
      <c r="H87" s="3">
        <v>0</v>
      </c>
      <c r="I87" t="s" s="2">
        <v>34</v>
      </c>
      <c r="J87" t="s" s="2">
        <v>31</v>
      </c>
      <c r="K87" t="s" s="2">
        <v>17</v>
      </c>
      <c r="L87" s="3">
        <v>0</v>
      </c>
      <c r="M87" t="s" s="2">
        <v>24</v>
      </c>
      <c r="N87" t="s" s="2">
        <v>27</v>
      </c>
      <c r="O87" s="3">
        <v>40</v>
      </c>
      <c r="P87" t="str" s="8" cm="1">
        <f t="array" ref="P87">IF(O87="","check","Okay")</f>
        <v>Okay</v>
      </c>
      <c r="Q87" t="str" s="8" cm="1">
        <f t="array" ref="Q87">IF(O87&lt;30,"UNDER 30",IF(O87&lt;=50,"30-50","Over 50"))</f>
        <v>30-50</v>
      </c>
      <c r="R87" t="s" s="2">
        <v>17</v>
      </c>
      <c r="S87" s="3" cm="1">
        <f t="array" ref="S87">COUNTIF(A2:A1001,A87)</f>
        <v>1</v>
      </c>
      <c r="T87" t="str" s="8" cm="1">
        <f t="array" ref="T87">IF(ISNUMBER(F87),"Ok","check")</f>
        <v>Ok</v>
      </c>
      <c r="U87" t="str" s="8" cm="1">
        <f t="array" ref="U87">IF(ISNUMBER(O87),"ok","check")</f>
        <v>ok</v>
      </c>
    </row>
    <row r="88" ht="13.55" customHeight="1">
      <c r="A88" s="3">
        <v>11259</v>
      </c>
      <c r="B88" t="s" s="2">
        <v>13</v>
      </c>
      <c r="C88" t="str" s="8" cm="1">
        <f t="array" ref="C88">IF(B88="M","Married","Single")</f>
        <v>Married</v>
      </c>
      <c r="D88" t="s" s="2">
        <v>14</v>
      </c>
      <c r="E88" t="str" s="8" cm="1">
        <f t="array" ref="E88">IF(D88="M","Male",IF(D88="F","Female","Check"))</f>
        <v>Female</v>
      </c>
      <c r="F88" s="4">
        <v>100000</v>
      </c>
      <c r="G88" t="str" s="8" cm="1">
        <f t="array" ref="G88">IF(F88="","Check","okay")</f>
        <v>okay</v>
      </c>
      <c r="H88" s="3">
        <v>4</v>
      </c>
      <c r="I88" t="s" s="2">
        <v>21</v>
      </c>
      <c r="J88" t="s" s="2">
        <v>23</v>
      </c>
      <c r="K88" t="s" s="2">
        <v>17</v>
      </c>
      <c r="L88" s="3">
        <v>4</v>
      </c>
      <c r="M88" t="s" s="2">
        <v>24</v>
      </c>
      <c r="N88" t="s" s="2">
        <v>35</v>
      </c>
      <c r="O88" s="3">
        <v>41</v>
      </c>
      <c r="P88" t="str" s="8" cm="1">
        <f t="array" ref="P88">IF(O88="","check","Okay")</f>
        <v>Okay</v>
      </c>
      <c r="Q88" t="str" s="8" cm="1">
        <f t="array" ref="Q88">IF(O88&lt;30,"UNDER 30",IF(O88&lt;=50,"30-50","Over 50"))</f>
        <v>30-50</v>
      </c>
      <c r="R88" t="s" s="2">
        <v>17</v>
      </c>
      <c r="S88" s="3" cm="1">
        <f t="array" ref="S88">COUNTIF(A2:A1001,A88)</f>
        <v>1</v>
      </c>
      <c r="T88" t="str" s="8" cm="1">
        <f t="array" ref="T88">IF(ISNUMBER(F88),"Ok","check")</f>
        <v>Ok</v>
      </c>
      <c r="U88" t="str" s="8" cm="1">
        <f t="array" ref="U88">IF(ISNUMBER(O88),"ok","check")</f>
        <v>ok</v>
      </c>
    </row>
    <row r="89" ht="13.55" customHeight="1">
      <c r="A89" s="3">
        <v>18517</v>
      </c>
      <c r="B89" t="s" s="2">
        <v>13</v>
      </c>
      <c r="C89" t="str" s="8" cm="1">
        <f t="array" ref="C89">IF(B89="M","Married","Single")</f>
        <v>Married</v>
      </c>
      <c r="D89" t="s" s="2">
        <v>13</v>
      </c>
      <c r="E89" t="str" s="8" cm="1">
        <f t="array" ref="E89">IF(D89="M","Male",IF(D89="F","Female","Check"))</f>
        <v>Male</v>
      </c>
      <c r="F89" s="4">
        <v>100000</v>
      </c>
      <c r="G89" t="str" s="8" cm="1">
        <f t="array" ref="G89">IF(F89="","Check","okay")</f>
        <v>okay</v>
      </c>
      <c r="H89" s="3">
        <v>3</v>
      </c>
      <c r="I89" t="s" s="2">
        <v>15</v>
      </c>
      <c r="J89" t="s" s="2">
        <v>31</v>
      </c>
      <c r="K89" t="s" s="2">
        <v>17</v>
      </c>
      <c r="L89" s="3">
        <v>4</v>
      </c>
      <c r="M89" t="s" s="2">
        <v>18</v>
      </c>
      <c r="N89" t="s" s="2">
        <v>35</v>
      </c>
      <c r="O89" s="3">
        <v>41</v>
      </c>
      <c r="P89" t="str" s="8" cm="1">
        <f t="array" ref="P89">IF(O89="","check","Okay")</f>
        <v>Okay</v>
      </c>
      <c r="Q89" t="str" s="8" cm="1">
        <f t="array" ref="Q89">IF(O89&lt;30,"UNDER 30",IF(O89&lt;=50,"30-50","Over 50"))</f>
        <v>30-50</v>
      </c>
      <c r="R89" t="s" s="2">
        <v>20</v>
      </c>
      <c r="S89" s="3" cm="1">
        <f t="array" ref="S89">COUNTIF(A2:A1001,A89)</f>
        <v>1</v>
      </c>
      <c r="T89" t="str" s="8" cm="1">
        <f t="array" ref="T89">IF(ISNUMBER(F89),"Ok","check")</f>
        <v>Ok</v>
      </c>
      <c r="U89" t="str" s="8" cm="1">
        <f t="array" ref="U89">IF(ISNUMBER(O89),"ok","check")</f>
        <v>ok</v>
      </c>
    </row>
    <row r="90" ht="13.55" customHeight="1">
      <c r="A90" s="3">
        <v>27637</v>
      </c>
      <c r="B90" t="s" s="2">
        <v>25</v>
      </c>
      <c r="C90" t="str" s="8" cm="1">
        <f t="array" ref="C90">IF(B90="M","Married","Single")</f>
        <v>Single</v>
      </c>
      <c r="D90" t="s" s="2">
        <v>14</v>
      </c>
      <c r="E90" t="str" s="8" cm="1">
        <f t="array" ref="E90">IF(D90="M","Male",IF(D90="F","Female","Check"))</f>
        <v>Female</v>
      </c>
      <c r="F90" s="4">
        <v>100000</v>
      </c>
      <c r="G90" t="str" s="8" cm="1">
        <f t="array" ref="G90">IF(F90="","Check","okay")</f>
        <v>okay</v>
      </c>
      <c r="H90" s="3">
        <v>1</v>
      </c>
      <c r="I90" t="s" s="2">
        <v>21</v>
      </c>
      <c r="J90" t="s" s="2">
        <v>23</v>
      </c>
      <c r="K90" t="s" s="2">
        <v>20</v>
      </c>
      <c r="L90" s="3">
        <v>3</v>
      </c>
      <c r="M90" t="s" s="2">
        <v>29</v>
      </c>
      <c r="N90" t="s" s="2">
        <v>35</v>
      </c>
      <c r="O90" s="3">
        <v>44</v>
      </c>
      <c r="P90" t="str" s="8" cm="1">
        <f t="array" ref="P90">IF(O90="","check","Okay")</f>
        <v>Okay</v>
      </c>
      <c r="Q90" t="str" s="8" cm="1">
        <f t="array" ref="Q90">IF(O90&lt;30,"UNDER 30",IF(O90&lt;=50,"30-50","Over 50"))</f>
        <v>30-50</v>
      </c>
      <c r="R90" t="s" s="2">
        <v>20</v>
      </c>
      <c r="S90" s="3" cm="1">
        <f t="array" ref="S90">COUNTIF(A2:A1001,A90)</f>
        <v>1</v>
      </c>
      <c r="T90" t="str" s="8" cm="1">
        <f t="array" ref="T90">IF(ISNUMBER(F90),"Ok","check")</f>
        <v>Ok</v>
      </c>
      <c r="U90" t="str" s="8" cm="1">
        <f t="array" ref="U90">IF(ISNUMBER(O90),"ok","check")</f>
        <v>ok</v>
      </c>
    </row>
    <row r="91" ht="13.55" customHeight="1">
      <c r="A91" s="3">
        <v>27638</v>
      </c>
      <c r="B91" t="s" s="2">
        <v>25</v>
      </c>
      <c r="C91" t="str" s="8" cm="1">
        <f t="array" ref="C91">IF(B91="M","Married","Single")</f>
        <v>Single</v>
      </c>
      <c r="D91" t="s" s="2">
        <v>13</v>
      </c>
      <c r="E91" t="str" s="8" cm="1">
        <f t="array" ref="E91">IF(D91="M","Male",IF(D91="F","Female","Check"))</f>
        <v>Male</v>
      </c>
      <c r="F91" s="4">
        <v>100000</v>
      </c>
      <c r="G91" t="str" s="8" cm="1">
        <f t="array" ref="G91">IF(F91="","Check","okay")</f>
        <v>okay</v>
      </c>
      <c r="H91" s="3">
        <v>1</v>
      </c>
      <c r="I91" t="s" s="2">
        <v>21</v>
      </c>
      <c r="J91" t="s" s="2">
        <v>23</v>
      </c>
      <c r="K91" t="s" s="2">
        <v>20</v>
      </c>
      <c r="L91" s="3">
        <v>3</v>
      </c>
      <c r="M91" t="s" s="2">
        <v>29</v>
      </c>
      <c r="N91" t="s" s="2">
        <v>35</v>
      </c>
      <c r="O91" s="3">
        <v>44</v>
      </c>
      <c r="P91" t="str" s="8" cm="1">
        <f t="array" ref="P91">IF(O91="","check","Okay")</f>
        <v>Okay</v>
      </c>
      <c r="Q91" t="str" s="8" cm="1">
        <f t="array" ref="Q91">IF(O91&lt;30,"UNDER 30",IF(O91&lt;=50,"30-50","Over 50"))</f>
        <v>30-50</v>
      </c>
      <c r="R91" t="s" s="2">
        <v>20</v>
      </c>
      <c r="S91" s="3" cm="1">
        <f t="array" ref="S91">COUNTIF(A2:A1001,A91)</f>
        <v>1</v>
      </c>
      <c r="T91" t="str" s="8" cm="1">
        <f t="array" ref="T91">IF(ISNUMBER(F91),"Ok","check")</f>
        <v>Ok</v>
      </c>
      <c r="U91" t="str" s="8" cm="1">
        <f t="array" ref="U91">IF(ISNUMBER(O91),"ok","check")</f>
        <v>ok</v>
      </c>
    </row>
    <row r="92" ht="13.55" customHeight="1">
      <c r="A92" s="3">
        <v>14469</v>
      </c>
      <c r="B92" t="s" s="2">
        <v>13</v>
      </c>
      <c r="C92" t="str" s="8" cm="1">
        <f t="array" ref="C92">IF(B92="M","Married","Single")</f>
        <v>Married</v>
      </c>
      <c r="D92" t="s" s="2">
        <v>14</v>
      </c>
      <c r="E92" t="str" s="8" cm="1">
        <f t="array" ref="E92">IF(D92="M","Male",IF(D92="F","Female","Check"))</f>
        <v>Female</v>
      </c>
      <c r="F92" s="4">
        <v>100000</v>
      </c>
      <c r="G92" t="str" s="8" cm="1">
        <f t="array" ref="G92">IF(F92="","Check","okay")</f>
        <v>okay</v>
      </c>
      <c r="H92" s="3">
        <v>3</v>
      </c>
      <c r="I92" t="s" s="2">
        <v>21</v>
      </c>
      <c r="J92" t="s" s="2">
        <v>23</v>
      </c>
      <c r="K92" t="s" s="2">
        <v>17</v>
      </c>
      <c r="L92" s="3">
        <v>4</v>
      </c>
      <c r="M92" t="s" s="2">
        <v>29</v>
      </c>
      <c r="N92" t="s" s="2">
        <v>35</v>
      </c>
      <c r="O92" s="3">
        <v>45</v>
      </c>
      <c r="P92" t="str" s="8" cm="1">
        <f t="array" ref="P92">IF(O92="","check","Okay")</f>
        <v>Okay</v>
      </c>
      <c r="Q92" t="str" s="8" cm="1">
        <f t="array" ref="Q92">IF(O92&lt;30,"UNDER 30",IF(O92&lt;=50,"30-50","Over 50"))</f>
        <v>30-50</v>
      </c>
      <c r="R92" t="s" s="2">
        <v>20</v>
      </c>
      <c r="S92" s="3" cm="1">
        <f t="array" ref="S92">COUNTIF(A2:A1001,A92)</f>
        <v>1</v>
      </c>
      <c r="T92" t="str" s="8" cm="1">
        <f t="array" ref="T92">IF(ISNUMBER(F92),"Ok","check")</f>
        <v>Ok</v>
      </c>
      <c r="U92" t="str" s="8" cm="1">
        <f t="array" ref="U92">IF(ISNUMBER(O92),"ok","check")</f>
        <v>ok</v>
      </c>
    </row>
    <row r="93" ht="13.55" customHeight="1">
      <c r="A93" s="3">
        <v>23491</v>
      </c>
      <c r="B93" t="s" s="2">
        <v>25</v>
      </c>
      <c r="C93" t="str" s="8" cm="1">
        <f t="array" ref="C93">IF(B93="M","Married","Single")</f>
        <v>Single</v>
      </c>
      <c r="D93" t="s" s="2">
        <v>13</v>
      </c>
      <c r="E93" t="str" s="8" cm="1">
        <f t="array" ref="E93">IF(D93="M","Male",IF(D93="F","Female","Check"))</f>
        <v>Male</v>
      </c>
      <c r="F93" s="4">
        <v>100000</v>
      </c>
      <c r="G93" t="str" s="8" cm="1">
        <f t="array" ref="G93">IF(F93="","Check","okay")</f>
        <v>okay</v>
      </c>
      <c r="H93" s="3">
        <v>0</v>
      </c>
      <c r="I93" t="s" s="2">
        <v>21</v>
      </c>
      <c r="J93" t="s" s="2">
        <v>23</v>
      </c>
      <c r="K93" t="s" s="2">
        <v>20</v>
      </c>
      <c r="L93" s="3">
        <v>4</v>
      </c>
      <c r="M93" t="s" s="2">
        <v>29</v>
      </c>
      <c r="N93" t="s" s="2">
        <v>35</v>
      </c>
      <c r="O93" s="3">
        <v>45</v>
      </c>
      <c r="P93" t="str" s="8" cm="1">
        <f t="array" ref="P93">IF(O93="","check","Okay")</f>
        <v>Okay</v>
      </c>
      <c r="Q93" t="str" s="8" cm="1">
        <f t="array" ref="Q93">IF(O93&lt;30,"UNDER 30",IF(O93&lt;=50,"30-50","Over 50"))</f>
        <v>30-50</v>
      </c>
      <c r="R93" t="s" s="2">
        <v>20</v>
      </c>
      <c r="S93" s="3" cm="1">
        <f t="array" ref="S93">COUNTIF(A2:A1001,A93)</f>
        <v>1</v>
      </c>
      <c r="T93" t="str" s="8" cm="1">
        <f t="array" ref="T93">IF(ISNUMBER(F93),"Ok","check")</f>
        <v>Ok</v>
      </c>
      <c r="U93" t="str" s="8" cm="1">
        <f t="array" ref="U93">IF(ISNUMBER(O93),"ok","check")</f>
        <v>ok</v>
      </c>
    </row>
    <row r="94" ht="13.55" customHeight="1">
      <c r="A94" s="3">
        <v>17324</v>
      </c>
      <c r="B94" t="s" s="2">
        <v>13</v>
      </c>
      <c r="C94" t="str" s="8" cm="1">
        <f t="array" ref="C94">IF(B94="M","Married","Single")</f>
        <v>Married</v>
      </c>
      <c r="D94" t="s" s="2">
        <v>14</v>
      </c>
      <c r="E94" t="str" s="8" cm="1">
        <f t="array" ref="E94">IF(D94="M","Male",IF(D94="F","Female","Check"))</f>
        <v>Female</v>
      </c>
      <c r="F94" s="4">
        <v>100000</v>
      </c>
      <c r="G94" t="str" s="8" cm="1">
        <f t="array" ref="G94">IF(F94="","Check","okay")</f>
        <v>okay</v>
      </c>
      <c r="H94" s="3">
        <v>4</v>
      </c>
      <c r="I94" t="s" s="2">
        <v>15</v>
      </c>
      <c r="J94" t="s" s="2">
        <v>23</v>
      </c>
      <c r="K94" t="s" s="2">
        <v>17</v>
      </c>
      <c r="L94" s="3">
        <v>1</v>
      </c>
      <c r="M94" t="s" s="2">
        <v>33</v>
      </c>
      <c r="N94" t="s" s="2">
        <v>27</v>
      </c>
      <c r="O94" s="3">
        <v>46</v>
      </c>
      <c r="P94" t="str" s="8" cm="1">
        <f t="array" ref="P94">IF(O94="","check","Okay")</f>
        <v>Okay</v>
      </c>
      <c r="Q94" t="str" s="8" cm="1">
        <f t="array" ref="Q94">IF(O94&lt;30,"UNDER 30",IF(O94&lt;=50,"30-50","Over 50"))</f>
        <v>30-50</v>
      </c>
      <c r="R94" t="s" s="2">
        <v>20</v>
      </c>
      <c r="S94" s="3" cm="1">
        <f t="array" ref="S94">COUNTIF(A2:A1001,A94)</f>
        <v>1</v>
      </c>
      <c r="T94" t="str" s="8" cm="1">
        <f t="array" ref="T94">IF(ISNUMBER(F94),"Ok","check")</f>
        <v>Ok</v>
      </c>
      <c r="U94" t="str" s="8" cm="1">
        <f t="array" ref="U94">IF(ISNUMBER(O94),"ok","check")</f>
        <v>ok</v>
      </c>
    </row>
    <row r="95" ht="13.55" customHeight="1">
      <c r="A95" s="3">
        <v>24305</v>
      </c>
      <c r="B95" t="s" s="2">
        <v>25</v>
      </c>
      <c r="C95" t="str" s="8" cm="1">
        <f t="array" ref="C95">IF(B95="M","Married","Single")</f>
        <v>Single</v>
      </c>
      <c r="D95" t="s" s="2">
        <v>13</v>
      </c>
      <c r="E95" t="str" s="8" cm="1">
        <f t="array" ref="E95">IF(D95="M","Male",IF(D95="F","Female","Check"))</f>
        <v>Male</v>
      </c>
      <c r="F95" s="4">
        <v>100000</v>
      </c>
      <c r="G95" t="str" s="8" cm="1">
        <f t="array" ref="G95">IF(F95="","Check","okay")</f>
        <v>okay</v>
      </c>
      <c r="H95" s="3">
        <v>1</v>
      </c>
      <c r="I95" t="s" s="2">
        <v>15</v>
      </c>
      <c r="J95" t="s" s="2">
        <v>31</v>
      </c>
      <c r="K95" t="s" s="2">
        <v>20</v>
      </c>
      <c r="L95" s="3">
        <v>3</v>
      </c>
      <c r="M95" t="s" s="2">
        <v>18</v>
      </c>
      <c r="N95" t="s" s="2">
        <v>27</v>
      </c>
      <c r="O95" s="3">
        <v>46</v>
      </c>
      <c r="P95" t="str" s="8" cm="1">
        <f t="array" ref="P95">IF(O95="","check","Okay")</f>
        <v>Okay</v>
      </c>
      <c r="Q95" t="str" s="8" cm="1">
        <f t="array" ref="Q95">IF(O95&lt;30,"UNDER 30",IF(O95&lt;=50,"30-50","Over 50"))</f>
        <v>30-50</v>
      </c>
      <c r="R95" t="s" s="2">
        <v>17</v>
      </c>
      <c r="S95" s="3" cm="1">
        <f t="array" ref="S95">COUNTIF(A2:A1001,A95)</f>
        <v>1</v>
      </c>
      <c r="T95" t="str" s="8" cm="1">
        <f t="array" ref="T95">IF(ISNUMBER(F95),"Ok","check")</f>
        <v>Ok</v>
      </c>
      <c r="U95" t="str" s="8" cm="1">
        <f t="array" ref="U95">IF(ISNUMBER(O95),"ok","check")</f>
        <v>ok</v>
      </c>
    </row>
    <row r="96" ht="13.55" customHeight="1">
      <c r="A96" s="3">
        <v>25058</v>
      </c>
      <c r="B96" t="s" s="2">
        <v>13</v>
      </c>
      <c r="C96" t="str" s="8" cm="1">
        <f t="array" ref="C96">IF(B96="M","Married","Single")</f>
        <v>Married</v>
      </c>
      <c r="D96" t="s" s="2">
        <v>13</v>
      </c>
      <c r="E96" t="str" s="8" cm="1">
        <f t="array" ref="E96">IF(D96="M","Male",IF(D96="F","Female","Check"))</f>
        <v>Male</v>
      </c>
      <c r="F96" s="4">
        <v>100000</v>
      </c>
      <c r="G96" t="str" s="8" cm="1">
        <f t="array" ref="G96">IF(F96="","Check","okay")</f>
        <v>okay</v>
      </c>
      <c r="H96" s="3">
        <v>1</v>
      </c>
      <c r="I96" t="s" s="2">
        <v>15</v>
      </c>
      <c r="J96" t="s" s="2">
        <v>31</v>
      </c>
      <c r="K96" t="s" s="2">
        <v>17</v>
      </c>
      <c r="L96" s="3">
        <v>3</v>
      </c>
      <c r="M96" t="s" s="2">
        <v>24</v>
      </c>
      <c r="N96" t="s" s="2">
        <v>27</v>
      </c>
      <c r="O96" s="3">
        <v>47</v>
      </c>
      <c r="P96" t="str" s="8" cm="1">
        <f t="array" ref="P96">IF(O96="","check","Okay")</f>
        <v>Okay</v>
      </c>
      <c r="Q96" t="str" s="8" cm="1">
        <f t="array" ref="Q96">IF(O96&lt;30,"UNDER 30",IF(O96&lt;=50,"30-50","Over 50"))</f>
        <v>30-50</v>
      </c>
      <c r="R96" t="s" s="2">
        <v>20</v>
      </c>
      <c r="S96" s="3" cm="1">
        <f t="array" ref="S96">COUNTIF(A2:A1001,A96)</f>
        <v>1</v>
      </c>
      <c r="T96" t="str" s="8" cm="1">
        <f t="array" ref="T96">IF(ISNUMBER(F96),"Ok","check")</f>
        <v>Ok</v>
      </c>
      <c r="U96" t="str" s="8" cm="1">
        <f t="array" ref="U96">IF(ISNUMBER(O96),"ok","check")</f>
        <v>ok</v>
      </c>
    </row>
    <row r="97" ht="13.55" customHeight="1">
      <c r="A97" s="3">
        <v>13133</v>
      </c>
      <c r="B97" t="s" s="2">
        <v>25</v>
      </c>
      <c r="C97" t="str" s="8" cm="1">
        <f t="array" ref="C97">IF(B97="M","Married","Single")</f>
        <v>Single</v>
      </c>
      <c r="D97" t="s" s="2">
        <v>13</v>
      </c>
      <c r="E97" t="str" s="8" cm="1">
        <f t="array" ref="E97">IF(D97="M","Male",IF(D97="F","Female","Check"))</f>
        <v>Male</v>
      </c>
      <c r="F97" s="4">
        <v>100000</v>
      </c>
      <c r="G97" t="str" s="8" cm="1">
        <f t="array" ref="G97">IF(F97="","Check","okay")</f>
        <v>okay</v>
      </c>
      <c r="H97" s="3">
        <v>5</v>
      </c>
      <c r="I97" t="s" s="2">
        <v>15</v>
      </c>
      <c r="J97" t="s" s="2">
        <v>23</v>
      </c>
      <c r="K97" t="s" s="2">
        <v>17</v>
      </c>
      <c r="L97" s="3">
        <v>1</v>
      </c>
      <c r="M97" t="s" s="2">
        <v>26</v>
      </c>
      <c r="N97" t="s" s="2">
        <v>27</v>
      </c>
      <c r="O97" s="3">
        <v>47</v>
      </c>
      <c r="P97" t="str" s="8" cm="1">
        <f t="array" ref="P97">IF(O97="","check","Okay")</f>
        <v>Okay</v>
      </c>
      <c r="Q97" t="str" s="8" cm="1">
        <f t="array" ref="Q97">IF(O97&lt;30,"UNDER 30",IF(O97&lt;=50,"30-50","Over 50"))</f>
        <v>30-50</v>
      </c>
      <c r="R97" t="s" s="2">
        <v>17</v>
      </c>
      <c r="S97" s="3" cm="1">
        <f t="array" ref="S97">COUNTIF(A2:A1001,A97)</f>
        <v>1</v>
      </c>
      <c r="T97" t="str" s="8" cm="1">
        <f t="array" ref="T97">IF(ISNUMBER(F97),"Ok","check")</f>
        <v>Ok</v>
      </c>
      <c r="U97" t="str" s="8" cm="1">
        <f t="array" ref="U97">IF(ISNUMBER(O97),"ok","check")</f>
        <v>ok</v>
      </c>
    </row>
    <row r="98" ht="13.55" customHeight="1">
      <c r="A98" s="3">
        <v>29120</v>
      </c>
      <c r="B98" t="s" s="2">
        <v>25</v>
      </c>
      <c r="C98" t="str" s="8" cm="1">
        <f t="array" ref="C98">IF(B98="M","Married","Single")</f>
        <v>Single</v>
      </c>
      <c r="D98" t="s" s="2">
        <v>14</v>
      </c>
      <c r="E98" t="str" s="8" cm="1">
        <f t="array" ref="E98">IF(D98="M","Male",IF(D98="F","Female","Check"))</f>
        <v>Female</v>
      </c>
      <c r="F98" s="4">
        <v>100000</v>
      </c>
      <c r="G98" t="str" s="8" cm="1">
        <f t="array" ref="G98">IF(F98="","Check","okay")</f>
        <v>okay</v>
      </c>
      <c r="H98" s="3">
        <v>1</v>
      </c>
      <c r="I98" t="s" s="2">
        <v>15</v>
      </c>
      <c r="J98" t="s" s="2">
        <v>31</v>
      </c>
      <c r="K98" t="s" s="2">
        <v>17</v>
      </c>
      <c r="L98" s="3">
        <v>4</v>
      </c>
      <c r="M98" t="s" s="2">
        <v>24</v>
      </c>
      <c r="N98" t="s" s="2">
        <v>27</v>
      </c>
      <c r="O98" s="3">
        <v>48</v>
      </c>
      <c r="P98" t="str" s="8" cm="1">
        <f t="array" ref="P98">IF(O98="","check","Okay")</f>
        <v>Okay</v>
      </c>
      <c r="Q98" t="str" s="8" cm="1">
        <f t="array" ref="Q98">IF(O98&lt;30,"UNDER 30",IF(O98&lt;=50,"30-50","Over 50"))</f>
        <v>30-50</v>
      </c>
      <c r="R98" t="s" s="2">
        <v>20</v>
      </c>
      <c r="S98" s="3" cm="1">
        <f t="array" ref="S98">COUNTIF(A2:A1001,A98)</f>
        <v>1</v>
      </c>
      <c r="T98" t="str" s="8" cm="1">
        <f t="array" ref="T98">IF(ISNUMBER(F98),"Ok","check")</f>
        <v>Ok</v>
      </c>
      <c r="U98" t="str" s="8" cm="1">
        <f t="array" ref="U98">IF(ISNUMBER(O98),"ok","check")</f>
        <v>ok</v>
      </c>
    </row>
    <row r="99" ht="13.55" customHeight="1">
      <c r="A99" s="3">
        <v>29117</v>
      </c>
      <c r="B99" t="s" s="2">
        <v>25</v>
      </c>
      <c r="C99" t="str" s="8" cm="1">
        <f t="array" ref="C99">IF(B99="M","Married","Single")</f>
        <v>Single</v>
      </c>
      <c r="D99" t="s" s="2">
        <v>13</v>
      </c>
      <c r="E99" t="str" s="8" cm="1">
        <f t="array" ref="E99">IF(D99="M","Male",IF(D99="F","Female","Check"))</f>
        <v>Male</v>
      </c>
      <c r="F99" s="4">
        <v>100000</v>
      </c>
      <c r="G99" t="str" s="8" cm="1">
        <f t="array" ref="G99">IF(F99="","Check","okay")</f>
        <v>okay</v>
      </c>
      <c r="H99" s="3">
        <v>1</v>
      </c>
      <c r="I99" t="s" s="2">
        <v>15</v>
      </c>
      <c r="J99" t="s" s="2">
        <v>31</v>
      </c>
      <c r="K99" t="s" s="2">
        <v>20</v>
      </c>
      <c r="L99" s="3">
        <v>3</v>
      </c>
      <c r="M99" t="s" s="2">
        <v>18</v>
      </c>
      <c r="N99" t="s" s="2">
        <v>27</v>
      </c>
      <c r="O99" s="3">
        <v>48</v>
      </c>
      <c r="P99" t="str" s="8" cm="1">
        <f t="array" ref="P99">IF(O99="","check","Okay")</f>
        <v>Okay</v>
      </c>
      <c r="Q99" t="str" s="8" cm="1">
        <f t="array" ref="Q99">IF(O99&lt;30,"UNDER 30",IF(O99&lt;=50,"30-50","Over 50"))</f>
        <v>30-50</v>
      </c>
      <c r="R99" t="s" s="2">
        <v>20</v>
      </c>
      <c r="S99" s="3" cm="1">
        <f t="array" ref="S99">COUNTIF(A2:A1001,A99)</f>
        <v>1</v>
      </c>
      <c r="T99" t="str" s="8" cm="1">
        <f t="array" ref="T99">IF(ISNUMBER(F99),"Ok","check")</f>
        <v>Ok</v>
      </c>
      <c r="U99" t="str" s="8" cm="1">
        <f t="array" ref="U99">IF(ISNUMBER(O99),"ok","check")</f>
        <v>ok</v>
      </c>
    </row>
    <row r="100" ht="13.55" customHeight="1">
      <c r="A100" s="3">
        <v>14193</v>
      </c>
      <c r="B100" t="s" s="2">
        <v>25</v>
      </c>
      <c r="C100" t="str" s="8" cm="1">
        <f t="array" ref="C100">IF(B100="M","Married","Single")</f>
        <v>Single</v>
      </c>
      <c r="D100" t="s" s="2">
        <v>14</v>
      </c>
      <c r="E100" t="str" s="8" cm="1">
        <f t="array" ref="E100">IF(D100="M","Male",IF(D100="F","Female","Check"))</f>
        <v>Female</v>
      </c>
      <c r="F100" s="4">
        <v>100000</v>
      </c>
      <c r="G100" t="str" s="8" cm="1">
        <f t="array" ref="G100">IF(F100="","Check","okay")</f>
        <v>okay</v>
      </c>
      <c r="H100" s="3">
        <v>3</v>
      </c>
      <c r="I100" t="s" s="2">
        <v>21</v>
      </c>
      <c r="J100" t="s" s="2">
        <v>31</v>
      </c>
      <c r="K100" t="s" s="2">
        <v>17</v>
      </c>
      <c r="L100" s="3">
        <v>4</v>
      </c>
      <c r="M100" t="s" s="2">
        <v>33</v>
      </c>
      <c r="N100" t="s" s="2">
        <v>19</v>
      </c>
      <c r="O100" s="3">
        <v>56</v>
      </c>
      <c r="P100" t="str" s="8" cm="1">
        <f t="array" ref="P100">IF(O100="","check","Okay")</f>
        <v>Okay</v>
      </c>
      <c r="Q100" t="str" s="8" cm="1">
        <f t="array" ref="Q100">IF(O100&lt;30,"UNDER 30",IF(O100&lt;=50,"30-50","Over 50"))</f>
        <v>Over 50</v>
      </c>
      <c r="R100" t="s" s="2">
        <v>20</v>
      </c>
      <c r="S100" s="3" cm="1">
        <f t="array" ref="S100">COUNTIF(A2:A1001,A100)</f>
        <v>1</v>
      </c>
      <c r="T100" t="str" s="8" cm="1">
        <f t="array" ref="T100">IF(ISNUMBER(F100),"Ok","check")</f>
        <v>Ok</v>
      </c>
      <c r="U100" t="str" s="8" cm="1">
        <f t="array" ref="U100">IF(ISNUMBER(O100),"ok","check")</f>
        <v>ok</v>
      </c>
    </row>
    <row r="101" ht="13.55" customHeight="1">
      <c r="A101" s="3">
        <v>23627</v>
      </c>
      <c r="B101" t="s" s="2">
        <v>25</v>
      </c>
      <c r="C101" t="str" s="8" cm="1">
        <f t="array" ref="C101">IF(B101="M","Married","Single")</f>
        <v>Single</v>
      </c>
      <c r="D101" t="s" s="2">
        <v>14</v>
      </c>
      <c r="E101" t="str" s="8" cm="1">
        <f t="array" ref="E101">IF(D101="M","Male",IF(D101="F","Female","Check"))</f>
        <v>Female</v>
      </c>
      <c r="F101" s="4">
        <v>100000</v>
      </c>
      <c r="G101" t="str" s="8" cm="1">
        <f t="array" ref="G101">IF(F101="","Check","okay")</f>
        <v>okay</v>
      </c>
      <c r="H101" s="3">
        <v>3</v>
      </c>
      <c r="I101" t="s" s="2">
        <v>21</v>
      </c>
      <c r="J101" t="s" s="2">
        <v>31</v>
      </c>
      <c r="K101" t="s" s="2">
        <v>20</v>
      </c>
      <c r="L101" s="3">
        <v>4</v>
      </c>
      <c r="M101" t="s" s="2">
        <v>26</v>
      </c>
      <c r="N101" t="s" s="2">
        <v>19</v>
      </c>
      <c r="O101" s="3">
        <v>56</v>
      </c>
      <c r="P101" t="str" s="8" cm="1">
        <f t="array" ref="P101">IF(O101="","check","Okay")</f>
        <v>Okay</v>
      </c>
      <c r="Q101" t="str" s="8" cm="1">
        <f t="array" ref="Q101">IF(O101&lt;30,"UNDER 30",IF(O101&lt;=50,"30-50","Over 50"))</f>
        <v>Over 50</v>
      </c>
      <c r="R101" t="s" s="2">
        <v>20</v>
      </c>
      <c r="S101" s="3" cm="1">
        <f t="array" ref="S101">COUNTIF(A2:A1001,A101)</f>
        <v>1</v>
      </c>
      <c r="T101" t="str" s="8" cm="1">
        <f t="array" ref="T101">IF(ISNUMBER(F101),"Ok","check")</f>
        <v>Ok</v>
      </c>
      <c r="U101" t="str" s="8" cm="1">
        <f t="array" ref="U101">IF(ISNUMBER(O101),"ok","check")</f>
        <v>ok</v>
      </c>
    </row>
    <row r="102" ht="13.55" customHeight="1">
      <c r="A102" s="3">
        <v>18153</v>
      </c>
      <c r="B102" t="s" s="2">
        <v>13</v>
      </c>
      <c r="C102" t="str" s="8" cm="1">
        <f t="array" ref="C102">IF(B102="M","Married","Single")</f>
        <v>Married</v>
      </c>
      <c r="D102" t="s" s="2">
        <v>14</v>
      </c>
      <c r="E102" t="str" s="8" cm="1">
        <f t="array" ref="E102">IF(D102="M","Male",IF(D102="F","Female","Check"))</f>
        <v>Female</v>
      </c>
      <c r="F102" s="4">
        <v>100000</v>
      </c>
      <c r="G102" t="str" s="8" cm="1">
        <f t="array" ref="G102">IF(F102="","Check","okay")</f>
        <v>okay</v>
      </c>
      <c r="H102" s="3">
        <v>2</v>
      </c>
      <c r="I102" t="s" s="2">
        <v>15</v>
      </c>
      <c r="J102" t="s" s="2">
        <v>31</v>
      </c>
      <c r="K102" t="s" s="2">
        <v>17</v>
      </c>
      <c r="L102" s="3">
        <v>4</v>
      </c>
      <c r="M102" t="s" s="2">
        <v>33</v>
      </c>
      <c r="N102" t="s" s="2">
        <v>19</v>
      </c>
      <c r="O102" s="3">
        <v>59</v>
      </c>
      <c r="P102" t="str" s="8" cm="1">
        <f t="array" ref="P102">IF(O102="","check","Okay")</f>
        <v>Okay</v>
      </c>
      <c r="Q102" t="str" s="8" cm="1">
        <f t="array" ref="Q102">IF(O102&lt;30,"UNDER 30",IF(O102&lt;=50,"30-50","Over 50"))</f>
        <v>Over 50</v>
      </c>
      <c r="R102" t="s" s="2">
        <v>20</v>
      </c>
      <c r="S102" s="3" cm="1">
        <f t="array" ref="S102">COUNTIF(A2:A1001,A102)</f>
        <v>1</v>
      </c>
      <c r="T102" t="str" s="8" cm="1">
        <f t="array" ref="T102">IF(ISNUMBER(F102),"Ok","check")</f>
        <v>Ok</v>
      </c>
      <c r="U102" t="str" s="8" cm="1">
        <f t="array" ref="U102">IF(ISNUMBER(O102),"ok","check")</f>
        <v>ok</v>
      </c>
    </row>
    <row r="103" ht="13.55" customHeight="1">
      <c r="A103" s="3">
        <v>20598</v>
      </c>
      <c r="B103" t="s" s="2">
        <v>13</v>
      </c>
      <c r="C103" t="str" s="8" cm="1">
        <f t="array" ref="C103">IF(B103="M","Married","Single")</f>
        <v>Married</v>
      </c>
      <c r="D103" t="s" s="2">
        <v>13</v>
      </c>
      <c r="E103" t="str" s="8" cm="1">
        <f t="array" ref="E103">IF(D103="M","Male",IF(D103="F","Female","Check"))</f>
        <v>Male</v>
      </c>
      <c r="F103" s="4">
        <v>100000</v>
      </c>
      <c r="G103" t="str" s="8" cm="1">
        <f t="array" ref="G103">IF(F103="","Check","okay")</f>
        <v>okay</v>
      </c>
      <c r="H103" s="3">
        <v>3</v>
      </c>
      <c r="I103" t="s" s="2">
        <v>32</v>
      </c>
      <c r="J103" t="s" s="2">
        <v>23</v>
      </c>
      <c r="K103" t="s" s="2">
        <v>17</v>
      </c>
      <c r="L103" s="3">
        <v>0</v>
      </c>
      <c r="M103" t="s" s="2">
        <v>33</v>
      </c>
      <c r="N103" t="s" s="2">
        <v>19</v>
      </c>
      <c r="O103" s="3">
        <v>59</v>
      </c>
      <c r="P103" t="str" s="8" cm="1">
        <f t="array" ref="P103">IF(O103="","check","Okay")</f>
        <v>Okay</v>
      </c>
      <c r="Q103" t="str" s="8" cm="1">
        <f t="array" ref="Q103">IF(O103&lt;30,"UNDER 30",IF(O103&lt;=50,"30-50","Over 50"))</f>
        <v>Over 50</v>
      </c>
      <c r="R103" t="s" s="2">
        <v>17</v>
      </c>
      <c r="S103" s="3" cm="1">
        <f t="array" ref="S103">COUNTIF(A2:A1001,A103)</f>
        <v>1</v>
      </c>
      <c r="T103" t="str" s="8" cm="1">
        <f t="array" ref="T103">IF(ISNUMBER(F103),"Ok","check")</f>
        <v>Ok</v>
      </c>
      <c r="U103" t="str" s="8" cm="1">
        <f t="array" ref="U103">IF(ISNUMBER(O103),"ok","check")</f>
        <v>ok</v>
      </c>
    </row>
    <row r="104" ht="13.55" customHeight="1">
      <c r="A104" s="3">
        <v>14507</v>
      </c>
      <c r="B104" t="s" s="2">
        <v>13</v>
      </c>
      <c r="C104" t="str" s="8" cm="1">
        <f t="array" ref="C104">IF(B104="M","Married","Single")</f>
        <v>Married</v>
      </c>
      <c r="D104" t="s" s="2">
        <v>13</v>
      </c>
      <c r="E104" t="str" s="8" cm="1">
        <f t="array" ref="E104">IF(D104="M","Male",IF(D104="F","Female","Check"))</f>
        <v>Male</v>
      </c>
      <c r="F104" s="4">
        <v>100000</v>
      </c>
      <c r="G104" t="str" s="8" cm="1">
        <f t="array" ref="G104">IF(F104="","Check","okay")</f>
        <v>okay</v>
      </c>
      <c r="H104" s="3">
        <v>2</v>
      </c>
      <c r="I104" t="s" s="2">
        <v>34</v>
      </c>
      <c r="J104" t="s" s="2">
        <v>31</v>
      </c>
      <c r="K104" t="s" s="2">
        <v>17</v>
      </c>
      <c r="L104" s="3">
        <v>3</v>
      </c>
      <c r="M104" t="s" s="2">
        <v>29</v>
      </c>
      <c r="N104" t="s" s="2">
        <v>35</v>
      </c>
      <c r="O104" s="3">
        <v>65</v>
      </c>
      <c r="P104" t="str" s="8" cm="1">
        <f t="array" ref="P104">IF(O104="","check","Okay")</f>
        <v>Okay</v>
      </c>
      <c r="Q104" t="str" s="8" cm="1">
        <f t="array" ref="Q104">IF(O104&lt;30,"UNDER 30",IF(O104&lt;=50,"30-50","Over 50"))</f>
        <v>Over 50</v>
      </c>
      <c r="R104" t="s" s="2">
        <v>20</v>
      </c>
      <c r="S104" s="3" cm="1">
        <f t="array" ref="S104">COUNTIF(A2:A1001,A104)</f>
        <v>1</v>
      </c>
      <c r="T104" t="str" s="8" cm="1">
        <f t="array" ref="T104">IF(ISNUMBER(F104),"Ok","check")</f>
        <v>Ok</v>
      </c>
      <c r="U104" t="str" s="8" cm="1">
        <f t="array" ref="U104">IF(ISNUMBER(O104),"ok","check")</f>
        <v>ok</v>
      </c>
    </row>
    <row r="105" ht="13.55" customHeight="1">
      <c r="A105" s="3">
        <v>13415</v>
      </c>
      <c r="B105" t="s" s="2">
        <v>25</v>
      </c>
      <c r="C105" t="str" s="8" cm="1">
        <f t="array" ref="C105">IF(B105="M","Married","Single")</f>
        <v>Single</v>
      </c>
      <c r="D105" t="s" s="2">
        <v>13</v>
      </c>
      <c r="E105" t="str" s="8" cm="1">
        <f t="array" ref="E105">IF(D105="M","Male",IF(D105="F","Female","Check"))</f>
        <v>Male</v>
      </c>
      <c r="F105" s="4">
        <v>100000</v>
      </c>
      <c r="G105" t="str" s="8" cm="1">
        <f t="array" ref="G105">IF(F105="","Check","okay")</f>
        <v>okay</v>
      </c>
      <c r="H105" s="3">
        <v>1</v>
      </c>
      <c r="I105" t="s" s="2">
        <v>34</v>
      </c>
      <c r="J105" t="s" s="2">
        <v>31</v>
      </c>
      <c r="K105" t="s" s="2">
        <v>17</v>
      </c>
      <c r="L105" s="3">
        <v>3</v>
      </c>
      <c r="M105" t="s" s="2">
        <v>24</v>
      </c>
      <c r="N105" t="s" s="2">
        <v>35</v>
      </c>
      <c r="O105" s="3">
        <v>73</v>
      </c>
      <c r="P105" t="str" s="8" cm="1">
        <f t="array" ref="P105">IF(O105="","check","Okay")</f>
        <v>Okay</v>
      </c>
      <c r="Q105" t="str" s="8" cm="1">
        <f t="array" ref="Q105">IF(O105&lt;30,"UNDER 30",IF(O105&lt;=50,"30-50","Over 50"))</f>
        <v>Over 50</v>
      </c>
      <c r="R105" t="s" s="2">
        <v>17</v>
      </c>
      <c r="S105" s="3" cm="1">
        <f t="array" ref="S105">COUNTIF(A2:A1001,A105)</f>
        <v>1</v>
      </c>
      <c r="T105" t="str" s="8" cm="1">
        <f t="array" ref="T105">IF(ISNUMBER(F105),"Ok","check")</f>
        <v>Ok</v>
      </c>
      <c r="U105" t="str" s="8" cm="1">
        <f t="array" ref="U105">IF(ISNUMBER(O105),"ok","check")</f>
        <v>ok</v>
      </c>
    </row>
    <row r="106" ht="13.55" customHeight="1">
      <c r="A106" s="3">
        <v>22931</v>
      </c>
      <c r="B106" t="s" s="2">
        <v>13</v>
      </c>
      <c r="C106" t="str" s="8" cm="1">
        <f t="array" ref="C106">IF(B106="M","Married","Single")</f>
        <v>Married</v>
      </c>
      <c r="D106" t="s" s="2">
        <v>13</v>
      </c>
      <c r="E106" t="str" s="8" cm="1">
        <f t="array" ref="E106">IF(D106="M","Male",IF(D106="F","Female","Check"))</f>
        <v>Male</v>
      </c>
      <c r="F106" s="4">
        <v>100000</v>
      </c>
      <c r="G106" t="str" s="8" cm="1">
        <f t="array" ref="G106">IF(F106="","Check","okay")</f>
        <v>okay</v>
      </c>
      <c r="H106" s="3">
        <v>5</v>
      </c>
      <c r="I106" t="s" s="2">
        <v>34</v>
      </c>
      <c r="J106" t="s" s="2">
        <v>31</v>
      </c>
      <c r="K106" t="s" s="2">
        <v>20</v>
      </c>
      <c r="L106" s="3">
        <v>1</v>
      </c>
      <c r="M106" t="s" s="2">
        <v>29</v>
      </c>
      <c r="N106" t="s" s="2">
        <v>27</v>
      </c>
      <c r="O106" s="3">
        <v>78</v>
      </c>
      <c r="P106" t="str" s="8" cm="1">
        <f t="array" ref="P106">IF(O106="","check","Okay")</f>
        <v>Okay</v>
      </c>
      <c r="Q106" t="str" s="8" cm="1">
        <f t="array" ref="Q106">IF(O106&lt;30,"UNDER 30",IF(O106&lt;=50,"30-50","Over 50"))</f>
        <v>Over 50</v>
      </c>
      <c r="R106" t="s" s="2">
        <v>17</v>
      </c>
      <c r="S106" s="3" cm="1">
        <f t="array" ref="S106">COUNTIF(A2:A1001,A106)</f>
        <v>1</v>
      </c>
      <c r="T106" t="str" s="8" cm="1">
        <f t="array" ref="T106">IF(ISNUMBER(F106),"Ok","check")</f>
        <v>Ok</v>
      </c>
      <c r="U106" t="str" s="8" cm="1">
        <f t="array" ref="U106">IF(ISNUMBER(O106),"ok","check")</f>
        <v>ok</v>
      </c>
    </row>
    <row r="107" ht="13.55" customHeight="1">
      <c r="A107" s="3">
        <v>21561</v>
      </c>
      <c r="B107" t="s" s="2">
        <v>25</v>
      </c>
      <c r="C107" t="str" s="8" cm="1">
        <f t="array" ref="C107">IF(B107="M","Married","Single")</f>
        <v>Single</v>
      </c>
      <c r="D107" t="s" s="2">
        <v>13</v>
      </c>
      <c r="E107" t="str" s="8" cm="1">
        <f t="array" ref="E107">IF(D107="M","Male",IF(D107="F","Female","Check"))</f>
        <v>Male</v>
      </c>
      <c r="F107" s="4">
        <v>90000</v>
      </c>
      <c r="G107" t="str" s="8" cm="1">
        <f t="array" ref="G107">IF(F107="","Check","okay")</f>
        <v>okay</v>
      </c>
      <c r="H107" s="3">
        <v>0</v>
      </c>
      <c r="I107" t="s" s="2">
        <v>15</v>
      </c>
      <c r="J107" t="s" s="2">
        <v>23</v>
      </c>
      <c r="K107" t="s" s="2">
        <v>20</v>
      </c>
      <c r="L107" s="3">
        <v>3</v>
      </c>
      <c r="M107" t="s" s="2">
        <v>33</v>
      </c>
      <c r="N107" t="s" s="2">
        <v>27</v>
      </c>
      <c r="O107" s="3">
        <v>34</v>
      </c>
      <c r="P107" t="str" s="8" cm="1">
        <f t="array" ref="P107">IF(O107="","check","Okay")</f>
        <v>Okay</v>
      </c>
      <c r="Q107" t="str" s="8" cm="1">
        <f t="array" ref="Q107">IF(O107&lt;30,"UNDER 30",IF(O107&lt;=50,"30-50","Over 50"))</f>
        <v>30-50</v>
      </c>
      <c r="R107" t="s" s="2">
        <v>17</v>
      </c>
      <c r="S107" s="3" cm="1">
        <f t="array" ref="S107">COUNTIF(A2:A1001,A107)</f>
        <v>1</v>
      </c>
      <c r="T107" t="str" s="8" cm="1">
        <f t="array" ref="T107">IF(ISNUMBER(F107),"Ok","check")</f>
        <v>Ok</v>
      </c>
      <c r="U107" t="str" s="8" cm="1">
        <f t="array" ref="U107">IF(ISNUMBER(O107),"ok","check")</f>
        <v>ok</v>
      </c>
    </row>
    <row r="108" ht="13.55" customHeight="1">
      <c r="A108" s="3">
        <v>24611</v>
      </c>
      <c r="B108" t="s" s="2">
        <v>25</v>
      </c>
      <c r="C108" t="str" s="8" cm="1">
        <f t="array" ref="C108">IF(B108="M","Married","Single")</f>
        <v>Single</v>
      </c>
      <c r="D108" t="s" s="2">
        <v>13</v>
      </c>
      <c r="E108" t="str" s="8" cm="1">
        <f t="array" ref="E108">IF(D108="M","Male",IF(D108="F","Female","Check"))</f>
        <v>Male</v>
      </c>
      <c r="F108" s="4">
        <v>90000</v>
      </c>
      <c r="G108" t="str" s="8" cm="1">
        <f t="array" ref="G108">IF(F108="","Check","okay")</f>
        <v>okay</v>
      </c>
      <c r="H108" s="3">
        <v>0</v>
      </c>
      <c r="I108" t="s" s="2">
        <v>15</v>
      </c>
      <c r="J108" t="s" s="2">
        <v>23</v>
      </c>
      <c r="K108" t="s" s="2">
        <v>20</v>
      </c>
      <c r="L108" s="3">
        <v>4</v>
      </c>
      <c r="M108" t="s" s="2">
        <v>33</v>
      </c>
      <c r="N108" t="s" s="2">
        <v>27</v>
      </c>
      <c r="O108" s="3">
        <v>35</v>
      </c>
      <c r="P108" t="str" s="8" cm="1">
        <f t="array" ref="P108">IF(O108="","check","Okay")</f>
        <v>Okay</v>
      </c>
      <c r="Q108" t="str" s="8" cm="1">
        <f t="array" ref="Q108">IF(O108&lt;30,"UNDER 30",IF(O108&lt;=50,"30-50","Over 50"))</f>
        <v>30-50</v>
      </c>
      <c r="R108" t="s" s="2">
        <v>17</v>
      </c>
      <c r="S108" s="3" cm="1">
        <f t="array" ref="S108">COUNTIF(A2:A1001,A108)</f>
        <v>1</v>
      </c>
      <c r="T108" t="str" s="8" cm="1">
        <f t="array" ref="T108">IF(ISNUMBER(F108),"Ok","check")</f>
        <v>Ok</v>
      </c>
      <c r="U108" t="str" s="8" cm="1">
        <f t="array" ref="U108">IF(ISNUMBER(O108),"ok","check")</f>
        <v>ok</v>
      </c>
    </row>
    <row r="109" ht="13.55" customHeight="1">
      <c r="A109" s="3">
        <v>27585</v>
      </c>
      <c r="B109" t="s" s="2">
        <v>13</v>
      </c>
      <c r="C109" t="str" s="8" cm="1">
        <f t="array" ref="C109">IF(B109="M","Married","Single")</f>
        <v>Married</v>
      </c>
      <c r="D109" t="s" s="2">
        <v>14</v>
      </c>
      <c r="E109" t="str" s="8" cm="1">
        <f t="array" ref="E109">IF(D109="M","Male",IF(D109="F","Female","Check"))</f>
        <v>Female</v>
      </c>
      <c r="F109" s="4">
        <v>90000</v>
      </c>
      <c r="G109" t="str" s="8" cm="1">
        <f t="array" ref="G109">IF(F109="","Check","okay")</f>
        <v>okay</v>
      </c>
      <c r="H109" s="3">
        <v>2</v>
      </c>
      <c r="I109" t="s" s="2">
        <v>15</v>
      </c>
      <c r="J109" t="s" s="2">
        <v>23</v>
      </c>
      <c r="K109" t="s" s="2">
        <v>20</v>
      </c>
      <c r="L109" s="3">
        <v>0</v>
      </c>
      <c r="M109" t="s" s="2">
        <v>18</v>
      </c>
      <c r="N109" t="s" s="2">
        <v>27</v>
      </c>
      <c r="O109" s="3">
        <v>36</v>
      </c>
      <c r="P109" t="str" s="8" cm="1">
        <f t="array" ref="P109">IF(O109="","check","Okay")</f>
        <v>Okay</v>
      </c>
      <c r="Q109" t="str" s="8" cm="1">
        <f t="array" ref="Q109">IF(O109&lt;30,"UNDER 30",IF(O109&lt;=50,"30-50","Over 50"))</f>
        <v>30-50</v>
      </c>
      <c r="R109" t="s" s="2">
        <v>17</v>
      </c>
      <c r="S109" s="3" cm="1">
        <f t="array" ref="S109">COUNTIF(A2:A1001,A109)</f>
        <v>1</v>
      </c>
      <c r="T109" t="str" s="8" cm="1">
        <f t="array" ref="T109">IF(ISNUMBER(F109),"Ok","check")</f>
        <v>Ok</v>
      </c>
      <c r="U109" t="str" s="8" cm="1">
        <f t="array" ref="U109">IF(ISNUMBER(O109),"ok","check")</f>
        <v>ok</v>
      </c>
    </row>
    <row r="110" ht="13.55" customHeight="1">
      <c r="A110" s="3">
        <v>12697</v>
      </c>
      <c r="B110" t="s" s="2">
        <v>25</v>
      </c>
      <c r="C110" t="str" s="8" cm="1">
        <f t="array" ref="C110">IF(B110="M","Married","Single")</f>
        <v>Single</v>
      </c>
      <c r="D110" t="s" s="2">
        <v>14</v>
      </c>
      <c r="E110" t="str" s="8" cm="1">
        <f t="array" ref="E110">IF(D110="M","Male",IF(D110="F","Female","Check"))</f>
        <v>Female</v>
      </c>
      <c r="F110" s="4">
        <v>90000</v>
      </c>
      <c r="G110" t="str" s="8" cm="1">
        <f t="array" ref="G110">IF(F110="","Check","okay")</f>
        <v>okay</v>
      </c>
      <c r="H110" s="3">
        <v>0</v>
      </c>
      <c r="I110" t="s" s="2">
        <v>15</v>
      </c>
      <c r="J110" t="s" s="2">
        <v>23</v>
      </c>
      <c r="K110" t="s" s="2">
        <v>20</v>
      </c>
      <c r="L110" s="3">
        <v>4</v>
      </c>
      <c r="M110" t="s" s="2">
        <v>33</v>
      </c>
      <c r="N110" t="s" s="2">
        <v>27</v>
      </c>
      <c r="O110" s="3">
        <v>36</v>
      </c>
      <c r="P110" t="str" s="8" cm="1">
        <f t="array" ref="P110">IF(O110="","check","Okay")</f>
        <v>Okay</v>
      </c>
      <c r="Q110" t="str" s="8" cm="1">
        <f t="array" ref="Q110">IF(O110&lt;30,"UNDER 30",IF(O110&lt;=50,"30-50","Over 50"))</f>
        <v>30-50</v>
      </c>
      <c r="R110" t="s" s="2">
        <v>20</v>
      </c>
      <c r="S110" s="3" cm="1">
        <f t="array" ref="S110">COUNTIF(A2:A1001,A110)</f>
        <v>1</v>
      </c>
      <c r="T110" t="str" s="8" cm="1">
        <f t="array" ref="T110">IF(ISNUMBER(F110),"Ok","check")</f>
        <v>Ok</v>
      </c>
      <c r="U110" t="str" s="8" cm="1">
        <f t="array" ref="U110">IF(ISNUMBER(O110),"ok","check")</f>
        <v>ok</v>
      </c>
    </row>
    <row r="111" ht="13.55" customHeight="1">
      <c r="A111" s="3">
        <v>17048</v>
      </c>
      <c r="B111" t="s" s="2">
        <v>25</v>
      </c>
      <c r="C111" t="str" s="8" cm="1">
        <f t="array" ref="C111">IF(B111="M","Married","Single")</f>
        <v>Single</v>
      </c>
      <c r="D111" t="s" s="2">
        <v>14</v>
      </c>
      <c r="E111" t="str" s="8" cm="1">
        <f t="array" ref="E111">IF(D111="M","Male",IF(D111="F","Female","Check"))</f>
        <v>Female</v>
      </c>
      <c r="F111" s="4">
        <v>90000</v>
      </c>
      <c r="G111" t="str" s="8" cm="1">
        <f t="array" ref="G111">IF(F111="","Check","okay")</f>
        <v>okay</v>
      </c>
      <c r="H111" s="3">
        <v>1</v>
      </c>
      <c r="I111" t="s" s="2">
        <v>34</v>
      </c>
      <c r="J111" t="s" s="2">
        <v>31</v>
      </c>
      <c r="K111" t="s" s="2">
        <v>17</v>
      </c>
      <c r="L111" s="3">
        <v>0</v>
      </c>
      <c r="M111" t="s" s="2">
        <v>18</v>
      </c>
      <c r="N111" t="s" s="2">
        <v>27</v>
      </c>
      <c r="O111" s="3">
        <v>36</v>
      </c>
      <c r="P111" t="str" s="8" cm="1">
        <f t="array" ref="P111">IF(O111="","check","Okay")</f>
        <v>Okay</v>
      </c>
      <c r="Q111" t="str" s="8" cm="1">
        <f t="array" ref="Q111">IF(O111&lt;30,"UNDER 30",IF(O111&lt;=50,"30-50","Over 50"))</f>
        <v>30-50</v>
      </c>
      <c r="R111" t="s" s="2">
        <v>17</v>
      </c>
      <c r="S111" s="3" cm="1">
        <f t="array" ref="S111">COUNTIF(A2:A1001,A111)</f>
        <v>1</v>
      </c>
      <c r="T111" t="str" s="8" cm="1">
        <f t="array" ref="T111">IF(ISNUMBER(F111),"Ok","check")</f>
        <v>Ok</v>
      </c>
      <c r="U111" t="str" s="8" cm="1">
        <f t="array" ref="U111">IF(ISNUMBER(O111),"ok","check")</f>
        <v>ok</v>
      </c>
    </row>
    <row r="112" ht="13.55" customHeight="1">
      <c r="A112" s="3">
        <v>27582</v>
      </c>
      <c r="B112" t="s" s="2">
        <v>25</v>
      </c>
      <c r="C112" t="str" s="8" cm="1">
        <f t="array" ref="C112">IF(B112="M","Married","Single")</f>
        <v>Single</v>
      </c>
      <c r="D112" t="s" s="2">
        <v>14</v>
      </c>
      <c r="E112" t="str" s="8" cm="1">
        <f t="array" ref="E112">IF(D112="M","Male",IF(D112="F","Female","Check"))</f>
        <v>Female</v>
      </c>
      <c r="F112" s="4">
        <v>90000</v>
      </c>
      <c r="G112" t="str" s="8" cm="1">
        <f t="array" ref="G112">IF(F112="","Check","okay")</f>
        <v>okay</v>
      </c>
      <c r="H112" s="3">
        <v>2</v>
      </c>
      <c r="I112" t="s" s="2">
        <v>15</v>
      </c>
      <c r="J112" t="s" s="2">
        <v>23</v>
      </c>
      <c r="K112" t="s" s="2">
        <v>20</v>
      </c>
      <c r="L112" s="3">
        <v>0</v>
      </c>
      <c r="M112" t="s" s="2">
        <v>18</v>
      </c>
      <c r="N112" t="s" s="2">
        <v>27</v>
      </c>
      <c r="O112" s="3">
        <v>36</v>
      </c>
      <c r="P112" t="str" s="8" cm="1">
        <f t="array" ref="P112">IF(O112="","check","Okay")</f>
        <v>Okay</v>
      </c>
      <c r="Q112" t="str" s="8" cm="1">
        <f t="array" ref="Q112">IF(O112&lt;30,"UNDER 30",IF(O112&lt;=50,"30-50","Over 50"))</f>
        <v>30-50</v>
      </c>
      <c r="R112" t="s" s="2">
        <v>17</v>
      </c>
      <c r="S112" s="3" cm="1">
        <f t="array" ref="S112">COUNTIF(A2:A1001,A112)</f>
        <v>1</v>
      </c>
      <c r="T112" t="str" s="8" cm="1">
        <f t="array" ref="T112">IF(ISNUMBER(F112),"Ok","check")</f>
        <v>Ok</v>
      </c>
      <c r="U112" t="str" s="8" cm="1">
        <f t="array" ref="U112">IF(ISNUMBER(O112),"ok","check")</f>
        <v>ok</v>
      </c>
    </row>
    <row r="113" ht="13.55" customHeight="1">
      <c r="A113" s="3">
        <v>26944</v>
      </c>
      <c r="B113" t="s" s="2">
        <v>25</v>
      </c>
      <c r="C113" t="str" s="8" cm="1">
        <f t="array" ref="C113">IF(B113="M","Married","Single")</f>
        <v>Single</v>
      </c>
      <c r="D113" t="s" s="2">
        <v>13</v>
      </c>
      <c r="E113" t="str" s="8" cm="1">
        <f t="array" ref="E113">IF(D113="M","Male",IF(D113="F","Female","Check"))</f>
        <v>Male</v>
      </c>
      <c r="F113" s="4">
        <v>90000</v>
      </c>
      <c r="G113" t="str" s="8" cm="1">
        <f t="array" ref="G113">IF(F113="","Check","okay")</f>
        <v>okay</v>
      </c>
      <c r="H113" s="3">
        <v>2</v>
      </c>
      <c r="I113" t="s" s="2">
        <v>30</v>
      </c>
      <c r="J113" t="s" s="2">
        <v>28</v>
      </c>
      <c r="K113" t="s" s="2">
        <v>17</v>
      </c>
      <c r="L113" s="3">
        <v>0</v>
      </c>
      <c r="M113" t="s" s="2">
        <v>18</v>
      </c>
      <c r="N113" t="s" s="2">
        <v>19</v>
      </c>
      <c r="O113" s="3">
        <v>36</v>
      </c>
      <c r="P113" t="str" s="8" cm="1">
        <f t="array" ref="P113">IF(O113="","check","Okay")</f>
        <v>Okay</v>
      </c>
      <c r="Q113" t="str" s="8" cm="1">
        <f t="array" ref="Q113">IF(O113&lt;30,"UNDER 30",IF(O113&lt;=50,"30-50","Over 50"))</f>
        <v>30-50</v>
      </c>
      <c r="R113" t="s" s="2">
        <v>17</v>
      </c>
      <c r="S113" s="3" cm="1">
        <f t="array" ref="S113">COUNTIF(A2:A1001,A113)</f>
        <v>1</v>
      </c>
      <c r="T113" t="str" s="8" cm="1">
        <f t="array" ref="T113">IF(ISNUMBER(F113),"Ok","check")</f>
        <v>Ok</v>
      </c>
      <c r="U113" t="str" s="8" cm="1">
        <f t="array" ref="U113">IF(ISNUMBER(O113),"ok","check")</f>
        <v>ok</v>
      </c>
    </row>
    <row r="114" ht="13.55" customHeight="1">
      <c r="A114" s="3">
        <v>26654</v>
      </c>
      <c r="B114" t="s" s="2">
        <v>13</v>
      </c>
      <c r="C114" t="str" s="8" cm="1">
        <f t="array" ref="C114">IF(B114="M","Married","Single")</f>
        <v>Married</v>
      </c>
      <c r="D114" t="s" s="2">
        <v>14</v>
      </c>
      <c r="E114" t="str" s="8" cm="1">
        <f t="array" ref="E114">IF(D114="M","Male",IF(D114="F","Female","Check"))</f>
        <v>Female</v>
      </c>
      <c r="F114" s="4">
        <v>90000</v>
      </c>
      <c r="G114" t="str" s="8" cm="1">
        <f t="array" ref="G114">IF(F114="","Check","okay")</f>
        <v>okay</v>
      </c>
      <c r="H114" s="3">
        <v>1</v>
      </c>
      <c r="I114" t="s" s="2">
        <v>34</v>
      </c>
      <c r="J114" t="s" s="2">
        <v>31</v>
      </c>
      <c r="K114" t="s" s="2">
        <v>17</v>
      </c>
      <c r="L114" s="3">
        <v>0</v>
      </c>
      <c r="M114" t="s" s="2">
        <v>18</v>
      </c>
      <c r="N114" t="s" s="2">
        <v>27</v>
      </c>
      <c r="O114" s="3">
        <v>37</v>
      </c>
      <c r="P114" t="str" s="8" cm="1">
        <f t="array" ref="P114">IF(O114="","check","Okay")</f>
        <v>Okay</v>
      </c>
      <c r="Q114" t="str" s="8" cm="1">
        <f t="array" ref="Q114">IF(O114&lt;30,"UNDER 30",IF(O114&lt;=50,"30-50","Over 50"))</f>
        <v>30-50</v>
      </c>
      <c r="R114" t="s" s="2">
        <v>17</v>
      </c>
      <c r="S114" s="3" cm="1">
        <f t="array" ref="S114">COUNTIF(A2:A1001,A114)</f>
        <v>1</v>
      </c>
      <c r="T114" t="str" s="8" cm="1">
        <f t="array" ref="T114">IF(ISNUMBER(F114),"Ok","check")</f>
        <v>Ok</v>
      </c>
      <c r="U114" t="str" s="8" cm="1">
        <f t="array" ref="U114">IF(ISNUMBER(O114),"ok","check")</f>
        <v>ok</v>
      </c>
    </row>
    <row r="115" ht="13.55" customHeight="1">
      <c r="A115" s="3">
        <v>22930</v>
      </c>
      <c r="B115" t="s" s="2">
        <v>13</v>
      </c>
      <c r="C115" t="str" s="8" cm="1">
        <f t="array" ref="C115">IF(B115="M","Married","Single")</f>
        <v>Married</v>
      </c>
      <c r="D115" t="s" s="2">
        <v>13</v>
      </c>
      <c r="E115" t="str" s="8" cm="1">
        <f t="array" ref="E115">IF(D115="M","Male",IF(D115="F","Female","Check"))</f>
        <v>Male</v>
      </c>
      <c r="F115" s="4">
        <v>90000</v>
      </c>
      <c r="G115" t="str" s="8" cm="1">
        <f t="array" ref="G115">IF(F115="","Check","okay")</f>
        <v>okay</v>
      </c>
      <c r="H115" s="3">
        <v>4</v>
      </c>
      <c r="I115" t="s" s="2">
        <v>15</v>
      </c>
      <c r="J115" t="s" s="2">
        <v>23</v>
      </c>
      <c r="K115" t="s" s="2">
        <v>17</v>
      </c>
      <c r="L115" s="3">
        <v>0</v>
      </c>
      <c r="M115" t="s" s="2">
        <v>29</v>
      </c>
      <c r="N115" t="s" s="2">
        <v>27</v>
      </c>
      <c r="O115" s="3">
        <v>38</v>
      </c>
      <c r="P115" t="str" s="8" cm="1">
        <f t="array" ref="P115">IF(O115="","check","Okay")</f>
        <v>Okay</v>
      </c>
      <c r="Q115" t="str" s="8" cm="1">
        <f t="array" ref="Q115">IF(O115&lt;30,"UNDER 30",IF(O115&lt;=50,"30-50","Over 50"))</f>
        <v>30-50</v>
      </c>
      <c r="R115" t="s" s="2">
        <v>17</v>
      </c>
      <c r="S115" s="3" cm="1">
        <f t="array" ref="S115">COUNTIF(A2:A1001,A115)</f>
        <v>1</v>
      </c>
      <c r="T115" t="str" s="8" cm="1">
        <f t="array" ref="T115">IF(ISNUMBER(F115),"Ok","check")</f>
        <v>Ok</v>
      </c>
      <c r="U115" t="str" s="8" cm="1">
        <f t="array" ref="U115">IF(ISNUMBER(O115),"ok","check")</f>
        <v>ok</v>
      </c>
    </row>
    <row r="116" ht="13.55" customHeight="1">
      <c r="A116" s="3">
        <v>19661</v>
      </c>
      <c r="B116" t="s" s="2">
        <v>25</v>
      </c>
      <c r="C116" t="str" s="8" cm="1">
        <f t="array" ref="C116">IF(B116="M","Married","Single")</f>
        <v>Single</v>
      </c>
      <c r="D116" t="s" s="2">
        <v>13</v>
      </c>
      <c r="E116" t="str" s="8" cm="1">
        <f t="array" ref="E116">IF(D116="M","Male",IF(D116="F","Female","Check"))</f>
        <v>Male</v>
      </c>
      <c r="F116" s="4">
        <v>90000</v>
      </c>
      <c r="G116" t="str" s="8" cm="1">
        <f t="array" ref="G116">IF(F116="","Check","okay")</f>
        <v>okay</v>
      </c>
      <c r="H116" s="3">
        <v>4</v>
      </c>
      <c r="I116" t="s" s="2">
        <v>15</v>
      </c>
      <c r="J116" t="s" s="2">
        <v>31</v>
      </c>
      <c r="K116" t="s" s="2">
        <v>17</v>
      </c>
      <c r="L116" s="3">
        <v>1</v>
      </c>
      <c r="M116" t="s" s="2">
        <v>29</v>
      </c>
      <c r="N116" t="s" s="2">
        <v>35</v>
      </c>
      <c r="O116" s="3">
        <v>38</v>
      </c>
      <c r="P116" t="str" s="8" cm="1">
        <f t="array" ref="P116">IF(O116="","check","Okay")</f>
        <v>Okay</v>
      </c>
      <c r="Q116" t="str" s="8" cm="1">
        <f t="array" ref="Q116">IF(O116&lt;30,"UNDER 30",IF(O116&lt;=50,"30-50","Over 50"))</f>
        <v>30-50</v>
      </c>
      <c r="R116" t="s" s="2">
        <v>17</v>
      </c>
      <c r="S116" s="3" cm="1">
        <f t="array" ref="S116">COUNTIF(A2:A1001,A116)</f>
        <v>1</v>
      </c>
      <c r="T116" t="str" s="8" cm="1">
        <f t="array" ref="T116">IF(ISNUMBER(F116),"Ok","check")</f>
        <v>Ok</v>
      </c>
      <c r="U116" t="str" s="8" cm="1">
        <f t="array" ref="U116">IF(ISNUMBER(O116),"ok","check")</f>
        <v>ok</v>
      </c>
    </row>
    <row r="117" ht="13.55" customHeight="1">
      <c r="A117" s="3">
        <v>22050</v>
      </c>
      <c r="B117" t="s" s="2">
        <v>25</v>
      </c>
      <c r="C117" t="str" s="8" cm="1">
        <f t="array" ref="C117">IF(B117="M","Married","Single")</f>
        <v>Single</v>
      </c>
      <c r="D117" t="s" s="2">
        <v>13</v>
      </c>
      <c r="E117" t="str" s="8" cm="1">
        <f t="array" ref="E117">IF(D117="M","Male",IF(D117="F","Female","Check"))</f>
        <v>Male</v>
      </c>
      <c r="F117" s="4">
        <v>90000</v>
      </c>
      <c r="G117" t="str" s="8" cm="1">
        <f t="array" ref="G117">IF(F117="","Check","okay")</f>
        <v>okay</v>
      </c>
      <c r="H117" s="3">
        <v>4</v>
      </c>
      <c r="I117" t="s" s="2">
        <v>15</v>
      </c>
      <c r="J117" t="s" s="2">
        <v>31</v>
      </c>
      <c r="K117" t="s" s="2">
        <v>17</v>
      </c>
      <c r="L117" s="3">
        <v>1</v>
      </c>
      <c r="M117" t="s" s="2">
        <v>29</v>
      </c>
      <c r="N117" t="s" s="2">
        <v>35</v>
      </c>
      <c r="O117" s="3">
        <v>38</v>
      </c>
      <c r="P117" t="str" s="8" cm="1">
        <f t="array" ref="P117">IF(O117="","check","Okay")</f>
        <v>Okay</v>
      </c>
      <c r="Q117" t="str" s="8" cm="1">
        <f t="array" ref="Q117">IF(O117&lt;30,"UNDER 30",IF(O117&lt;=50,"30-50","Over 50"))</f>
        <v>30-50</v>
      </c>
      <c r="R117" t="s" s="2">
        <v>17</v>
      </c>
      <c r="S117" s="3" cm="1">
        <f t="array" ref="S117">COUNTIF(A2:A1001,A117)</f>
        <v>1</v>
      </c>
      <c r="T117" t="str" s="8" cm="1">
        <f t="array" ref="T117">IF(ISNUMBER(F117),"Ok","check")</f>
        <v>Ok</v>
      </c>
      <c r="U117" t="str" s="8" cm="1">
        <f t="array" ref="U117">IF(ISNUMBER(O117),"ok","check")</f>
        <v>ok</v>
      </c>
    </row>
    <row r="118" ht="13.55" customHeight="1">
      <c r="A118" s="3">
        <v>23461</v>
      </c>
      <c r="B118" t="s" s="2">
        <v>13</v>
      </c>
      <c r="C118" t="str" s="8" cm="1">
        <f t="array" ref="C118">IF(B118="M","Married","Single")</f>
        <v>Married</v>
      </c>
      <c r="D118" t="s" s="2">
        <v>14</v>
      </c>
      <c r="E118" t="str" s="8" cm="1">
        <f t="array" ref="E118">IF(D118="M","Male",IF(D118="F","Female","Check"))</f>
        <v>Female</v>
      </c>
      <c r="F118" s="4">
        <v>90000</v>
      </c>
      <c r="G118" t="str" s="8" cm="1">
        <f t="array" ref="G118">IF(F118="","Check","okay")</f>
        <v>okay</v>
      </c>
      <c r="H118" s="3">
        <v>5</v>
      </c>
      <c r="I118" t="s" s="2">
        <v>21</v>
      </c>
      <c r="J118" t="s" s="2">
        <v>23</v>
      </c>
      <c r="K118" t="s" s="2">
        <v>17</v>
      </c>
      <c r="L118" s="3">
        <v>3</v>
      </c>
      <c r="M118" t="s" s="2">
        <v>24</v>
      </c>
      <c r="N118" t="s" s="2">
        <v>35</v>
      </c>
      <c r="O118" s="3">
        <v>40</v>
      </c>
      <c r="P118" t="str" s="8" cm="1">
        <f t="array" ref="P118">IF(O118="","check","Okay")</f>
        <v>Okay</v>
      </c>
      <c r="Q118" t="str" s="8" cm="1">
        <f t="array" ref="Q118">IF(O118&lt;30,"UNDER 30",IF(O118&lt;=50,"30-50","Over 50"))</f>
        <v>30-50</v>
      </c>
      <c r="R118" t="s" s="2">
        <v>20</v>
      </c>
      <c r="S118" s="3" cm="1">
        <f t="array" ref="S118">COUNTIF(A2:A1001,A118)</f>
        <v>1</v>
      </c>
      <c r="T118" t="str" s="8" cm="1">
        <f t="array" ref="T118">IF(ISNUMBER(F118),"Ok","check")</f>
        <v>Ok</v>
      </c>
      <c r="U118" t="str" s="8" cm="1">
        <f t="array" ref="U118">IF(ISNUMBER(O118),"ok","check")</f>
        <v>ok</v>
      </c>
    </row>
    <row r="119" ht="13.55" customHeight="1">
      <c r="A119" s="3">
        <v>11000</v>
      </c>
      <c r="B119" t="s" s="2">
        <v>13</v>
      </c>
      <c r="C119" t="str" s="8" cm="1">
        <f t="array" ref="C119">IF(B119="M","Married","Single")</f>
        <v>Married</v>
      </c>
      <c r="D119" t="s" s="2">
        <v>13</v>
      </c>
      <c r="E119" t="str" s="8" cm="1">
        <f t="array" ref="E119">IF(D119="M","Male",IF(D119="F","Female","Check"))</f>
        <v>Male</v>
      </c>
      <c r="F119" s="4">
        <v>90000</v>
      </c>
      <c r="G119" t="str" s="8" cm="1">
        <f t="array" ref="G119">IF(F119="","Check","okay")</f>
        <v>okay</v>
      </c>
      <c r="H119" s="3">
        <v>2</v>
      </c>
      <c r="I119" t="s" s="2">
        <v>15</v>
      </c>
      <c r="J119" t="s" s="2">
        <v>23</v>
      </c>
      <c r="K119" t="s" s="2">
        <v>17</v>
      </c>
      <c r="L119" s="3">
        <v>0</v>
      </c>
      <c r="M119" t="s" s="2">
        <v>29</v>
      </c>
      <c r="N119" t="s" s="2">
        <v>27</v>
      </c>
      <c r="O119" s="3">
        <v>40</v>
      </c>
      <c r="P119" t="str" s="8" cm="1">
        <f t="array" ref="P119">IF(O119="","check","Okay")</f>
        <v>Okay</v>
      </c>
      <c r="Q119" t="str" s="8" cm="1">
        <f t="array" ref="Q119">IF(O119&lt;30,"UNDER 30",IF(O119&lt;=50,"30-50","Over 50"))</f>
        <v>30-50</v>
      </c>
      <c r="R119" t="s" s="2">
        <v>17</v>
      </c>
      <c r="S119" s="3" cm="1">
        <f t="array" ref="S119">COUNTIF(A2:A1001,A119)</f>
        <v>1</v>
      </c>
      <c r="T119" t="str" s="8" cm="1">
        <f t="array" ref="T119">IF(ISNUMBER(F119),"Ok","check")</f>
        <v>Ok</v>
      </c>
      <c r="U119" t="str" s="8" cm="1">
        <f t="array" ref="U119">IF(ISNUMBER(O119),"ok","check")</f>
        <v>ok</v>
      </c>
    </row>
    <row r="120" ht="13.55" customHeight="1">
      <c r="A120" s="3">
        <v>17260</v>
      </c>
      <c r="B120" t="s" s="2">
        <v>13</v>
      </c>
      <c r="C120" t="str" s="8" cm="1">
        <f t="array" ref="C120">IF(B120="M","Married","Single")</f>
        <v>Married</v>
      </c>
      <c r="D120" t="s" s="2">
        <v>13</v>
      </c>
      <c r="E120" t="str" s="8" cm="1">
        <f t="array" ref="E120">IF(D120="M","Male",IF(D120="F","Female","Check"))</f>
        <v>Male</v>
      </c>
      <c r="F120" s="4">
        <v>90000</v>
      </c>
      <c r="G120" t="str" s="8" cm="1">
        <f t="array" ref="G120">IF(F120="","Check","okay")</f>
        <v>okay</v>
      </c>
      <c r="H120" s="3">
        <v>5</v>
      </c>
      <c r="I120" t="s" s="2">
        <v>21</v>
      </c>
      <c r="J120" t="s" s="2">
        <v>23</v>
      </c>
      <c r="K120" t="s" s="2">
        <v>17</v>
      </c>
      <c r="L120" s="3">
        <v>3</v>
      </c>
      <c r="M120" t="s" s="2">
        <v>18</v>
      </c>
      <c r="N120" t="s" s="2">
        <v>35</v>
      </c>
      <c r="O120" s="3">
        <v>41</v>
      </c>
      <c r="P120" t="str" s="8" cm="1">
        <f t="array" ref="P120">IF(O120="","check","Okay")</f>
        <v>Okay</v>
      </c>
      <c r="Q120" t="str" s="8" cm="1">
        <f t="array" ref="Q120">IF(O120&lt;30,"UNDER 30",IF(O120&lt;=50,"30-50","Over 50"))</f>
        <v>30-50</v>
      </c>
      <c r="R120" t="s" s="2">
        <v>20</v>
      </c>
      <c r="S120" s="3" cm="1">
        <f t="array" ref="S120">COUNTIF(A2:A1001,A120)</f>
        <v>1</v>
      </c>
      <c r="T120" t="str" s="8" cm="1">
        <f t="array" ref="T120">IF(ISNUMBER(F120),"Ok","check")</f>
        <v>Ok</v>
      </c>
      <c r="U120" t="str" s="8" cm="1">
        <f t="array" ref="U120">IF(ISNUMBER(O120),"ok","check")</f>
        <v>ok</v>
      </c>
    </row>
    <row r="121" ht="13.55" customHeight="1">
      <c r="A121" s="3">
        <v>23479</v>
      </c>
      <c r="B121" t="s" s="2">
        <v>25</v>
      </c>
      <c r="C121" t="str" s="8" cm="1">
        <f t="array" ref="C121">IF(B121="M","Married","Single")</f>
        <v>Single</v>
      </c>
      <c r="D121" t="s" s="2">
        <v>13</v>
      </c>
      <c r="E121" t="str" s="8" cm="1">
        <f t="array" ref="E121">IF(D121="M","Male",IF(D121="F","Female","Check"))</f>
        <v>Male</v>
      </c>
      <c r="F121" s="4">
        <v>90000</v>
      </c>
      <c r="G121" t="str" s="8" cm="1">
        <f t="array" ref="G121">IF(F121="","Check","okay")</f>
        <v>okay</v>
      </c>
      <c r="H121" s="3">
        <v>0</v>
      </c>
      <c r="I121" t="s" s="2">
        <v>21</v>
      </c>
      <c r="J121" t="s" s="2">
        <v>23</v>
      </c>
      <c r="K121" t="s" s="2">
        <v>20</v>
      </c>
      <c r="L121" s="3">
        <v>2</v>
      </c>
      <c r="M121" t="s" s="2">
        <v>18</v>
      </c>
      <c r="N121" t="s" s="2">
        <v>35</v>
      </c>
      <c r="O121" s="3">
        <v>43</v>
      </c>
      <c r="P121" t="str" s="8" cm="1">
        <f t="array" ref="P121">IF(O121="","check","Okay")</f>
        <v>Okay</v>
      </c>
      <c r="Q121" t="str" s="8" cm="1">
        <f t="array" ref="Q121">IF(O121&lt;30,"UNDER 30",IF(O121&lt;=50,"30-50","Over 50"))</f>
        <v>30-50</v>
      </c>
      <c r="R121" t="s" s="2">
        <v>17</v>
      </c>
      <c r="S121" s="3" cm="1">
        <f t="array" ref="S121">COUNTIF(A2:A1001,A121)</f>
        <v>1</v>
      </c>
      <c r="T121" t="str" s="8" cm="1">
        <f t="array" ref="T121">IF(ISNUMBER(F121),"Ok","check")</f>
        <v>Ok</v>
      </c>
      <c r="U121" t="str" s="8" cm="1">
        <f t="array" ref="U121">IF(ISNUMBER(O121),"ok","check")</f>
        <v>ok</v>
      </c>
    </row>
    <row r="122" ht="13.55" customHeight="1">
      <c r="A122" s="3">
        <v>20343</v>
      </c>
      <c r="B122" t="s" s="2">
        <v>13</v>
      </c>
      <c r="C122" t="str" s="8" cm="1">
        <f t="array" ref="C122">IF(B122="M","Married","Single")</f>
        <v>Married</v>
      </c>
      <c r="D122" t="s" s="2">
        <v>14</v>
      </c>
      <c r="E122" t="str" s="8" cm="1">
        <f t="array" ref="E122">IF(D122="M","Male",IF(D122="F","Female","Check"))</f>
        <v>Female</v>
      </c>
      <c r="F122" s="4">
        <v>90000</v>
      </c>
      <c r="G122" t="str" s="8" cm="1">
        <f t="array" ref="G122">IF(F122="","Check","okay")</f>
        <v>okay</v>
      </c>
      <c r="H122" s="3">
        <v>4</v>
      </c>
      <c r="I122" t="s" s="2">
        <v>21</v>
      </c>
      <c r="J122" t="s" s="2">
        <v>23</v>
      </c>
      <c r="K122" t="s" s="2">
        <v>17</v>
      </c>
      <c r="L122" s="3">
        <v>1</v>
      </c>
      <c r="M122" t="s" s="2">
        <v>29</v>
      </c>
      <c r="N122" t="s" s="2">
        <v>35</v>
      </c>
      <c r="O122" s="3">
        <v>45</v>
      </c>
      <c r="P122" t="str" s="8" cm="1">
        <f t="array" ref="P122">IF(O122="","check","Okay")</f>
        <v>Okay</v>
      </c>
      <c r="Q122" t="str" s="8" cm="1">
        <f t="array" ref="Q122">IF(O122&lt;30,"UNDER 30",IF(O122&lt;=50,"30-50","Over 50"))</f>
        <v>30-50</v>
      </c>
      <c r="R122" t="s" s="2">
        <v>20</v>
      </c>
      <c r="S122" s="3" cm="1">
        <f t="array" ref="S122">COUNTIF(A2:A1001,A122)</f>
        <v>1</v>
      </c>
      <c r="T122" t="str" s="8" cm="1">
        <f t="array" ref="T122">IF(ISNUMBER(F122),"Ok","check")</f>
        <v>Ok</v>
      </c>
      <c r="U122" t="str" s="8" cm="1">
        <f t="array" ref="U122">IF(ISNUMBER(O122),"ok","check")</f>
        <v>ok</v>
      </c>
    </row>
    <row r="123" ht="13.55" customHeight="1">
      <c r="A123" s="3">
        <v>11303</v>
      </c>
      <c r="B123" t="s" s="2">
        <v>25</v>
      </c>
      <c r="C123" t="str" s="8" cm="1">
        <f t="array" ref="C123">IF(B123="M","Married","Single")</f>
        <v>Single</v>
      </c>
      <c r="D123" t="s" s="2">
        <v>14</v>
      </c>
      <c r="E123" t="str" s="8" cm="1">
        <f t="array" ref="E123">IF(D123="M","Male",IF(D123="F","Female","Check"))</f>
        <v>Female</v>
      </c>
      <c r="F123" s="4">
        <v>90000</v>
      </c>
      <c r="G123" t="str" s="8" cm="1">
        <f t="array" ref="G123">IF(F123="","Check","okay")</f>
        <v>okay</v>
      </c>
      <c r="H123" s="3">
        <v>4</v>
      </c>
      <c r="I123" t="s" s="2">
        <v>30</v>
      </c>
      <c r="J123" t="s" s="2">
        <v>23</v>
      </c>
      <c r="K123" t="s" s="2">
        <v>20</v>
      </c>
      <c r="L123" s="3">
        <v>3</v>
      </c>
      <c r="M123" t="s" s="2">
        <v>29</v>
      </c>
      <c r="N123" t="s" s="2">
        <v>35</v>
      </c>
      <c r="O123" s="3">
        <v>45</v>
      </c>
      <c r="P123" t="str" s="8" cm="1">
        <f t="array" ref="P123">IF(O123="","check","Okay")</f>
        <v>Okay</v>
      </c>
      <c r="Q123" t="str" s="8" cm="1">
        <f t="array" ref="Q123">IF(O123&lt;30,"UNDER 30",IF(O123&lt;=50,"30-50","Over 50"))</f>
        <v>30-50</v>
      </c>
      <c r="R123" t="s" s="2">
        <v>17</v>
      </c>
      <c r="S123" s="3" cm="1">
        <f t="array" ref="S123">COUNTIF(A2:A1001,A123)</f>
        <v>1</v>
      </c>
      <c r="T123" t="str" s="8" cm="1">
        <f t="array" ref="T123">IF(ISNUMBER(F123),"Ok","check")</f>
        <v>Ok</v>
      </c>
      <c r="U123" t="str" s="8" cm="1">
        <f t="array" ref="U123">IF(ISNUMBER(O123),"ok","check")</f>
        <v>ok</v>
      </c>
    </row>
    <row r="124" ht="13.55" customHeight="1">
      <c r="A124" s="3">
        <v>24416</v>
      </c>
      <c r="B124" t="s" s="2">
        <v>13</v>
      </c>
      <c r="C124" t="str" s="8" cm="1">
        <f t="array" ref="C124">IF(B124="M","Married","Single")</f>
        <v>Married</v>
      </c>
      <c r="D124" t="s" s="2">
        <v>13</v>
      </c>
      <c r="E124" t="str" s="8" cm="1">
        <f t="array" ref="E124">IF(D124="M","Male",IF(D124="F","Female","Check"))</f>
        <v>Male</v>
      </c>
      <c r="F124" s="4">
        <v>90000</v>
      </c>
      <c r="G124" t="str" s="8" cm="1">
        <f t="array" ref="G124">IF(F124="","Check","okay")</f>
        <v>okay</v>
      </c>
      <c r="H124" s="3">
        <v>4</v>
      </c>
      <c r="I124" t="s" s="2">
        <v>30</v>
      </c>
      <c r="J124" t="s" s="2">
        <v>23</v>
      </c>
      <c r="K124" t="s" s="2">
        <v>17</v>
      </c>
      <c r="L124" s="3">
        <v>2</v>
      </c>
      <c r="M124" t="s" s="2">
        <v>29</v>
      </c>
      <c r="N124" t="s" s="2">
        <v>35</v>
      </c>
      <c r="O124" s="3">
        <v>45</v>
      </c>
      <c r="P124" t="str" s="8" cm="1">
        <f t="array" ref="P124">IF(O124="","check","Okay")</f>
        <v>Okay</v>
      </c>
      <c r="Q124" t="str" s="8" cm="1">
        <f t="array" ref="Q124">IF(O124&lt;30,"UNDER 30",IF(O124&lt;=50,"30-50","Over 50"))</f>
        <v>30-50</v>
      </c>
      <c r="R124" t="s" s="2">
        <v>20</v>
      </c>
      <c r="S124" s="3" cm="1">
        <f t="array" ref="S124">COUNTIF(A2:A1001,A124)</f>
        <v>1</v>
      </c>
      <c r="T124" t="str" s="8" cm="1">
        <f t="array" ref="T124">IF(ISNUMBER(F124),"Ok","check")</f>
        <v>Ok</v>
      </c>
      <c r="U124" t="str" s="8" cm="1">
        <f t="array" ref="U124">IF(ISNUMBER(O124),"ok","check")</f>
        <v>ok</v>
      </c>
    </row>
    <row r="125" ht="13.55" customHeight="1">
      <c r="A125" s="3">
        <v>18294</v>
      </c>
      <c r="B125" t="s" s="2">
        <v>13</v>
      </c>
      <c r="C125" t="str" s="8" cm="1">
        <f t="array" ref="C125">IF(B125="M","Married","Single")</f>
        <v>Married</v>
      </c>
      <c r="D125" t="s" s="2">
        <v>14</v>
      </c>
      <c r="E125" t="str" s="8" cm="1">
        <f t="array" ref="E125">IF(D125="M","Male",IF(D125="F","Female","Check"))</f>
        <v>Female</v>
      </c>
      <c r="F125" s="4">
        <v>90000</v>
      </c>
      <c r="G125" t="str" s="8" cm="1">
        <f t="array" ref="G125">IF(F125="","Check","okay")</f>
        <v>okay</v>
      </c>
      <c r="H125" s="3">
        <v>1</v>
      </c>
      <c r="I125" t="s" s="2">
        <v>15</v>
      </c>
      <c r="J125" t="s" s="2">
        <v>23</v>
      </c>
      <c r="K125" t="s" s="2">
        <v>17</v>
      </c>
      <c r="L125" s="3">
        <v>1</v>
      </c>
      <c r="M125" t="s" s="2">
        <v>26</v>
      </c>
      <c r="N125" t="s" s="2">
        <v>27</v>
      </c>
      <c r="O125" s="3">
        <v>46</v>
      </c>
      <c r="P125" t="str" s="8" cm="1">
        <f t="array" ref="P125">IF(O125="","check","Okay")</f>
        <v>Okay</v>
      </c>
      <c r="Q125" t="str" s="8" cm="1">
        <f t="array" ref="Q125">IF(O125&lt;30,"UNDER 30",IF(O125&lt;=50,"30-50","Over 50"))</f>
        <v>30-50</v>
      </c>
      <c r="R125" t="s" s="2">
        <v>20</v>
      </c>
      <c r="S125" s="3" cm="1">
        <f t="array" ref="S125">COUNTIF(A2:A1001,A125)</f>
        <v>1</v>
      </c>
      <c r="T125" t="str" s="8" cm="1">
        <f t="array" ref="T125">IF(ISNUMBER(F125),"Ok","check")</f>
        <v>Ok</v>
      </c>
      <c r="U125" t="str" s="8" cm="1">
        <f t="array" ref="U125">IF(ISNUMBER(O125),"ok","check")</f>
        <v>ok</v>
      </c>
    </row>
    <row r="126" ht="13.55" customHeight="1">
      <c r="A126" s="3">
        <v>15799</v>
      </c>
      <c r="B126" t="s" s="2">
        <v>13</v>
      </c>
      <c r="C126" t="str" s="8" cm="1">
        <f t="array" ref="C126">IF(B126="M","Married","Single")</f>
        <v>Married</v>
      </c>
      <c r="D126" t="s" s="2">
        <v>14</v>
      </c>
      <c r="E126" t="str" s="8" cm="1">
        <f t="array" ref="E126">IF(D126="M","Male",IF(D126="F","Female","Check"))</f>
        <v>Female</v>
      </c>
      <c r="F126" s="4">
        <v>90000</v>
      </c>
      <c r="G126" t="str" s="8" cm="1">
        <f t="array" ref="G126">IF(F126="","Check","okay")</f>
        <v>okay</v>
      </c>
      <c r="H126" s="3">
        <v>1</v>
      </c>
      <c r="I126" t="s" s="2">
        <v>15</v>
      </c>
      <c r="J126" t="s" s="2">
        <v>23</v>
      </c>
      <c r="K126" t="s" s="2">
        <v>17</v>
      </c>
      <c r="L126" s="3">
        <v>1</v>
      </c>
      <c r="M126" t="s" s="2">
        <v>24</v>
      </c>
      <c r="N126" t="s" s="2">
        <v>27</v>
      </c>
      <c r="O126" s="3">
        <v>47</v>
      </c>
      <c r="P126" t="str" s="8" cm="1">
        <f t="array" ref="P126">IF(O126="","check","Okay")</f>
        <v>Okay</v>
      </c>
      <c r="Q126" t="str" s="8" cm="1">
        <f t="array" ref="Q126">IF(O126&lt;30,"UNDER 30",IF(O126&lt;=50,"30-50","Over 50"))</f>
        <v>30-50</v>
      </c>
      <c r="R126" t="s" s="2">
        <v>17</v>
      </c>
      <c r="S126" s="3" cm="1">
        <f t="array" ref="S126">COUNTIF(A2:A1001,A126)</f>
        <v>1</v>
      </c>
      <c r="T126" t="str" s="8" cm="1">
        <f t="array" ref="T126">IF(ISNUMBER(F126),"Ok","check")</f>
        <v>Ok</v>
      </c>
      <c r="U126" t="str" s="8" cm="1">
        <f t="array" ref="U126">IF(ISNUMBER(O126),"ok","check")</f>
        <v>ok</v>
      </c>
    </row>
    <row r="127" ht="13.55" customHeight="1">
      <c r="A127" s="3">
        <v>21940</v>
      </c>
      <c r="B127" t="s" s="2">
        <v>13</v>
      </c>
      <c r="C127" t="str" s="8" cm="1">
        <f t="array" ref="C127">IF(B127="M","Married","Single")</f>
        <v>Married</v>
      </c>
      <c r="D127" t="s" s="2">
        <v>13</v>
      </c>
      <c r="E127" t="str" s="8" cm="1">
        <f t="array" ref="E127">IF(D127="M","Male",IF(D127="F","Female","Check"))</f>
        <v>Male</v>
      </c>
      <c r="F127" s="4">
        <v>90000</v>
      </c>
      <c r="G127" t="str" s="8" cm="1">
        <f t="array" ref="G127">IF(F127="","Check","okay")</f>
        <v>okay</v>
      </c>
      <c r="H127" s="3">
        <v>5</v>
      </c>
      <c r="I127" t="s" s="2">
        <v>34</v>
      </c>
      <c r="J127" t="s" s="2">
        <v>23</v>
      </c>
      <c r="K127" t="s" s="2">
        <v>17</v>
      </c>
      <c r="L127" s="3">
        <v>0</v>
      </c>
      <c r="M127" t="s" s="2">
        <v>18</v>
      </c>
      <c r="N127" t="s" s="2">
        <v>35</v>
      </c>
      <c r="O127" s="3">
        <v>47</v>
      </c>
      <c r="P127" t="str" s="8" cm="1">
        <f t="array" ref="P127">IF(O127="","check","Okay")</f>
        <v>Okay</v>
      </c>
      <c r="Q127" t="str" s="8" cm="1">
        <f t="array" ref="Q127">IF(O127&lt;30,"UNDER 30",IF(O127&lt;=50,"30-50","Over 50"))</f>
        <v>30-50</v>
      </c>
      <c r="R127" t="s" s="2">
        <v>17</v>
      </c>
      <c r="S127" s="3" cm="1">
        <f t="array" ref="S127">COUNTIF(A2:A1001,A127)</f>
        <v>1</v>
      </c>
      <c r="T127" t="str" s="8" cm="1">
        <f t="array" ref="T127">IF(ISNUMBER(F127),"Ok","check")</f>
        <v>Ok</v>
      </c>
      <c r="U127" t="str" s="8" cm="1">
        <f t="array" ref="U127">IF(ISNUMBER(O127),"ok","check")</f>
        <v>ok</v>
      </c>
    </row>
    <row r="128" ht="13.55" customHeight="1">
      <c r="A128" s="3">
        <v>25241</v>
      </c>
      <c r="B128" t="s" s="2">
        <v>13</v>
      </c>
      <c r="C128" t="str" s="8" cm="1">
        <f t="array" ref="C128">IF(B128="M","Married","Single")</f>
        <v>Married</v>
      </c>
      <c r="D128" t="s" s="2">
        <v>13</v>
      </c>
      <c r="E128" t="str" s="8" cm="1">
        <f t="array" ref="E128">IF(D128="M","Male",IF(D128="F","Female","Check"))</f>
        <v>Male</v>
      </c>
      <c r="F128" s="4">
        <v>90000</v>
      </c>
      <c r="G128" t="str" s="8" cm="1">
        <f t="array" ref="G128">IF(F128="","Check","okay")</f>
        <v>okay</v>
      </c>
      <c r="H128" s="3">
        <v>2</v>
      </c>
      <c r="I128" t="s" s="2">
        <v>15</v>
      </c>
      <c r="J128" t="s" s="2">
        <v>23</v>
      </c>
      <c r="K128" t="s" s="2">
        <v>17</v>
      </c>
      <c r="L128" s="3">
        <v>1</v>
      </c>
      <c r="M128" t="s" s="2">
        <v>26</v>
      </c>
      <c r="N128" t="s" s="2">
        <v>27</v>
      </c>
      <c r="O128" s="3">
        <v>47</v>
      </c>
      <c r="P128" t="str" s="8" cm="1">
        <f t="array" ref="P128">IF(O128="","check","Okay")</f>
        <v>Okay</v>
      </c>
      <c r="Q128" t="str" s="8" cm="1">
        <f t="array" ref="Q128">IF(O128&lt;30,"UNDER 30",IF(O128&lt;=50,"30-50","Over 50"))</f>
        <v>30-50</v>
      </c>
      <c r="R128" t="s" s="2">
        <v>20</v>
      </c>
      <c r="S128" s="3" cm="1">
        <f t="array" ref="S128">COUNTIF(A2:A1001,A128)</f>
        <v>1</v>
      </c>
      <c r="T128" t="str" s="8" cm="1">
        <f t="array" ref="T128">IF(ISNUMBER(F128),"Ok","check")</f>
        <v>Ok</v>
      </c>
      <c r="U128" t="str" s="8" cm="1">
        <f t="array" ref="U128">IF(ISNUMBER(O128),"ok","check")</f>
        <v>ok</v>
      </c>
    </row>
    <row r="129" ht="13.55" customHeight="1">
      <c r="A129" s="3">
        <v>26757</v>
      </c>
      <c r="B129" t="s" s="2">
        <v>25</v>
      </c>
      <c r="C129" t="str" s="8" cm="1">
        <f t="array" ref="C129">IF(B129="M","Married","Single")</f>
        <v>Single</v>
      </c>
      <c r="D129" t="s" s="2">
        <v>13</v>
      </c>
      <c r="E129" t="str" s="8" cm="1">
        <f t="array" ref="E129">IF(D129="M","Male",IF(D129="F","Female","Check"))</f>
        <v>Male</v>
      </c>
      <c r="F129" s="4">
        <v>90000</v>
      </c>
      <c r="G129" t="str" s="8" cm="1">
        <f t="array" ref="G129">IF(F129="","Check","okay")</f>
        <v>okay</v>
      </c>
      <c r="H129" s="3">
        <v>1</v>
      </c>
      <c r="I129" t="s" s="2">
        <v>15</v>
      </c>
      <c r="J129" t="s" s="2">
        <v>23</v>
      </c>
      <c r="K129" t="s" s="2">
        <v>17</v>
      </c>
      <c r="L129" s="3">
        <v>1</v>
      </c>
      <c r="M129" t="s" s="2">
        <v>24</v>
      </c>
      <c r="N129" t="s" s="2">
        <v>27</v>
      </c>
      <c r="O129" s="3">
        <v>47</v>
      </c>
      <c r="P129" t="str" s="8" cm="1">
        <f t="array" ref="P129">IF(O129="","check","Okay")</f>
        <v>Okay</v>
      </c>
      <c r="Q129" t="str" s="8" cm="1">
        <f t="array" ref="Q129">IF(O129&lt;30,"UNDER 30",IF(O129&lt;=50,"30-50","Over 50"))</f>
        <v>30-50</v>
      </c>
      <c r="R129" t="s" s="2">
        <v>17</v>
      </c>
      <c r="S129" s="3" cm="1">
        <f t="array" ref="S129">COUNTIF(A2:A1001,A129)</f>
        <v>1</v>
      </c>
      <c r="T129" t="str" s="8" cm="1">
        <f t="array" ref="T129">IF(ISNUMBER(F129),"Ok","check")</f>
        <v>Ok</v>
      </c>
      <c r="U129" t="str" s="8" cm="1">
        <f t="array" ref="U129">IF(ISNUMBER(O129),"ok","check")</f>
        <v>ok</v>
      </c>
    </row>
    <row r="130" ht="13.55" customHeight="1">
      <c r="A130" s="3">
        <v>11090</v>
      </c>
      <c r="B130" t="s" s="2">
        <v>25</v>
      </c>
      <c r="C130" t="str" s="8" cm="1">
        <f t="array" ref="C130">IF(B130="M","Married","Single")</f>
        <v>Single</v>
      </c>
      <c r="D130" t="s" s="2">
        <v>13</v>
      </c>
      <c r="E130" t="str" s="8" cm="1">
        <f t="array" ref="E130">IF(D130="M","Male",IF(D130="F","Female","Check"))</f>
        <v>Male</v>
      </c>
      <c r="F130" s="4">
        <v>90000</v>
      </c>
      <c r="G130" t="str" s="8" cm="1">
        <f t="array" ref="G130">IF(F130="","Check","okay")</f>
        <v>okay</v>
      </c>
      <c r="H130" s="3">
        <v>2</v>
      </c>
      <c r="I130" t="s" s="2">
        <v>21</v>
      </c>
      <c r="J130" t="s" s="2">
        <v>23</v>
      </c>
      <c r="K130" t="s" s="2">
        <v>17</v>
      </c>
      <c r="L130" s="3">
        <v>1</v>
      </c>
      <c r="M130" t="s" s="2">
        <v>24</v>
      </c>
      <c r="N130" t="s" s="2">
        <v>35</v>
      </c>
      <c r="O130" s="3">
        <v>48</v>
      </c>
      <c r="P130" t="str" s="8" cm="1">
        <f t="array" ref="P130">IF(O130="","check","Okay")</f>
        <v>Okay</v>
      </c>
      <c r="Q130" t="str" s="8" cm="1">
        <f t="array" ref="Q130">IF(O130&lt;30,"UNDER 30",IF(O130&lt;=50,"30-50","Over 50"))</f>
        <v>30-50</v>
      </c>
      <c r="R130" t="s" s="2">
        <v>17</v>
      </c>
      <c r="S130" s="3" cm="1">
        <f t="array" ref="S130">COUNTIF(A2:A1001,A130)</f>
        <v>1</v>
      </c>
      <c r="T130" t="str" s="8" cm="1">
        <f t="array" ref="T130">IF(ISNUMBER(F130),"Ok","check")</f>
        <v>Ok</v>
      </c>
      <c r="U130" t="str" s="8" cm="1">
        <f t="array" ref="U130">IF(ISNUMBER(O130),"ok","check")</f>
        <v>ok</v>
      </c>
    </row>
    <row r="131" ht="13.55" customHeight="1">
      <c r="A131" s="3">
        <v>22864</v>
      </c>
      <c r="B131" t="s" s="2">
        <v>13</v>
      </c>
      <c r="C131" t="str" s="8" cm="1">
        <f t="array" ref="C131">IF(B131="M","Married","Single")</f>
        <v>Married</v>
      </c>
      <c r="D131" t="s" s="2">
        <v>13</v>
      </c>
      <c r="E131" t="str" s="8" cm="1">
        <f t="array" ref="E131">IF(D131="M","Male",IF(D131="F","Female","Check"))</f>
        <v>Male</v>
      </c>
      <c r="F131" s="4">
        <v>90000</v>
      </c>
      <c r="G131" t="str" s="8" cm="1">
        <f t="array" ref="G131">IF(F131="","Check","okay")</f>
        <v>okay</v>
      </c>
      <c r="H131" s="3">
        <v>2</v>
      </c>
      <c r="I131" t="s" s="2">
        <v>21</v>
      </c>
      <c r="J131" t="s" s="2">
        <v>23</v>
      </c>
      <c r="K131" t="s" s="2">
        <v>20</v>
      </c>
      <c r="L131" s="3">
        <v>0</v>
      </c>
      <c r="M131" t="s" s="2">
        <v>26</v>
      </c>
      <c r="N131" t="s" s="2">
        <v>35</v>
      </c>
      <c r="O131" s="3">
        <v>49</v>
      </c>
      <c r="P131" t="str" s="8" cm="1">
        <f t="array" ref="P131">IF(O131="","check","Okay")</f>
        <v>Okay</v>
      </c>
      <c r="Q131" t="str" s="8" cm="1">
        <f t="array" ref="Q131">IF(O131&lt;30,"UNDER 30",IF(O131&lt;=50,"30-50","Over 50"))</f>
        <v>30-50</v>
      </c>
      <c r="R131" t="s" s="2">
        <v>17</v>
      </c>
      <c r="S131" s="3" cm="1">
        <f t="array" ref="S131">COUNTIF(A2:A1001,A131)</f>
        <v>1</v>
      </c>
      <c r="T131" t="str" s="8" cm="1">
        <f t="array" ref="T131">IF(ISNUMBER(F131),"Ok","check")</f>
        <v>Ok</v>
      </c>
      <c r="U131" t="str" s="8" cm="1">
        <f t="array" ref="U131">IF(ISNUMBER(O131),"ok","check")</f>
        <v>ok</v>
      </c>
    </row>
    <row r="132" ht="13.55" customHeight="1">
      <c r="A132" s="3">
        <v>16871</v>
      </c>
      <c r="B132" t="s" s="2">
        <v>13</v>
      </c>
      <c r="C132" t="str" s="8" cm="1">
        <f t="array" ref="C132">IF(B132="M","Married","Single")</f>
        <v>Married</v>
      </c>
      <c r="D132" t="s" s="2">
        <v>14</v>
      </c>
      <c r="E132" t="str" s="8" cm="1">
        <f t="array" ref="E132">IF(D132="M","Male",IF(D132="F","Female","Check"))</f>
        <v>Female</v>
      </c>
      <c r="F132" s="4">
        <v>90000</v>
      </c>
      <c r="G132" t="str" s="8" cm="1">
        <f t="array" ref="G132">IF(F132="","Check","okay")</f>
        <v>okay</v>
      </c>
      <c r="H132" s="3">
        <v>2</v>
      </c>
      <c r="I132" t="s" s="2">
        <v>30</v>
      </c>
      <c r="J132" t="s" s="2">
        <v>23</v>
      </c>
      <c r="K132" t="s" s="2">
        <v>17</v>
      </c>
      <c r="L132" s="3">
        <v>1</v>
      </c>
      <c r="M132" t="s" s="2">
        <v>33</v>
      </c>
      <c r="N132" t="s" s="2">
        <v>35</v>
      </c>
      <c r="O132" s="3">
        <v>51</v>
      </c>
      <c r="P132" t="str" s="8" cm="1">
        <f t="array" ref="P132">IF(O132="","check","Okay")</f>
        <v>Okay</v>
      </c>
      <c r="Q132" t="str" s="8" cm="1">
        <f t="array" ref="Q132">IF(O132&lt;30,"UNDER 30",IF(O132&lt;=50,"30-50","Over 50"))</f>
        <v>Over 50</v>
      </c>
      <c r="R132" t="s" s="2">
        <v>17</v>
      </c>
      <c r="S132" s="3" cm="1">
        <f t="array" ref="S132">COUNTIF(A2:A1001,A132)</f>
        <v>1</v>
      </c>
      <c r="T132" t="str" s="8" cm="1">
        <f t="array" ref="T132">IF(ISNUMBER(F132),"Ok","check")</f>
        <v>Ok</v>
      </c>
      <c r="U132" t="str" s="8" cm="1">
        <f t="array" ref="U132">IF(ISNUMBER(O132),"ok","check")</f>
        <v>ok</v>
      </c>
    </row>
    <row r="133" ht="13.55" customHeight="1">
      <c r="A133" s="3">
        <v>24842</v>
      </c>
      <c r="B133" t="s" s="2">
        <v>25</v>
      </c>
      <c r="C133" t="str" s="8" cm="1">
        <f t="array" ref="C133">IF(B133="M","Married","Single")</f>
        <v>Single</v>
      </c>
      <c r="D133" t="s" s="2">
        <v>14</v>
      </c>
      <c r="E133" t="str" s="8" cm="1">
        <f t="array" ref="E133">IF(D133="M","Male",IF(D133="F","Female","Check"))</f>
        <v>Female</v>
      </c>
      <c r="F133" s="4">
        <v>90000</v>
      </c>
      <c r="G133" t="str" s="8" cm="1">
        <f t="array" ref="G133">IF(F133="","Check","okay")</f>
        <v>okay</v>
      </c>
      <c r="H133" s="3">
        <v>3</v>
      </c>
      <c r="I133" t="s" s="2">
        <v>30</v>
      </c>
      <c r="J133" t="s" s="2">
        <v>23</v>
      </c>
      <c r="K133" t="s" s="2">
        <v>20</v>
      </c>
      <c r="L133" s="3">
        <v>1</v>
      </c>
      <c r="M133" t="s" s="2">
        <v>24</v>
      </c>
      <c r="N133" t="s" s="2">
        <v>19</v>
      </c>
      <c r="O133" s="3">
        <v>51</v>
      </c>
      <c r="P133" t="str" s="8" cm="1">
        <f t="array" ref="P133">IF(O133="","check","Okay")</f>
        <v>Okay</v>
      </c>
      <c r="Q133" t="str" s="8" cm="1">
        <f t="array" ref="Q133">IF(O133&lt;30,"UNDER 30",IF(O133&lt;=50,"30-50","Over 50"))</f>
        <v>Over 50</v>
      </c>
      <c r="R133" t="s" s="2">
        <v>20</v>
      </c>
      <c r="S133" s="3" cm="1">
        <f t="array" ref="S133">COUNTIF(A2:A1001,A133)</f>
        <v>1</v>
      </c>
      <c r="T133" t="str" s="8" cm="1">
        <f t="array" ref="T133">IF(ISNUMBER(F133),"Ok","check")</f>
        <v>Ok</v>
      </c>
      <c r="U133" t="str" s="8" cm="1">
        <f t="array" ref="U133">IF(ISNUMBER(O133),"ok","check")</f>
        <v>ok</v>
      </c>
    </row>
    <row r="134" ht="13.55" customHeight="1">
      <c r="A134" s="3">
        <v>14189</v>
      </c>
      <c r="B134" t="s" s="2">
        <v>13</v>
      </c>
      <c r="C134" t="str" s="8" cm="1">
        <f t="array" ref="C134">IF(B134="M","Married","Single")</f>
        <v>Married</v>
      </c>
      <c r="D134" t="s" s="2">
        <v>14</v>
      </c>
      <c r="E134" t="str" s="8" cm="1">
        <f t="array" ref="E134">IF(D134="M","Male",IF(D134="F","Female","Check"))</f>
        <v>Female</v>
      </c>
      <c r="F134" s="4">
        <v>90000</v>
      </c>
      <c r="G134" t="str" s="8" cm="1">
        <f t="array" ref="G134">IF(F134="","Check","okay")</f>
        <v>okay</v>
      </c>
      <c r="H134" s="3">
        <v>4</v>
      </c>
      <c r="I134" t="s" s="2">
        <v>30</v>
      </c>
      <c r="J134" t="s" s="2">
        <v>23</v>
      </c>
      <c r="K134" t="s" s="2">
        <v>20</v>
      </c>
      <c r="L134" s="3">
        <v>2</v>
      </c>
      <c r="M134" t="s" s="2">
        <v>24</v>
      </c>
      <c r="N134" t="s" s="2">
        <v>19</v>
      </c>
      <c r="O134" s="3">
        <v>54</v>
      </c>
      <c r="P134" t="str" s="8" cm="1">
        <f t="array" ref="P134">IF(O134="","check","Okay")</f>
        <v>Okay</v>
      </c>
      <c r="Q134" t="str" s="8" cm="1">
        <f t="array" ref="Q134">IF(O134&lt;30,"UNDER 30",IF(O134&lt;=50,"30-50","Over 50"))</f>
        <v>Over 50</v>
      </c>
      <c r="R134" t="s" s="2">
        <v>17</v>
      </c>
      <c r="S134" s="3" cm="1">
        <f t="array" ref="S134">COUNTIF(A2:A1001,A134)</f>
        <v>1</v>
      </c>
      <c r="T134" t="str" s="8" cm="1">
        <f t="array" ref="T134">IF(ISNUMBER(F134),"Ok","check")</f>
        <v>Ok</v>
      </c>
      <c r="U134" t="str" s="8" cm="1">
        <f t="array" ref="U134">IF(ISNUMBER(O134),"ok","check")</f>
        <v>ok</v>
      </c>
    </row>
    <row r="135" ht="13.55" customHeight="1">
      <c r="A135" s="3">
        <v>24871</v>
      </c>
      <c r="B135" t="s" s="2">
        <v>25</v>
      </c>
      <c r="C135" t="str" s="8" cm="1">
        <f t="array" ref="C135">IF(B135="M","Married","Single")</f>
        <v>Single</v>
      </c>
      <c r="D135" t="s" s="2">
        <v>14</v>
      </c>
      <c r="E135" t="str" s="8" cm="1">
        <f t="array" ref="E135">IF(D135="M","Male",IF(D135="F","Female","Check"))</f>
        <v>Female</v>
      </c>
      <c r="F135" s="4">
        <v>90000</v>
      </c>
      <c r="G135" t="str" s="8" cm="1">
        <f t="array" ref="G135">IF(F135="","Check","okay")</f>
        <v>okay</v>
      </c>
      <c r="H135" s="3">
        <v>4</v>
      </c>
      <c r="I135" t="s" s="2">
        <v>30</v>
      </c>
      <c r="J135" t="s" s="2">
        <v>31</v>
      </c>
      <c r="K135" t="s" s="2">
        <v>20</v>
      </c>
      <c r="L135" s="3">
        <v>3</v>
      </c>
      <c r="M135" t="s" s="2">
        <v>26</v>
      </c>
      <c r="N135" t="s" s="2">
        <v>19</v>
      </c>
      <c r="O135" s="3">
        <v>56</v>
      </c>
      <c r="P135" t="str" s="8" cm="1">
        <f t="array" ref="P135">IF(O135="","check","Okay")</f>
        <v>Okay</v>
      </c>
      <c r="Q135" t="str" s="8" cm="1">
        <f t="array" ref="Q135">IF(O135&lt;30,"UNDER 30",IF(O135&lt;=50,"30-50","Over 50"))</f>
        <v>Over 50</v>
      </c>
      <c r="R135" t="s" s="2">
        <v>20</v>
      </c>
      <c r="S135" s="3" cm="1">
        <f t="array" ref="S135">COUNTIF(A2:A1001,A135)</f>
        <v>1</v>
      </c>
      <c r="T135" t="str" s="8" cm="1">
        <f t="array" ref="T135">IF(ISNUMBER(F135),"Ok","check")</f>
        <v>Ok</v>
      </c>
      <c r="U135" t="str" s="8" cm="1">
        <f t="array" ref="U135">IF(ISNUMBER(O135),"ok","check")</f>
        <v>ok</v>
      </c>
    </row>
    <row r="136" ht="13.55" customHeight="1">
      <c r="A136" s="3">
        <v>14192</v>
      </c>
      <c r="B136" t="s" s="2">
        <v>13</v>
      </c>
      <c r="C136" t="str" s="8" cm="1">
        <f t="array" ref="C136">IF(B136="M","Married","Single")</f>
        <v>Married</v>
      </c>
      <c r="D136" t="s" s="2">
        <v>13</v>
      </c>
      <c r="E136" t="str" s="8" cm="1">
        <f t="array" ref="E136">IF(D136="M","Male",IF(D136="F","Female","Check"))</f>
        <v>Male</v>
      </c>
      <c r="F136" s="4">
        <v>90000</v>
      </c>
      <c r="G136" t="str" s="8" cm="1">
        <f t="array" ref="G136">IF(F136="","Check","okay")</f>
        <v>okay</v>
      </c>
      <c r="H136" s="3">
        <v>4</v>
      </c>
      <c r="I136" t="s" s="2">
        <v>30</v>
      </c>
      <c r="J136" t="s" s="2">
        <v>31</v>
      </c>
      <c r="K136" t="s" s="2">
        <v>17</v>
      </c>
      <c r="L136" s="3">
        <v>3</v>
      </c>
      <c r="M136" t="s" s="2">
        <v>26</v>
      </c>
      <c r="N136" t="s" s="2">
        <v>19</v>
      </c>
      <c r="O136" s="3">
        <v>56</v>
      </c>
      <c r="P136" t="str" s="8" cm="1">
        <f t="array" ref="P136">IF(O136="","check","Okay")</f>
        <v>Okay</v>
      </c>
      <c r="Q136" t="str" s="8" cm="1">
        <f t="array" ref="Q136">IF(O136&lt;30,"UNDER 30",IF(O136&lt;=50,"30-50","Over 50"))</f>
        <v>Over 50</v>
      </c>
      <c r="R136" t="s" s="2">
        <v>17</v>
      </c>
      <c r="S136" s="3" cm="1">
        <f t="array" ref="S136">COUNTIF(A2:A1001,A136)</f>
        <v>1</v>
      </c>
      <c r="T136" t="str" s="8" cm="1">
        <f t="array" ref="T136">IF(ISNUMBER(F136),"Ok","check")</f>
        <v>Ok</v>
      </c>
      <c r="U136" t="str" s="8" cm="1">
        <f t="array" ref="U136">IF(ISNUMBER(O136),"ok","check")</f>
        <v>ok</v>
      </c>
    </row>
    <row r="137" ht="13.55" customHeight="1">
      <c r="A137" s="3">
        <v>26415</v>
      </c>
      <c r="B137" t="s" s="2">
        <v>13</v>
      </c>
      <c r="C137" t="str" s="8" cm="1">
        <f t="array" ref="C137">IF(B137="M","Married","Single")</f>
        <v>Married</v>
      </c>
      <c r="D137" t="s" s="2">
        <v>14</v>
      </c>
      <c r="E137" t="str" s="8" cm="1">
        <f t="array" ref="E137">IF(D137="M","Male",IF(D137="F","Female","Check"))</f>
        <v>Female</v>
      </c>
      <c r="F137" s="4">
        <v>90000</v>
      </c>
      <c r="G137" t="str" s="8" cm="1">
        <f t="array" ref="G137">IF(F137="","Check","okay")</f>
        <v>okay</v>
      </c>
      <c r="H137" s="3">
        <v>4</v>
      </c>
      <c r="I137" t="s" s="2">
        <v>32</v>
      </c>
      <c r="J137" t="s" s="2">
        <v>16</v>
      </c>
      <c r="K137" t="s" s="2">
        <v>17</v>
      </c>
      <c r="L137" s="3">
        <v>4</v>
      </c>
      <c r="M137" t="s" s="2">
        <v>33</v>
      </c>
      <c r="N137" t="s" s="2">
        <v>19</v>
      </c>
      <c r="O137" s="3">
        <v>58</v>
      </c>
      <c r="P137" t="str" s="8" cm="1">
        <f t="array" ref="P137">IF(O137="","check","Okay")</f>
        <v>Okay</v>
      </c>
      <c r="Q137" t="str" s="8" cm="1">
        <f t="array" ref="Q137">IF(O137&lt;30,"UNDER 30",IF(O137&lt;=50,"30-50","Over 50"))</f>
        <v>Over 50</v>
      </c>
      <c r="R137" t="s" s="2">
        <v>20</v>
      </c>
      <c r="S137" s="3" cm="1">
        <f t="array" ref="S137">COUNTIF(A2:A1001,A137)</f>
        <v>1</v>
      </c>
      <c r="T137" t="str" s="8" cm="1">
        <f t="array" ref="T137">IF(ISNUMBER(F137),"Ok","check")</f>
        <v>Ok</v>
      </c>
      <c r="U137" t="str" s="8" cm="1">
        <f t="array" ref="U137">IF(ISNUMBER(O137),"ok","check")</f>
        <v>ok</v>
      </c>
    </row>
    <row r="138" ht="13.55" customHeight="1">
      <c r="A138" s="3">
        <v>12332</v>
      </c>
      <c r="B138" t="s" s="2">
        <v>13</v>
      </c>
      <c r="C138" t="str" s="8" cm="1">
        <f t="array" ref="C138">IF(B138="M","Married","Single")</f>
        <v>Married</v>
      </c>
      <c r="D138" t="s" s="2">
        <v>13</v>
      </c>
      <c r="E138" t="str" s="8" cm="1">
        <f t="array" ref="E138">IF(D138="M","Male",IF(D138="F","Female","Check"))</f>
        <v>Male</v>
      </c>
      <c r="F138" s="4">
        <v>90000</v>
      </c>
      <c r="G138" t="str" s="8" cm="1">
        <f t="array" ref="G138">IF(F138="","Check","okay")</f>
        <v>okay</v>
      </c>
      <c r="H138" s="3">
        <v>4</v>
      </c>
      <c r="I138" t="s" s="2">
        <v>30</v>
      </c>
      <c r="J138" t="s" s="2">
        <v>31</v>
      </c>
      <c r="K138" t="s" s="2">
        <v>17</v>
      </c>
      <c r="L138" s="3">
        <v>3</v>
      </c>
      <c r="M138" t="s" s="2">
        <v>26</v>
      </c>
      <c r="N138" t="s" s="2">
        <v>19</v>
      </c>
      <c r="O138" s="3">
        <v>58</v>
      </c>
      <c r="P138" t="str" s="8" cm="1">
        <f t="array" ref="P138">IF(O138="","check","Okay")</f>
        <v>Okay</v>
      </c>
      <c r="Q138" t="str" s="8" cm="1">
        <f t="array" ref="Q138">IF(O138&lt;30,"UNDER 30",IF(O138&lt;=50,"30-50","Over 50"))</f>
        <v>Over 50</v>
      </c>
      <c r="R138" t="s" s="2">
        <v>17</v>
      </c>
      <c r="S138" s="3" cm="1">
        <f t="array" ref="S138">COUNTIF(A2:A1001,A138)</f>
        <v>1</v>
      </c>
      <c r="T138" t="str" s="8" cm="1">
        <f t="array" ref="T138">IF(ISNUMBER(F138),"Ok","check")</f>
        <v>Ok</v>
      </c>
      <c r="U138" t="str" s="8" cm="1">
        <f t="array" ref="U138">IF(ISNUMBER(O138),"ok","check")</f>
        <v>ok</v>
      </c>
    </row>
    <row r="139" ht="13.55" customHeight="1">
      <c r="A139" s="3">
        <v>12663</v>
      </c>
      <c r="B139" t="s" s="2">
        <v>13</v>
      </c>
      <c r="C139" t="str" s="8" cm="1">
        <f t="array" ref="C139">IF(B139="M","Married","Single")</f>
        <v>Married</v>
      </c>
      <c r="D139" t="s" s="2">
        <v>14</v>
      </c>
      <c r="E139" t="str" s="8" cm="1">
        <f t="array" ref="E139">IF(D139="M","Male",IF(D139="F","Female","Check"))</f>
        <v>Female</v>
      </c>
      <c r="F139" s="4">
        <v>90000</v>
      </c>
      <c r="G139" t="str" s="8" cm="1">
        <f t="array" ref="G139">IF(F139="","Check","okay")</f>
        <v>okay</v>
      </c>
      <c r="H139" s="3">
        <v>5</v>
      </c>
      <c r="I139" t="s" s="2">
        <v>32</v>
      </c>
      <c r="J139" t="s" s="2">
        <v>16</v>
      </c>
      <c r="K139" t="s" s="2">
        <v>17</v>
      </c>
      <c r="L139" s="3">
        <v>2</v>
      </c>
      <c r="M139" t="s" s="2">
        <v>33</v>
      </c>
      <c r="N139" t="s" s="2">
        <v>19</v>
      </c>
      <c r="O139" s="3">
        <v>59</v>
      </c>
      <c r="P139" t="str" s="8" cm="1">
        <f t="array" ref="P139">IF(O139="","check","Okay")</f>
        <v>Okay</v>
      </c>
      <c r="Q139" t="str" s="8" cm="1">
        <f t="array" ref="Q139">IF(O139&lt;30,"UNDER 30",IF(O139&lt;=50,"30-50","Over 50"))</f>
        <v>Over 50</v>
      </c>
      <c r="R139" t="s" s="2">
        <v>20</v>
      </c>
      <c r="S139" s="3" cm="1">
        <f t="array" ref="S139">COUNTIF(A2:A1001,A139)</f>
        <v>1</v>
      </c>
      <c r="T139" t="str" s="8" cm="1">
        <f t="array" ref="T139">IF(ISNUMBER(F139),"Ok","check")</f>
        <v>Ok</v>
      </c>
      <c r="U139" t="str" s="8" cm="1">
        <f t="array" ref="U139">IF(ISNUMBER(O139),"ok","check")</f>
        <v>ok</v>
      </c>
    </row>
    <row r="140" ht="13.55" customHeight="1">
      <c r="A140" s="3">
        <v>17197</v>
      </c>
      <c r="B140" t="s" s="2">
        <v>25</v>
      </c>
      <c r="C140" t="str" s="8" cm="1">
        <f t="array" ref="C140">IF(B140="M","Married","Single")</f>
        <v>Single</v>
      </c>
      <c r="D140" t="s" s="2">
        <v>14</v>
      </c>
      <c r="E140" t="str" s="8" cm="1">
        <f t="array" ref="E140">IF(D140="M","Male",IF(D140="F","Female","Check"))</f>
        <v>Female</v>
      </c>
      <c r="F140" s="4">
        <v>90000</v>
      </c>
      <c r="G140" t="str" s="8" cm="1">
        <f t="array" ref="G140">IF(F140="","Check","okay")</f>
        <v>okay</v>
      </c>
      <c r="H140" s="3">
        <v>5</v>
      </c>
      <c r="I140" t="s" s="2">
        <v>21</v>
      </c>
      <c r="J140" t="s" s="2">
        <v>23</v>
      </c>
      <c r="K140" t="s" s="2">
        <v>17</v>
      </c>
      <c r="L140" s="3">
        <v>2</v>
      </c>
      <c r="M140" t="s" s="2">
        <v>33</v>
      </c>
      <c r="N140" t="s" s="2">
        <v>19</v>
      </c>
      <c r="O140" s="3">
        <v>62</v>
      </c>
      <c r="P140" t="str" s="8" cm="1">
        <f t="array" ref="P140">IF(O140="","check","Okay")</f>
        <v>Okay</v>
      </c>
      <c r="Q140" t="str" s="8" cm="1">
        <f t="array" ref="Q140">IF(O140&lt;30,"UNDER 30",IF(O140&lt;=50,"30-50","Over 50"))</f>
        <v>Over 50</v>
      </c>
      <c r="R140" t="s" s="2">
        <v>20</v>
      </c>
      <c r="S140" s="3" cm="1">
        <f t="array" ref="S140">COUNTIF(A2:A1001,A140)</f>
        <v>1</v>
      </c>
      <c r="T140" t="str" s="8" cm="1">
        <f t="array" ref="T140">IF(ISNUMBER(F140),"Ok","check")</f>
        <v>Ok</v>
      </c>
      <c r="U140" t="str" s="8" cm="1">
        <f t="array" ref="U140">IF(ISNUMBER(O140),"ok","check")</f>
        <v>ok</v>
      </c>
    </row>
    <row r="141" ht="13.55" customHeight="1">
      <c r="A141" s="3">
        <v>11415</v>
      </c>
      <c r="B141" t="s" s="2">
        <v>25</v>
      </c>
      <c r="C141" t="str" s="8" cm="1">
        <f t="array" ref="C141">IF(B141="M","Married","Single")</f>
        <v>Single</v>
      </c>
      <c r="D141" t="s" s="2">
        <v>13</v>
      </c>
      <c r="E141" t="str" s="8" cm="1">
        <f t="array" ref="E141">IF(D141="M","Male",IF(D141="F","Female","Check"))</f>
        <v>Male</v>
      </c>
      <c r="F141" s="4">
        <v>90000</v>
      </c>
      <c r="G141" t="str" s="8" cm="1">
        <f t="array" ref="G141">IF(F141="","Check","okay")</f>
        <v>okay</v>
      </c>
      <c r="H141" s="3">
        <v>5</v>
      </c>
      <c r="I141" t="s" s="2">
        <v>21</v>
      </c>
      <c r="J141" t="s" s="2">
        <v>23</v>
      </c>
      <c r="K141" t="s" s="2">
        <v>20</v>
      </c>
      <c r="L141" s="3">
        <v>2</v>
      </c>
      <c r="M141" t="s" s="2">
        <v>33</v>
      </c>
      <c r="N141" t="s" s="2">
        <v>19</v>
      </c>
      <c r="O141" s="3">
        <v>62</v>
      </c>
      <c r="P141" t="str" s="8" cm="1">
        <f t="array" ref="P141">IF(O141="","check","Okay")</f>
        <v>Okay</v>
      </c>
      <c r="Q141" t="str" s="8" cm="1">
        <f t="array" ref="Q141">IF(O141&lt;30,"UNDER 30",IF(O141&lt;=50,"30-50","Over 50"))</f>
        <v>Over 50</v>
      </c>
      <c r="R141" t="s" s="2">
        <v>20</v>
      </c>
      <c r="S141" s="3" cm="1">
        <f t="array" ref="S141">COUNTIF(A2:A1001,A141)</f>
        <v>1</v>
      </c>
      <c r="T141" t="str" s="8" cm="1">
        <f t="array" ref="T141">IF(ISNUMBER(F141),"Ok","check")</f>
        <v>Ok</v>
      </c>
      <c r="U141" t="str" s="8" cm="1">
        <f t="array" ref="U141">IF(ISNUMBER(O141),"ok","check")</f>
        <v>ok</v>
      </c>
    </row>
    <row r="142" ht="13.55" customHeight="1">
      <c r="A142" s="3">
        <v>12291</v>
      </c>
      <c r="B142" t="s" s="2">
        <v>25</v>
      </c>
      <c r="C142" t="str" s="8" cm="1">
        <f t="array" ref="C142">IF(B142="M","Married","Single")</f>
        <v>Single</v>
      </c>
      <c r="D142" t="s" s="2">
        <v>13</v>
      </c>
      <c r="E142" t="str" s="8" cm="1">
        <f t="array" ref="E142">IF(D142="M","Male",IF(D142="F","Female","Check"))</f>
        <v>Male</v>
      </c>
      <c r="F142" s="4">
        <v>90000</v>
      </c>
      <c r="G142" t="str" s="8" cm="1">
        <f t="array" ref="G142">IF(F142="","Check","okay")</f>
        <v>okay</v>
      </c>
      <c r="H142" s="3">
        <v>5</v>
      </c>
      <c r="I142" t="s" s="2">
        <v>21</v>
      </c>
      <c r="J142" t="s" s="2">
        <v>23</v>
      </c>
      <c r="K142" t="s" s="2">
        <v>20</v>
      </c>
      <c r="L142" s="3">
        <v>2</v>
      </c>
      <c r="M142" t="s" s="2">
        <v>24</v>
      </c>
      <c r="N142" t="s" s="2">
        <v>19</v>
      </c>
      <c r="O142" s="3">
        <v>62</v>
      </c>
      <c r="P142" t="str" s="8" cm="1">
        <f t="array" ref="P142">IF(O142="","check","Okay")</f>
        <v>Okay</v>
      </c>
      <c r="Q142" t="str" s="8" cm="1">
        <f t="array" ref="Q142">IF(O142&lt;30,"UNDER 30",IF(O142&lt;=50,"30-50","Over 50"))</f>
        <v>Over 50</v>
      </c>
      <c r="R142" t="s" s="2">
        <v>17</v>
      </c>
      <c r="S142" s="3" cm="1">
        <f t="array" ref="S142">COUNTIF(A2:A1001,A142)</f>
        <v>1</v>
      </c>
      <c r="T142" t="str" s="8" cm="1">
        <f t="array" ref="T142">IF(ISNUMBER(F142),"Ok","check")</f>
        <v>Ok</v>
      </c>
      <c r="U142" t="str" s="8" cm="1">
        <f t="array" ref="U142">IF(ISNUMBER(O142),"ok","check")</f>
        <v>ok</v>
      </c>
    </row>
    <row r="143" ht="13.55" customHeight="1">
      <c r="A143" s="3">
        <v>13343</v>
      </c>
      <c r="B143" t="s" s="2">
        <v>13</v>
      </c>
      <c r="C143" t="str" s="8" cm="1">
        <f t="array" ref="C143">IF(B143="M","Married","Single")</f>
        <v>Married</v>
      </c>
      <c r="D143" t="s" s="2">
        <v>14</v>
      </c>
      <c r="E143" t="str" s="8" cm="1">
        <f t="array" ref="E143">IF(D143="M","Male",IF(D143="F","Female","Check"))</f>
        <v>Female</v>
      </c>
      <c r="F143" s="4">
        <v>90000</v>
      </c>
      <c r="G143" t="str" s="8" cm="1">
        <f t="array" ref="G143">IF(F143="","Check","okay")</f>
        <v>okay</v>
      </c>
      <c r="H143" s="3">
        <v>5</v>
      </c>
      <c r="I143" t="s" s="2">
        <v>15</v>
      </c>
      <c r="J143" t="s" s="2">
        <v>31</v>
      </c>
      <c r="K143" t="s" s="2">
        <v>17</v>
      </c>
      <c r="L143" s="3">
        <v>2</v>
      </c>
      <c r="M143" t="s" s="2">
        <v>29</v>
      </c>
      <c r="N143" t="s" s="2">
        <v>35</v>
      </c>
      <c r="O143" s="3">
        <v>63</v>
      </c>
      <c r="P143" t="str" s="8" cm="1">
        <f t="array" ref="P143">IF(O143="","check","Okay")</f>
        <v>Okay</v>
      </c>
      <c r="Q143" t="str" s="8" cm="1">
        <f t="array" ref="Q143">IF(O143&lt;30,"UNDER 30",IF(O143&lt;=50,"30-50","Over 50"))</f>
        <v>Over 50</v>
      </c>
      <c r="R143" t="s" s="2">
        <v>17</v>
      </c>
      <c r="S143" s="3" cm="1">
        <f t="array" ref="S143">COUNTIF(A2:A1001,A143)</f>
        <v>1</v>
      </c>
      <c r="T143" t="str" s="8" cm="1">
        <f t="array" ref="T143">IF(ISNUMBER(F143),"Ok","check")</f>
        <v>Ok</v>
      </c>
      <c r="U143" t="str" s="8" cm="1">
        <f t="array" ref="U143">IF(ISNUMBER(O143),"ok","check")</f>
        <v>ok</v>
      </c>
    </row>
    <row r="144" ht="13.55" customHeight="1">
      <c r="A144" s="3">
        <v>16007</v>
      </c>
      <c r="B144" t="s" s="2">
        <v>13</v>
      </c>
      <c r="C144" t="str" s="8" cm="1">
        <f t="array" ref="C144">IF(B144="M","Married","Single")</f>
        <v>Married</v>
      </c>
      <c r="D144" t="s" s="2">
        <v>14</v>
      </c>
      <c r="E144" t="str" s="8" cm="1">
        <f t="array" ref="E144">IF(D144="M","Male",IF(D144="F","Female","Check"))</f>
        <v>Female</v>
      </c>
      <c r="F144" s="4">
        <v>90000</v>
      </c>
      <c r="G144" t="str" s="8" cm="1">
        <f t="array" ref="G144">IF(F144="","Check","okay")</f>
        <v>okay</v>
      </c>
      <c r="H144" s="3">
        <v>5</v>
      </c>
      <c r="I144" t="s" s="2">
        <v>15</v>
      </c>
      <c r="J144" t="s" s="2">
        <v>31</v>
      </c>
      <c r="K144" t="s" s="2">
        <v>17</v>
      </c>
      <c r="L144" s="3">
        <v>2</v>
      </c>
      <c r="M144" t="s" s="2">
        <v>29</v>
      </c>
      <c r="N144" t="s" s="2">
        <v>35</v>
      </c>
      <c r="O144" s="3">
        <v>66</v>
      </c>
      <c r="P144" t="str" s="8" cm="1">
        <f t="array" ref="P144">IF(O144="","check","Okay")</f>
        <v>Okay</v>
      </c>
      <c r="Q144" t="str" s="8" cm="1">
        <f t="array" ref="Q144">IF(O144&lt;30,"UNDER 30",IF(O144&lt;=50,"30-50","Over 50"))</f>
        <v>Over 50</v>
      </c>
      <c r="R144" t="s" s="2">
        <v>17</v>
      </c>
      <c r="S144" s="3" cm="1">
        <f t="array" ref="S144">COUNTIF(A2:A1001,A144)</f>
        <v>1</v>
      </c>
      <c r="T144" t="str" s="8" cm="1">
        <f t="array" ref="T144">IF(ISNUMBER(F144),"Ok","check")</f>
        <v>Ok</v>
      </c>
      <c r="U144" t="str" s="8" cm="1">
        <f t="array" ref="U144">IF(ISNUMBER(O144),"ok","check")</f>
        <v>ok</v>
      </c>
    </row>
    <row r="145" ht="13.55" customHeight="1">
      <c r="A145" s="3">
        <v>14432</v>
      </c>
      <c r="B145" t="s" s="2">
        <v>25</v>
      </c>
      <c r="C145" t="str" s="8" cm="1">
        <f t="array" ref="C145">IF(B145="M","Married","Single")</f>
        <v>Single</v>
      </c>
      <c r="D145" t="s" s="2">
        <v>13</v>
      </c>
      <c r="E145" t="str" s="8" cm="1">
        <f t="array" ref="E145">IF(D145="M","Male",IF(D145="F","Female","Check"))</f>
        <v>Male</v>
      </c>
      <c r="F145" s="4">
        <v>90000</v>
      </c>
      <c r="G145" t="str" s="8" cm="1">
        <f t="array" ref="G145">IF(F145="","Check","okay")</f>
        <v>okay</v>
      </c>
      <c r="H145" s="3">
        <v>4</v>
      </c>
      <c r="I145" t="s" s="2">
        <v>34</v>
      </c>
      <c r="J145" t="s" s="2">
        <v>31</v>
      </c>
      <c r="K145" t="s" s="2">
        <v>17</v>
      </c>
      <c r="L145" s="3">
        <v>1</v>
      </c>
      <c r="M145" t="s" s="2">
        <v>26</v>
      </c>
      <c r="N145" t="s" s="2">
        <v>35</v>
      </c>
      <c r="O145" s="3">
        <v>73</v>
      </c>
      <c r="P145" t="str" s="8" cm="1">
        <f t="array" ref="P145">IF(O145="","check","Okay")</f>
        <v>Okay</v>
      </c>
      <c r="Q145" t="str" s="8" cm="1">
        <f t="array" ref="Q145">IF(O145&lt;30,"UNDER 30",IF(O145&lt;=50,"30-50","Over 50"))</f>
        <v>Over 50</v>
      </c>
      <c r="R145" t="s" s="2">
        <v>20</v>
      </c>
      <c r="S145" s="3" cm="1">
        <f t="array" ref="S145">COUNTIF(A2:A1001,A145)</f>
        <v>1</v>
      </c>
      <c r="T145" t="str" s="8" cm="1">
        <f t="array" ref="T145">IF(ISNUMBER(F145),"Ok","check")</f>
        <v>Ok</v>
      </c>
      <c r="U145" t="str" s="8" cm="1">
        <f t="array" ref="U145">IF(ISNUMBER(O145),"ok","check")</f>
        <v>ok</v>
      </c>
    </row>
    <row r="146" ht="13.55" customHeight="1">
      <c r="A146" s="3">
        <v>27969</v>
      </c>
      <c r="B146" t="s" s="2">
        <v>13</v>
      </c>
      <c r="C146" t="str" s="8" cm="1">
        <f t="array" ref="C146">IF(B146="M","Married","Single")</f>
        <v>Married</v>
      </c>
      <c r="D146" t="s" s="2">
        <v>13</v>
      </c>
      <c r="E146" t="str" s="8" cm="1">
        <f t="array" ref="E146">IF(D146="M","Male",IF(D146="F","Female","Check"))</f>
        <v>Male</v>
      </c>
      <c r="F146" s="4">
        <v>80000</v>
      </c>
      <c r="G146" t="str" s="8" cm="1">
        <f t="array" ref="G146">IF(F146="","Check","okay")</f>
        <v>okay</v>
      </c>
      <c r="H146" s="3">
        <v>0</v>
      </c>
      <c r="I146" t="s" s="2">
        <v>15</v>
      </c>
      <c r="J146" t="s" s="2">
        <v>23</v>
      </c>
      <c r="K146" t="s" s="2">
        <v>17</v>
      </c>
      <c r="L146" s="3">
        <v>2</v>
      </c>
      <c r="M146" t="s" s="2">
        <v>33</v>
      </c>
      <c r="N146" t="s" s="2">
        <v>27</v>
      </c>
      <c r="O146" s="3">
        <v>29</v>
      </c>
      <c r="P146" t="str" s="8" cm="1">
        <f t="array" ref="P146">IF(O146="","check","Okay")</f>
        <v>Okay</v>
      </c>
      <c r="Q146" t="str" s="8" cm="1">
        <f t="array" ref="Q146">IF(O146&lt;30,"UNDER 30",IF(O146&lt;=50,"30-50","Over 50"))</f>
        <v>UNDER 30</v>
      </c>
      <c r="R146" t="s" s="2">
        <v>17</v>
      </c>
      <c r="S146" s="3" cm="1">
        <f t="array" ref="S146">COUNTIF(A2:A1001,A146)</f>
        <v>1</v>
      </c>
      <c r="T146" t="str" s="8" cm="1">
        <f t="array" ref="T146">IF(ISNUMBER(F146),"Ok","check")</f>
        <v>Ok</v>
      </c>
      <c r="U146" t="str" s="8" cm="1">
        <f t="array" ref="U146">IF(ISNUMBER(O146),"ok","check")</f>
        <v>ok</v>
      </c>
    </row>
    <row r="147" ht="13.55" customHeight="1">
      <c r="A147" s="3">
        <v>17230</v>
      </c>
      <c r="B147" t="s" s="2">
        <v>13</v>
      </c>
      <c r="C147" t="str" s="8" cm="1">
        <f t="array" ref="C147">IF(B147="M","Married","Single")</f>
        <v>Married</v>
      </c>
      <c r="D147" t="s" s="2">
        <v>13</v>
      </c>
      <c r="E147" t="str" s="8" cm="1">
        <f t="array" ref="E147">IF(D147="M","Male",IF(D147="F","Female","Check"))</f>
        <v>Male</v>
      </c>
      <c r="F147" s="4">
        <v>80000</v>
      </c>
      <c r="G147" t="str" s="8" cm="1">
        <f t="array" ref="G147">IF(F147="","Check","okay")</f>
        <v>okay</v>
      </c>
      <c r="H147" s="3">
        <v>0</v>
      </c>
      <c r="I147" t="s" s="2">
        <v>15</v>
      </c>
      <c r="J147" t="s" s="2">
        <v>23</v>
      </c>
      <c r="K147" t="s" s="2">
        <v>17</v>
      </c>
      <c r="L147" s="3">
        <v>3</v>
      </c>
      <c r="M147" t="s" s="2">
        <v>33</v>
      </c>
      <c r="N147" t="s" s="2">
        <v>27</v>
      </c>
      <c r="O147" s="3">
        <v>30</v>
      </c>
      <c r="P147" t="str" s="8" cm="1">
        <f t="array" ref="P147">IF(O147="","check","Okay")</f>
        <v>Okay</v>
      </c>
      <c r="Q147" t="str" s="8" cm="1">
        <f t="array" ref="Q147">IF(O147&lt;30,"UNDER 30",IF(O147&lt;=50,"30-50","Over 50"))</f>
        <v>30-50</v>
      </c>
      <c r="R147" t="s" s="2">
        <v>20</v>
      </c>
      <c r="S147" s="3" cm="1">
        <f t="array" ref="S147">COUNTIF(A2:A1001,A147)</f>
        <v>1</v>
      </c>
      <c r="T147" t="str" s="8" cm="1">
        <f t="array" ref="T147">IF(ISNUMBER(F147),"Ok","check")</f>
        <v>Ok</v>
      </c>
      <c r="U147" t="str" s="8" cm="1">
        <f t="array" ref="U147">IF(ISNUMBER(O147),"ok","check")</f>
        <v>ok</v>
      </c>
    </row>
    <row r="148" ht="13.55" customHeight="1">
      <c r="A148" s="3">
        <v>12344</v>
      </c>
      <c r="B148" t="s" s="2">
        <v>25</v>
      </c>
      <c r="C148" t="str" s="8" cm="1">
        <f t="array" ref="C148">IF(B148="M","Married","Single")</f>
        <v>Single</v>
      </c>
      <c r="D148" t="s" s="2">
        <v>14</v>
      </c>
      <c r="E148" t="str" s="8" cm="1">
        <f t="array" ref="E148">IF(D148="M","Male",IF(D148="F","Female","Check"))</f>
        <v>Female</v>
      </c>
      <c r="F148" s="4">
        <v>80000</v>
      </c>
      <c r="G148" t="str" s="8" cm="1">
        <f t="array" ref="G148">IF(F148="","Check","okay")</f>
        <v>okay</v>
      </c>
      <c r="H148" s="3">
        <v>0</v>
      </c>
      <c r="I148" t="s" s="2">
        <v>15</v>
      </c>
      <c r="J148" t="s" s="2">
        <v>23</v>
      </c>
      <c r="K148" t="s" s="2">
        <v>20</v>
      </c>
      <c r="L148" s="3">
        <v>3</v>
      </c>
      <c r="M148" t="s" s="2">
        <v>33</v>
      </c>
      <c r="N148" t="s" s="2">
        <v>27</v>
      </c>
      <c r="O148" s="3">
        <v>31</v>
      </c>
      <c r="P148" t="str" s="8" cm="1">
        <f t="array" ref="P148">IF(O148="","check","Okay")</f>
        <v>Okay</v>
      </c>
      <c r="Q148" t="str" s="8" cm="1">
        <f t="array" ref="Q148">IF(O148&lt;30,"UNDER 30",IF(O148&lt;=50,"30-50","Over 50"))</f>
        <v>30-50</v>
      </c>
      <c r="R148" t="s" s="2">
        <v>20</v>
      </c>
      <c r="S148" s="3" cm="1">
        <f t="array" ref="S148">COUNTIF(A2:A1001,A148)</f>
        <v>1</v>
      </c>
      <c r="T148" t="str" s="8" cm="1">
        <f t="array" ref="T148">IF(ISNUMBER(F148),"Ok","check")</f>
        <v>Ok</v>
      </c>
      <c r="U148" t="str" s="8" cm="1">
        <f t="array" ref="U148">IF(ISNUMBER(O148),"ok","check")</f>
        <v>ok</v>
      </c>
    </row>
    <row r="149" ht="13.55" customHeight="1">
      <c r="A149" s="3">
        <v>16614</v>
      </c>
      <c r="B149" t="s" s="2">
        <v>13</v>
      </c>
      <c r="C149" t="str" s="8" cm="1">
        <f t="array" ref="C149">IF(B149="M","Married","Single")</f>
        <v>Married</v>
      </c>
      <c r="D149" t="s" s="2">
        <v>14</v>
      </c>
      <c r="E149" t="str" s="8" cm="1">
        <f t="array" ref="E149">IF(D149="M","Male",IF(D149="F","Female","Check"))</f>
        <v>Female</v>
      </c>
      <c r="F149" s="4">
        <v>80000</v>
      </c>
      <c r="G149" t="str" s="8" cm="1">
        <f t="array" ref="G149">IF(F149="","Check","okay")</f>
        <v>okay</v>
      </c>
      <c r="H149" s="3">
        <v>0</v>
      </c>
      <c r="I149" t="s" s="2">
        <v>15</v>
      </c>
      <c r="J149" t="s" s="2">
        <v>23</v>
      </c>
      <c r="K149" t="s" s="2">
        <v>17</v>
      </c>
      <c r="L149" s="3">
        <v>3</v>
      </c>
      <c r="M149" t="s" s="2">
        <v>33</v>
      </c>
      <c r="N149" t="s" s="2">
        <v>27</v>
      </c>
      <c r="O149" s="3">
        <v>32</v>
      </c>
      <c r="P149" t="str" s="8" cm="1">
        <f t="array" ref="P149">IF(O149="","check","Okay")</f>
        <v>Okay</v>
      </c>
      <c r="Q149" t="str" s="8" cm="1">
        <f t="array" ref="Q149">IF(O149&lt;30,"UNDER 30",IF(O149&lt;=50,"30-50","Over 50"))</f>
        <v>30-50</v>
      </c>
      <c r="R149" t="s" s="2">
        <v>20</v>
      </c>
      <c r="S149" s="3" cm="1">
        <f t="array" ref="S149">COUNTIF(A2:A1001,A149)</f>
        <v>1</v>
      </c>
      <c r="T149" t="str" s="8" cm="1">
        <f t="array" ref="T149">IF(ISNUMBER(F149),"Ok","check")</f>
        <v>Ok</v>
      </c>
      <c r="U149" t="str" s="8" cm="1">
        <f t="array" ref="U149">IF(ISNUMBER(O149),"ok","check")</f>
        <v>ok</v>
      </c>
    </row>
    <row r="150" ht="13.55" customHeight="1">
      <c r="A150" s="3">
        <v>24898</v>
      </c>
      <c r="B150" t="s" s="2">
        <v>25</v>
      </c>
      <c r="C150" t="str" s="8" cm="1">
        <f t="array" ref="C150">IF(B150="M","Married","Single")</f>
        <v>Single</v>
      </c>
      <c r="D150" t="s" s="2">
        <v>14</v>
      </c>
      <c r="E150" t="str" s="8" cm="1">
        <f t="array" ref="E150">IF(D150="M","Male",IF(D150="F","Female","Check"))</f>
        <v>Female</v>
      </c>
      <c r="F150" s="4">
        <v>80000</v>
      </c>
      <c r="G150" t="str" s="8" cm="1">
        <f t="array" ref="G150">IF(F150="","Check","okay")</f>
        <v>okay</v>
      </c>
      <c r="H150" s="3">
        <v>0</v>
      </c>
      <c r="I150" t="s" s="2">
        <v>15</v>
      </c>
      <c r="J150" t="s" s="2">
        <v>23</v>
      </c>
      <c r="K150" t="s" s="2">
        <v>17</v>
      </c>
      <c r="L150" s="3">
        <v>3</v>
      </c>
      <c r="M150" t="s" s="2">
        <v>33</v>
      </c>
      <c r="N150" t="s" s="2">
        <v>27</v>
      </c>
      <c r="O150" s="3">
        <v>32</v>
      </c>
      <c r="P150" t="str" s="8" cm="1">
        <f t="array" ref="P150">IF(O150="","check","Okay")</f>
        <v>Okay</v>
      </c>
      <c r="Q150" t="str" s="8" cm="1">
        <f t="array" ref="Q150">IF(O150&lt;30,"UNDER 30",IF(O150&lt;=50,"30-50","Over 50"))</f>
        <v>30-50</v>
      </c>
      <c r="R150" t="s" s="2">
        <v>20</v>
      </c>
      <c r="S150" s="3" cm="1">
        <f t="array" ref="S150">COUNTIF(A2:A1001,A150)</f>
        <v>1</v>
      </c>
      <c r="T150" t="str" s="8" cm="1">
        <f t="array" ref="T150">IF(ISNUMBER(F150),"Ok","check")</f>
        <v>Ok</v>
      </c>
      <c r="U150" t="str" s="8" cm="1">
        <f t="array" ref="U150">IF(ISNUMBER(O150),"ok","check")</f>
        <v>ok</v>
      </c>
    </row>
    <row r="151" ht="13.55" customHeight="1">
      <c r="A151" s="3">
        <v>17238</v>
      </c>
      <c r="B151" t="s" s="2">
        <v>25</v>
      </c>
      <c r="C151" t="str" s="8" cm="1">
        <f t="array" ref="C151">IF(B151="M","Married","Single")</f>
        <v>Single</v>
      </c>
      <c r="D151" t="s" s="2">
        <v>13</v>
      </c>
      <c r="E151" t="str" s="8" cm="1">
        <f t="array" ref="E151">IF(D151="M","Male",IF(D151="F","Female","Check"))</f>
        <v>Male</v>
      </c>
      <c r="F151" s="4">
        <v>80000</v>
      </c>
      <c r="G151" t="str" s="8" cm="1">
        <f t="array" ref="G151">IF(F151="","Check","okay")</f>
        <v>okay</v>
      </c>
      <c r="H151" s="3">
        <v>0</v>
      </c>
      <c r="I151" t="s" s="2">
        <v>15</v>
      </c>
      <c r="J151" t="s" s="2">
        <v>23</v>
      </c>
      <c r="K151" t="s" s="2">
        <v>17</v>
      </c>
      <c r="L151" s="3">
        <v>3</v>
      </c>
      <c r="M151" t="s" s="2">
        <v>33</v>
      </c>
      <c r="N151" t="s" s="2">
        <v>27</v>
      </c>
      <c r="O151" s="3">
        <v>32</v>
      </c>
      <c r="P151" t="str" s="8" cm="1">
        <f t="array" ref="P151">IF(O151="","check","Okay")</f>
        <v>Okay</v>
      </c>
      <c r="Q151" t="str" s="8" cm="1">
        <f t="array" ref="Q151">IF(O151&lt;30,"UNDER 30",IF(O151&lt;=50,"30-50","Over 50"))</f>
        <v>30-50</v>
      </c>
      <c r="R151" t="s" s="2">
        <v>20</v>
      </c>
      <c r="S151" s="3" cm="1">
        <f t="array" ref="S151">COUNTIF(A2:A1001,A151)</f>
        <v>1</v>
      </c>
      <c r="T151" t="str" s="8" cm="1">
        <f t="array" ref="T151">IF(ISNUMBER(F151),"Ok","check")</f>
        <v>Ok</v>
      </c>
      <c r="U151" t="str" s="8" cm="1">
        <f t="array" ref="U151">IF(ISNUMBER(O151),"ok","check")</f>
        <v>ok</v>
      </c>
    </row>
    <row r="152" ht="13.55" customHeight="1">
      <c r="A152" s="3">
        <v>21554</v>
      </c>
      <c r="B152" t="s" s="2">
        <v>25</v>
      </c>
      <c r="C152" t="str" s="8" cm="1">
        <f t="array" ref="C152">IF(B152="M","Married","Single")</f>
        <v>Single</v>
      </c>
      <c r="D152" t="s" s="2">
        <v>14</v>
      </c>
      <c r="E152" t="str" s="8" cm="1">
        <f t="array" ref="E152">IF(D152="M","Male",IF(D152="F","Female","Check"))</f>
        <v>Female</v>
      </c>
      <c r="F152" s="4">
        <v>80000</v>
      </c>
      <c r="G152" t="str" s="8" cm="1">
        <f t="array" ref="G152">IF(F152="","Check","okay")</f>
        <v>okay</v>
      </c>
      <c r="H152" s="3">
        <v>0</v>
      </c>
      <c r="I152" t="s" s="2">
        <v>15</v>
      </c>
      <c r="J152" t="s" s="2">
        <v>23</v>
      </c>
      <c r="K152" t="s" s="2">
        <v>20</v>
      </c>
      <c r="L152" s="3">
        <v>3</v>
      </c>
      <c r="M152" t="s" s="2">
        <v>33</v>
      </c>
      <c r="N152" t="s" s="2">
        <v>27</v>
      </c>
      <c r="O152" s="3">
        <v>33</v>
      </c>
      <c r="P152" t="str" s="8" cm="1">
        <f t="array" ref="P152">IF(O152="","check","Okay")</f>
        <v>Okay</v>
      </c>
      <c r="Q152" t="str" s="8" cm="1">
        <f t="array" ref="Q152">IF(O152&lt;30,"UNDER 30",IF(O152&lt;=50,"30-50","Over 50"))</f>
        <v>30-50</v>
      </c>
      <c r="R152" t="s" s="2">
        <v>20</v>
      </c>
      <c r="S152" s="3" cm="1">
        <f t="array" ref="S152">COUNTIF(A2:A1001,A152)</f>
        <v>1</v>
      </c>
      <c r="T152" t="str" s="8" cm="1">
        <f t="array" ref="T152">IF(ISNUMBER(F152),"Ok","check")</f>
        <v>Ok</v>
      </c>
      <c r="U152" t="str" s="8" cm="1">
        <f t="array" ref="U152">IF(ISNUMBER(O152),"ok","check")</f>
        <v>ok</v>
      </c>
    </row>
    <row r="153" ht="13.55" customHeight="1">
      <c r="A153" s="3">
        <v>11453</v>
      </c>
      <c r="B153" t="s" s="2">
        <v>25</v>
      </c>
      <c r="C153" t="str" s="8" cm="1">
        <f t="array" ref="C153">IF(B153="M","Married","Single")</f>
        <v>Single</v>
      </c>
      <c r="D153" t="s" s="2">
        <v>13</v>
      </c>
      <c r="E153" t="str" s="8" cm="1">
        <f t="array" ref="E153">IF(D153="M","Male",IF(D153="F","Female","Check"))</f>
        <v>Male</v>
      </c>
      <c r="F153" s="4">
        <v>80000</v>
      </c>
      <c r="G153" t="str" s="8" cm="1">
        <f t="array" ref="G153">IF(F153="","Check","okay")</f>
        <v>okay</v>
      </c>
      <c r="H153" s="3">
        <v>0</v>
      </c>
      <c r="I153" t="s" s="2">
        <v>15</v>
      </c>
      <c r="J153" t="s" s="2">
        <v>23</v>
      </c>
      <c r="K153" t="s" s="2">
        <v>20</v>
      </c>
      <c r="L153" s="3">
        <v>3</v>
      </c>
      <c r="M153" t="s" s="2">
        <v>33</v>
      </c>
      <c r="N153" t="s" s="2">
        <v>27</v>
      </c>
      <c r="O153" s="3">
        <v>33</v>
      </c>
      <c r="P153" t="str" s="8" cm="1">
        <f t="array" ref="P153">IF(O153="","check","Okay")</f>
        <v>Okay</v>
      </c>
      <c r="Q153" t="str" s="8" cm="1">
        <f t="array" ref="Q153">IF(O153&lt;30,"UNDER 30",IF(O153&lt;=50,"30-50","Over 50"))</f>
        <v>30-50</v>
      </c>
      <c r="R153" t="s" s="2">
        <v>17</v>
      </c>
      <c r="S153" s="3" cm="1">
        <f t="array" ref="S153">COUNTIF(A2:A1001,A153)</f>
        <v>1</v>
      </c>
      <c r="T153" t="str" s="8" cm="1">
        <f t="array" ref="T153">IF(ISNUMBER(F153),"Ok","check")</f>
        <v>Ok</v>
      </c>
      <c r="U153" t="str" s="8" cm="1">
        <f t="array" ref="U153">IF(ISNUMBER(O153),"ok","check")</f>
        <v>ok</v>
      </c>
    </row>
    <row r="154" ht="13.55" customHeight="1">
      <c r="A154" s="3">
        <v>22994</v>
      </c>
      <c r="B154" t="s" s="2">
        <v>13</v>
      </c>
      <c r="C154" t="str" s="8" cm="1">
        <f t="array" ref="C154">IF(B154="M","Married","Single")</f>
        <v>Married</v>
      </c>
      <c r="D154" t="s" s="2">
        <v>14</v>
      </c>
      <c r="E154" t="str" s="8" cm="1">
        <f t="array" ref="E154">IF(D154="M","Male",IF(D154="F","Female","Check"))</f>
        <v>Female</v>
      </c>
      <c r="F154" s="4">
        <v>80000</v>
      </c>
      <c r="G154" t="str" s="8" cm="1">
        <f t="array" ref="G154">IF(F154="","Check","okay")</f>
        <v>okay</v>
      </c>
      <c r="H154" s="3">
        <v>0</v>
      </c>
      <c r="I154" t="s" s="2">
        <v>15</v>
      </c>
      <c r="J154" t="s" s="2">
        <v>31</v>
      </c>
      <c r="K154" t="s" s="2">
        <v>17</v>
      </c>
      <c r="L154" s="3">
        <v>1</v>
      </c>
      <c r="M154" t="s" s="2">
        <v>29</v>
      </c>
      <c r="N154" t="s" s="2">
        <v>35</v>
      </c>
      <c r="O154" s="3">
        <v>34</v>
      </c>
      <c r="P154" t="str" s="8" cm="1">
        <f t="array" ref="P154">IF(O154="","check","Okay")</f>
        <v>Okay</v>
      </c>
      <c r="Q154" t="str" s="8" cm="1">
        <f t="array" ref="Q154">IF(O154&lt;30,"UNDER 30",IF(O154&lt;=50,"30-50","Over 50"))</f>
        <v>30-50</v>
      </c>
      <c r="R154" t="s" s="2">
        <v>17</v>
      </c>
      <c r="S154" s="3" cm="1">
        <f t="array" ref="S154">COUNTIF(A2:A1001,A154)</f>
        <v>1</v>
      </c>
      <c r="T154" t="str" s="8" cm="1">
        <f t="array" ref="T154">IF(ISNUMBER(F154),"Ok","check")</f>
        <v>Ok</v>
      </c>
      <c r="U154" t="str" s="8" cm="1">
        <f t="array" ref="U154">IF(ISNUMBER(O154),"ok","check")</f>
        <v>ok</v>
      </c>
    </row>
    <row r="155" ht="13.55" customHeight="1">
      <c r="A155" s="3">
        <v>23586</v>
      </c>
      <c r="B155" t="s" s="2">
        <v>13</v>
      </c>
      <c r="C155" t="str" s="8" cm="1">
        <f t="array" ref="C155">IF(B155="M","Married","Single")</f>
        <v>Married</v>
      </c>
      <c r="D155" t="s" s="2">
        <v>14</v>
      </c>
      <c r="E155" t="str" s="8" cm="1">
        <f t="array" ref="E155">IF(D155="M","Male",IF(D155="F","Female","Check"))</f>
        <v>Female</v>
      </c>
      <c r="F155" s="4">
        <v>80000</v>
      </c>
      <c r="G155" t="str" s="8" cm="1">
        <f t="array" ref="G155">IF(F155="","Check","okay")</f>
        <v>okay</v>
      </c>
      <c r="H155" s="3">
        <v>0</v>
      </c>
      <c r="I155" t="s" s="2">
        <v>15</v>
      </c>
      <c r="J155" t="s" s="2">
        <v>31</v>
      </c>
      <c r="K155" t="s" s="2">
        <v>17</v>
      </c>
      <c r="L155" s="3">
        <v>1</v>
      </c>
      <c r="M155" t="s" s="2">
        <v>29</v>
      </c>
      <c r="N155" t="s" s="2">
        <v>35</v>
      </c>
      <c r="O155" s="3">
        <v>34</v>
      </c>
      <c r="P155" t="str" s="8" cm="1">
        <f t="array" ref="P155">IF(O155="","check","Okay")</f>
        <v>Okay</v>
      </c>
      <c r="Q155" t="str" s="8" cm="1">
        <f t="array" ref="Q155">IF(O155&lt;30,"UNDER 30",IF(O155&lt;=50,"30-50","Over 50"))</f>
        <v>30-50</v>
      </c>
      <c r="R155" t="s" s="2">
        <v>17</v>
      </c>
      <c r="S155" s="3" cm="1">
        <f t="array" ref="S155">COUNTIF(A2:A1001,A155)</f>
        <v>1</v>
      </c>
      <c r="T155" t="str" s="8" cm="1">
        <f t="array" ref="T155">IF(ISNUMBER(F155),"Ok","check")</f>
        <v>Ok</v>
      </c>
      <c r="U155" t="str" s="8" cm="1">
        <f t="array" ref="U155">IF(ISNUMBER(O155),"ok","check")</f>
        <v>ok</v>
      </c>
    </row>
    <row r="156" ht="13.55" customHeight="1">
      <c r="A156" s="3">
        <v>21266</v>
      </c>
      <c r="B156" t="s" s="2">
        <v>25</v>
      </c>
      <c r="C156" t="str" s="8" cm="1">
        <f t="array" ref="C156">IF(B156="M","Married","Single")</f>
        <v>Single</v>
      </c>
      <c r="D156" t="s" s="2">
        <v>14</v>
      </c>
      <c r="E156" t="str" s="8" cm="1">
        <f t="array" ref="E156">IF(D156="M","Male",IF(D156="F","Female","Check"))</f>
        <v>Female</v>
      </c>
      <c r="F156" s="4">
        <v>80000</v>
      </c>
      <c r="G156" t="str" s="8" cm="1">
        <f t="array" ref="G156">IF(F156="","Check","okay")</f>
        <v>okay</v>
      </c>
      <c r="H156" s="3">
        <v>0</v>
      </c>
      <c r="I156" t="s" s="2">
        <v>15</v>
      </c>
      <c r="J156" t="s" s="2">
        <v>31</v>
      </c>
      <c r="K156" t="s" s="2">
        <v>17</v>
      </c>
      <c r="L156" s="3">
        <v>1</v>
      </c>
      <c r="M156" t="s" s="2">
        <v>29</v>
      </c>
      <c r="N156" t="s" s="2">
        <v>35</v>
      </c>
      <c r="O156" s="3">
        <v>34</v>
      </c>
      <c r="P156" t="str" s="8" cm="1">
        <f t="array" ref="P156">IF(O156="","check","Okay")</f>
        <v>Okay</v>
      </c>
      <c r="Q156" t="str" s="8" cm="1">
        <f t="array" ref="Q156">IF(O156&lt;30,"UNDER 30",IF(O156&lt;=50,"30-50","Over 50"))</f>
        <v>30-50</v>
      </c>
      <c r="R156" t="s" s="2">
        <v>17</v>
      </c>
      <c r="S156" s="3" cm="1">
        <f t="array" ref="S156">COUNTIF(A2:A1001,A156)</f>
        <v>1</v>
      </c>
      <c r="T156" t="str" s="8" cm="1">
        <f t="array" ref="T156">IF(ISNUMBER(F156),"Ok","check")</f>
        <v>Ok</v>
      </c>
      <c r="U156" t="str" s="8" cm="1">
        <f t="array" ref="U156">IF(ISNUMBER(O156),"ok","check")</f>
        <v>ok</v>
      </c>
    </row>
    <row r="157" ht="13.55" customHeight="1">
      <c r="A157" s="3">
        <v>21564</v>
      </c>
      <c r="B157" t="s" s="2">
        <v>25</v>
      </c>
      <c r="C157" t="str" s="8" cm="1">
        <f t="array" ref="C157">IF(B157="M","Married","Single")</f>
        <v>Single</v>
      </c>
      <c r="D157" t="s" s="2">
        <v>14</v>
      </c>
      <c r="E157" t="str" s="8" cm="1">
        <f t="array" ref="E157">IF(D157="M","Male",IF(D157="F","Female","Check"))</f>
        <v>Female</v>
      </c>
      <c r="F157" s="4">
        <v>80000</v>
      </c>
      <c r="G157" t="str" s="8" cm="1">
        <f t="array" ref="G157">IF(F157="","Check","okay")</f>
        <v>okay</v>
      </c>
      <c r="H157" s="3">
        <v>0</v>
      </c>
      <c r="I157" t="s" s="2">
        <v>15</v>
      </c>
      <c r="J157" t="s" s="2">
        <v>23</v>
      </c>
      <c r="K157" t="s" s="2">
        <v>17</v>
      </c>
      <c r="L157" s="3">
        <v>4</v>
      </c>
      <c r="M157" t="s" s="2">
        <v>33</v>
      </c>
      <c r="N157" t="s" s="2">
        <v>27</v>
      </c>
      <c r="O157" s="3">
        <v>35</v>
      </c>
      <c r="P157" t="str" s="8" cm="1">
        <f t="array" ref="P157">IF(O157="","check","Okay")</f>
        <v>Okay</v>
      </c>
      <c r="Q157" t="str" s="8" cm="1">
        <f t="array" ref="Q157">IF(O157&lt;30,"UNDER 30",IF(O157&lt;=50,"30-50","Over 50"))</f>
        <v>30-50</v>
      </c>
      <c r="R157" t="s" s="2">
        <v>20</v>
      </c>
      <c r="S157" s="3" cm="1">
        <f t="array" ref="S157">COUNTIF(A2:A1001,A157)</f>
        <v>1</v>
      </c>
      <c r="T157" t="str" s="8" cm="1">
        <f t="array" ref="T157">IF(ISNUMBER(F157),"Ok","check")</f>
        <v>Ok</v>
      </c>
      <c r="U157" t="str" s="8" cm="1">
        <f t="array" ref="U157">IF(ISNUMBER(O157),"ok","check")</f>
        <v>ok</v>
      </c>
    </row>
    <row r="158" ht="13.55" customHeight="1">
      <c r="A158" s="3">
        <v>20619</v>
      </c>
      <c r="B158" t="s" s="2">
        <v>25</v>
      </c>
      <c r="C158" t="str" s="8" cm="1">
        <f t="array" ref="C158">IF(B158="M","Married","Single")</f>
        <v>Single</v>
      </c>
      <c r="D158" t="s" s="2">
        <v>13</v>
      </c>
      <c r="E158" t="str" s="8" cm="1">
        <f t="array" ref="E158">IF(D158="M","Male",IF(D158="F","Female","Check"))</f>
        <v>Male</v>
      </c>
      <c r="F158" s="4">
        <v>80000</v>
      </c>
      <c r="G158" t="str" s="8" cm="1">
        <f t="array" ref="G158">IF(F158="","Check","okay")</f>
        <v>okay</v>
      </c>
      <c r="H158" s="3">
        <v>0</v>
      </c>
      <c r="I158" t="s" s="2">
        <v>15</v>
      </c>
      <c r="J158" t="s" s="2">
        <v>23</v>
      </c>
      <c r="K158" t="s" s="2">
        <v>20</v>
      </c>
      <c r="L158" s="3">
        <v>4</v>
      </c>
      <c r="M158" t="s" s="2">
        <v>33</v>
      </c>
      <c r="N158" t="s" s="2">
        <v>27</v>
      </c>
      <c r="O158" s="3">
        <v>35</v>
      </c>
      <c r="P158" t="str" s="8" cm="1">
        <f t="array" ref="P158">IF(O158="","check","Okay")</f>
        <v>Okay</v>
      </c>
      <c r="Q158" t="str" s="8" cm="1">
        <f t="array" ref="Q158">IF(O158&lt;30,"UNDER 30",IF(O158&lt;=50,"30-50","Over 50"))</f>
        <v>30-50</v>
      </c>
      <c r="R158" t="s" s="2">
        <v>20</v>
      </c>
      <c r="S158" s="3" cm="1">
        <f t="array" ref="S158">COUNTIF(A2:A1001,A158)</f>
        <v>1</v>
      </c>
      <c r="T158" t="str" s="8" cm="1">
        <f t="array" ref="T158">IF(ISNUMBER(F158),"Ok","check")</f>
        <v>Ok</v>
      </c>
      <c r="U158" t="str" s="8" cm="1">
        <f t="array" ref="U158">IF(ISNUMBER(O158),"ok","check")</f>
        <v>ok</v>
      </c>
    </row>
    <row r="159" ht="13.55" customHeight="1">
      <c r="A159" s="3">
        <v>14602</v>
      </c>
      <c r="B159" t="s" s="2">
        <v>13</v>
      </c>
      <c r="C159" t="str" s="8" cm="1">
        <f t="array" ref="C159">IF(B159="M","Married","Single")</f>
        <v>Married</v>
      </c>
      <c r="D159" t="s" s="2">
        <v>14</v>
      </c>
      <c r="E159" t="str" s="8" cm="1">
        <f t="array" ref="E159">IF(D159="M","Male",IF(D159="F","Female","Check"))</f>
        <v>Female</v>
      </c>
      <c r="F159" s="4">
        <v>80000</v>
      </c>
      <c r="G159" t="str" s="8" cm="1">
        <f t="array" ref="G159">IF(F159="","Check","okay")</f>
        <v>okay</v>
      </c>
      <c r="H159" s="3">
        <v>3</v>
      </c>
      <c r="I159" t="s" s="2">
        <v>34</v>
      </c>
      <c r="J159" t="s" s="2">
        <v>23</v>
      </c>
      <c r="K159" t="s" s="2">
        <v>17</v>
      </c>
      <c r="L159" s="3">
        <v>0</v>
      </c>
      <c r="M159" t="s" s="2">
        <v>18</v>
      </c>
      <c r="N159" t="s" s="2">
        <v>35</v>
      </c>
      <c r="O159" s="3">
        <v>36</v>
      </c>
      <c r="P159" t="str" s="8" cm="1">
        <f t="array" ref="P159">IF(O159="","check","Okay")</f>
        <v>Okay</v>
      </c>
      <c r="Q159" t="str" s="8" cm="1">
        <f t="array" ref="Q159">IF(O159&lt;30,"UNDER 30",IF(O159&lt;=50,"30-50","Over 50"))</f>
        <v>30-50</v>
      </c>
      <c r="R159" t="s" s="2">
        <v>17</v>
      </c>
      <c r="S159" s="3" cm="1">
        <f t="array" ref="S159">COUNTIF(A2:A1001,A159)</f>
        <v>1</v>
      </c>
      <c r="T159" t="str" s="8" cm="1">
        <f t="array" ref="T159">IF(ISNUMBER(F159),"Ok","check")</f>
        <v>Ok</v>
      </c>
      <c r="U159" t="str" s="8" cm="1">
        <f t="array" ref="U159">IF(ISNUMBER(O159),"ok","check")</f>
        <v>ok</v>
      </c>
    </row>
    <row r="160" ht="13.55" customHeight="1">
      <c r="A160" s="3">
        <v>14669</v>
      </c>
      <c r="B160" t="s" s="2">
        <v>13</v>
      </c>
      <c r="C160" t="str" s="8" cm="1">
        <f t="array" ref="C160">IF(B160="M","Married","Single")</f>
        <v>Married</v>
      </c>
      <c r="D160" t="s" s="2">
        <v>14</v>
      </c>
      <c r="E160" t="str" s="8" cm="1">
        <f t="array" ref="E160">IF(D160="M","Male",IF(D160="F","Female","Check"))</f>
        <v>Female</v>
      </c>
      <c r="F160" s="4">
        <v>80000</v>
      </c>
      <c r="G160" t="str" s="8" cm="1">
        <f t="array" ref="G160">IF(F160="","Check","okay")</f>
        <v>okay</v>
      </c>
      <c r="H160" s="3">
        <v>4</v>
      </c>
      <c r="I160" t="s" s="2">
        <v>34</v>
      </c>
      <c r="J160" t="s" s="2">
        <v>31</v>
      </c>
      <c r="K160" t="s" s="2">
        <v>17</v>
      </c>
      <c r="L160" s="3">
        <v>1</v>
      </c>
      <c r="M160" t="s" s="2">
        <v>18</v>
      </c>
      <c r="N160" t="s" s="2">
        <v>27</v>
      </c>
      <c r="O160" s="3">
        <v>36</v>
      </c>
      <c r="P160" t="str" s="8" cm="1">
        <f t="array" ref="P160">IF(O160="","check","Okay")</f>
        <v>Okay</v>
      </c>
      <c r="Q160" t="str" s="8" cm="1">
        <f t="array" ref="Q160">IF(O160&lt;30,"UNDER 30",IF(O160&lt;=50,"30-50","Over 50"))</f>
        <v>30-50</v>
      </c>
      <c r="R160" t="s" s="2">
        <v>20</v>
      </c>
      <c r="S160" s="3" cm="1">
        <f t="array" ref="S160">COUNTIF(A2:A1001,A160)</f>
        <v>1</v>
      </c>
      <c r="T160" t="str" s="8" cm="1">
        <f t="array" ref="T160">IF(ISNUMBER(F160),"Ok","check")</f>
        <v>Ok</v>
      </c>
      <c r="U160" t="str" s="8" cm="1">
        <f t="array" ref="U160">IF(ISNUMBER(O160),"ok","check")</f>
        <v>ok</v>
      </c>
    </row>
    <row r="161" ht="13.55" customHeight="1">
      <c r="A161" s="3">
        <v>28068</v>
      </c>
      <c r="B161" t="s" s="2">
        <v>25</v>
      </c>
      <c r="C161" t="str" s="8" cm="1">
        <f t="array" ref="C161">IF(B161="M","Married","Single")</f>
        <v>Single</v>
      </c>
      <c r="D161" t="s" s="2">
        <v>14</v>
      </c>
      <c r="E161" t="str" s="8" cm="1">
        <f t="array" ref="E161">IF(D161="M","Male",IF(D161="F","Female","Check"))</f>
        <v>Female</v>
      </c>
      <c r="F161" s="4">
        <v>80000</v>
      </c>
      <c r="G161" t="str" s="8" cm="1">
        <f t="array" ref="G161">IF(F161="","Check","okay")</f>
        <v>okay</v>
      </c>
      <c r="H161" s="3">
        <v>3</v>
      </c>
      <c r="I161" t="s" s="2">
        <v>34</v>
      </c>
      <c r="J161" t="s" s="2">
        <v>23</v>
      </c>
      <c r="K161" t="s" s="2">
        <v>20</v>
      </c>
      <c r="L161" s="3">
        <v>0</v>
      </c>
      <c r="M161" t="s" s="2">
        <v>18</v>
      </c>
      <c r="N161" t="s" s="2">
        <v>35</v>
      </c>
      <c r="O161" s="3">
        <v>36</v>
      </c>
      <c r="P161" t="str" s="8" cm="1">
        <f t="array" ref="P161">IF(O161="","check","Okay")</f>
        <v>Okay</v>
      </c>
      <c r="Q161" t="str" s="8" cm="1">
        <f t="array" ref="Q161">IF(O161&lt;30,"UNDER 30",IF(O161&lt;=50,"30-50","Over 50"))</f>
        <v>30-50</v>
      </c>
      <c r="R161" t="s" s="2">
        <v>17</v>
      </c>
      <c r="S161" s="3" cm="1">
        <f t="array" ref="S161">COUNTIF(A2:A1001,A161)</f>
        <v>1</v>
      </c>
      <c r="T161" t="str" s="8" cm="1">
        <f t="array" ref="T161">IF(ISNUMBER(F161),"Ok","check")</f>
        <v>Ok</v>
      </c>
      <c r="U161" t="str" s="8" cm="1">
        <f t="array" ref="U161">IF(ISNUMBER(O161),"ok","check")</f>
        <v>ok</v>
      </c>
    </row>
    <row r="162" ht="13.55" customHeight="1">
      <c r="A162" s="3">
        <v>28207</v>
      </c>
      <c r="B162" t="s" s="2">
        <v>13</v>
      </c>
      <c r="C162" t="str" s="8" cm="1">
        <f t="array" ref="C162">IF(B162="M","Married","Single")</f>
        <v>Married</v>
      </c>
      <c r="D162" t="s" s="2">
        <v>13</v>
      </c>
      <c r="E162" t="str" s="8" cm="1">
        <f t="array" ref="E162">IF(D162="M","Male",IF(D162="F","Female","Check"))</f>
        <v>Male</v>
      </c>
      <c r="F162" s="4">
        <v>80000</v>
      </c>
      <c r="G162" t="str" s="8" cm="1">
        <f t="array" ref="G162">IF(F162="","Check","okay")</f>
        <v>okay</v>
      </c>
      <c r="H162" s="3">
        <v>4</v>
      </c>
      <c r="I162" t="s" s="2">
        <v>34</v>
      </c>
      <c r="J162" t="s" s="2">
        <v>31</v>
      </c>
      <c r="K162" t="s" s="2">
        <v>17</v>
      </c>
      <c r="L162" s="3">
        <v>1</v>
      </c>
      <c r="M162" t="s" s="2">
        <v>18</v>
      </c>
      <c r="N162" t="s" s="2">
        <v>27</v>
      </c>
      <c r="O162" s="3">
        <v>36</v>
      </c>
      <c r="P162" t="str" s="8" cm="1">
        <f t="array" ref="P162">IF(O162="","check","Okay")</f>
        <v>Okay</v>
      </c>
      <c r="Q162" t="str" s="8" cm="1">
        <f t="array" ref="Q162">IF(O162&lt;30,"UNDER 30",IF(O162&lt;=50,"30-50","Over 50"))</f>
        <v>30-50</v>
      </c>
      <c r="R162" t="s" s="2">
        <v>17</v>
      </c>
      <c r="S162" s="3" cm="1">
        <f t="array" ref="S162">COUNTIF(A2:A1001,A162)</f>
        <v>1</v>
      </c>
      <c r="T162" t="str" s="8" cm="1">
        <f t="array" ref="T162">IF(ISNUMBER(F162),"Ok","check")</f>
        <v>Ok</v>
      </c>
      <c r="U162" t="str" s="8" cm="1">
        <f t="array" ref="U162">IF(ISNUMBER(O162),"ok","check")</f>
        <v>ok</v>
      </c>
    </row>
    <row r="163" ht="13.55" customHeight="1">
      <c r="A163" s="3">
        <v>26651</v>
      </c>
      <c r="B163" t="s" s="2">
        <v>25</v>
      </c>
      <c r="C163" t="str" s="8" cm="1">
        <f t="array" ref="C163">IF(B163="M","Married","Single")</f>
        <v>Single</v>
      </c>
      <c r="D163" t="s" s="2">
        <v>13</v>
      </c>
      <c r="E163" t="str" s="8" cm="1">
        <f t="array" ref="E163">IF(D163="M","Male",IF(D163="F","Female","Check"))</f>
        <v>Male</v>
      </c>
      <c r="F163" s="4">
        <v>80000</v>
      </c>
      <c r="G163" t="str" s="8" cm="1">
        <f t="array" ref="G163">IF(F163="","Check","okay")</f>
        <v>okay</v>
      </c>
      <c r="H163" s="3">
        <v>4</v>
      </c>
      <c r="I163" t="s" s="2">
        <v>34</v>
      </c>
      <c r="J163" t="s" s="2">
        <v>31</v>
      </c>
      <c r="K163" t="s" s="2">
        <v>17</v>
      </c>
      <c r="L163" s="3">
        <v>0</v>
      </c>
      <c r="M163" t="s" s="2">
        <v>18</v>
      </c>
      <c r="N163" t="s" s="2">
        <v>27</v>
      </c>
      <c r="O163" s="3">
        <v>36</v>
      </c>
      <c r="P163" t="str" s="8" cm="1">
        <f t="array" ref="P163">IF(O163="","check","Okay")</f>
        <v>Okay</v>
      </c>
      <c r="Q163" t="str" s="8" cm="1">
        <f t="array" ref="Q163">IF(O163&lt;30,"UNDER 30",IF(O163&lt;=50,"30-50","Over 50"))</f>
        <v>30-50</v>
      </c>
      <c r="R163" t="s" s="2">
        <v>17</v>
      </c>
      <c r="S163" s="3" cm="1">
        <f t="array" ref="S163">COUNTIF(A2:A1001,A163)</f>
        <v>1</v>
      </c>
      <c r="T163" t="str" s="8" cm="1">
        <f t="array" ref="T163">IF(ISNUMBER(F163),"Ok","check")</f>
        <v>Ok</v>
      </c>
      <c r="U163" t="str" s="8" cm="1">
        <f t="array" ref="U163">IF(ISNUMBER(O163),"ok","check")</f>
        <v>ok</v>
      </c>
    </row>
    <row r="164" ht="13.55" customHeight="1">
      <c r="A164" s="3">
        <v>23882</v>
      </c>
      <c r="B164" t="s" s="2">
        <v>25</v>
      </c>
      <c r="C164" t="str" s="8" cm="1">
        <f t="array" ref="C164">IF(B164="M","Married","Single")</f>
        <v>Single</v>
      </c>
      <c r="D164" t="s" s="2">
        <v>14</v>
      </c>
      <c r="E164" t="str" s="8" cm="1">
        <f t="array" ref="E164">IF(D164="M","Male",IF(D164="F","Female","Check"))</f>
        <v>Female</v>
      </c>
      <c r="F164" s="4">
        <v>80000</v>
      </c>
      <c r="G164" t="str" s="8" cm="1">
        <f t="array" ref="G164">IF(F164="","Check","okay")</f>
        <v>okay</v>
      </c>
      <c r="H164" s="3">
        <v>3</v>
      </c>
      <c r="I164" t="s" s="2">
        <v>34</v>
      </c>
      <c r="J164" t="s" s="2">
        <v>23</v>
      </c>
      <c r="K164" t="s" s="2">
        <v>17</v>
      </c>
      <c r="L164" s="3">
        <v>0</v>
      </c>
      <c r="M164" t="s" s="2">
        <v>18</v>
      </c>
      <c r="N164" t="s" s="2">
        <v>35</v>
      </c>
      <c r="O164" s="3">
        <v>37</v>
      </c>
      <c r="P164" t="str" s="8" cm="1">
        <f t="array" ref="P164">IF(O164="","check","Okay")</f>
        <v>Okay</v>
      </c>
      <c r="Q164" t="str" s="8" cm="1">
        <f t="array" ref="Q164">IF(O164&lt;30,"UNDER 30",IF(O164&lt;=50,"30-50","Over 50"))</f>
        <v>30-50</v>
      </c>
      <c r="R164" t="s" s="2">
        <v>17</v>
      </c>
      <c r="S164" s="3" cm="1">
        <f t="array" ref="S164">COUNTIF(A2:A1001,A164)</f>
        <v>1</v>
      </c>
      <c r="T164" t="str" s="8" cm="1">
        <f t="array" ref="T164">IF(ISNUMBER(F164),"Ok","check")</f>
        <v>Ok</v>
      </c>
      <c r="U164" t="str" s="8" cm="1">
        <f t="array" ref="U164">IF(ISNUMBER(O164),"ok","check")</f>
        <v>ok</v>
      </c>
    </row>
    <row r="165" ht="13.55" customHeight="1">
      <c r="A165" s="3">
        <v>28066</v>
      </c>
      <c r="B165" t="s" s="2">
        <v>13</v>
      </c>
      <c r="C165" t="str" s="8" cm="1">
        <f t="array" ref="C165">IF(B165="M","Married","Single")</f>
        <v>Married</v>
      </c>
      <c r="D165" t="s" s="2">
        <v>13</v>
      </c>
      <c r="E165" t="str" s="8" cm="1">
        <f t="array" ref="E165">IF(D165="M","Male",IF(D165="F","Female","Check"))</f>
        <v>Male</v>
      </c>
      <c r="F165" s="4">
        <v>80000</v>
      </c>
      <c r="G165" t="str" s="8" cm="1">
        <f t="array" ref="G165">IF(F165="","Check","okay")</f>
        <v>okay</v>
      </c>
      <c r="H165" s="3">
        <v>2</v>
      </c>
      <c r="I165" t="s" s="2">
        <v>34</v>
      </c>
      <c r="J165" t="s" s="2">
        <v>23</v>
      </c>
      <c r="K165" t="s" s="2">
        <v>17</v>
      </c>
      <c r="L165" s="3">
        <v>0</v>
      </c>
      <c r="M165" t="s" s="2">
        <v>18</v>
      </c>
      <c r="N165" t="s" s="2">
        <v>35</v>
      </c>
      <c r="O165" s="3">
        <v>37</v>
      </c>
      <c r="P165" t="str" s="8" cm="1">
        <f t="array" ref="P165">IF(O165="","check","Okay")</f>
        <v>Okay</v>
      </c>
      <c r="Q165" t="str" s="8" cm="1">
        <f t="array" ref="Q165">IF(O165&lt;30,"UNDER 30",IF(O165&lt;=50,"30-50","Over 50"))</f>
        <v>30-50</v>
      </c>
      <c r="R165" t="s" s="2">
        <v>17</v>
      </c>
      <c r="S165" s="3" cm="1">
        <f t="array" ref="S165">COUNTIF(A2:A1001,A165)</f>
        <v>1</v>
      </c>
      <c r="T165" t="str" s="8" cm="1">
        <f t="array" ref="T165">IF(ISNUMBER(F165),"Ok","check")</f>
        <v>Ok</v>
      </c>
      <c r="U165" t="str" s="8" cm="1">
        <f t="array" ref="U165">IF(ISNUMBER(O165),"ok","check")</f>
        <v>ok</v>
      </c>
    </row>
    <row r="166" ht="13.55" customHeight="1">
      <c r="A166" s="3">
        <v>16179</v>
      </c>
      <c r="B166" t="s" s="2">
        <v>25</v>
      </c>
      <c r="C166" t="str" s="8" cm="1">
        <f t="array" ref="C166">IF(B166="M","Married","Single")</f>
        <v>Single</v>
      </c>
      <c r="D166" t="s" s="2">
        <v>14</v>
      </c>
      <c r="E166" t="str" s="8" cm="1">
        <f t="array" ref="E166">IF(D166="M","Male",IF(D166="F","Female","Check"))</f>
        <v>Female</v>
      </c>
      <c r="F166" s="4">
        <v>80000</v>
      </c>
      <c r="G166" t="str" s="8" cm="1">
        <f t="array" ref="G166">IF(F166="","Check","okay")</f>
        <v>okay</v>
      </c>
      <c r="H166" s="3">
        <v>5</v>
      </c>
      <c r="I166" t="s" s="2">
        <v>15</v>
      </c>
      <c r="J166" t="s" s="2">
        <v>23</v>
      </c>
      <c r="K166" t="s" s="2">
        <v>17</v>
      </c>
      <c r="L166" s="3">
        <v>4</v>
      </c>
      <c r="M166" t="s" s="2">
        <v>29</v>
      </c>
      <c r="N166" t="s" s="2">
        <v>27</v>
      </c>
      <c r="O166" s="3">
        <v>38</v>
      </c>
      <c r="P166" t="str" s="8" cm="1">
        <f t="array" ref="P166">IF(O166="","check","Okay")</f>
        <v>Okay</v>
      </c>
      <c r="Q166" t="str" s="8" cm="1">
        <f t="array" ref="Q166">IF(O166&lt;30,"UNDER 30",IF(O166&lt;=50,"30-50","Over 50"))</f>
        <v>30-50</v>
      </c>
      <c r="R166" t="s" s="2">
        <v>20</v>
      </c>
      <c r="S166" s="3" cm="1">
        <f t="array" ref="S166">COUNTIF(A2:A1001,A166)</f>
        <v>1</v>
      </c>
      <c r="T166" t="str" s="8" cm="1">
        <f t="array" ref="T166">IF(ISNUMBER(F166),"Ok","check")</f>
        <v>Ok</v>
      </c>
      <c r="U166" t="str" s="8" cm="1">
        <f t="array" ref="U166">IF(ISNUMBER(O166),"ok","check")</f>
        <v>ok</v>
      </c>
    </row>
    <row r="167" ht="13.55" customHeight="1">
      <c r="A167" s="3">
        <v>22046</v>
      </c>
      <c r="B167" t="s" s="2">
        <v>25</v>
      </c>
      <c r="C167" t="str" s="8" cm="1">
        <f t="array" ref="C167">IF(B167="M","Married","Single")</f>
        <v>Single</v>
      </c>
      <c r="D167" t="s" s="2">
        <v>14</v>
      </c>
      <c r="E167" t="str" s="8" cm="1">
        <f t="array" ref="E167">IF(D167="M","Male",IF(D167="F","Female","Check"))</f>
        <v>Female</v>
      </c>
      <c r="F167" s="4">
        <v>80000</v>
      </c>
      <c r="G167" t="str" s="8" cm="1">
        <f t="array" ref="G167">IF(F167="","Check","okay")</f>
        <v>okay</v>
      </c>
      <c r="H167" s="3">
        <v>0</v>
      </c>
      <c r="I167" t="s" s="2">
        <v>15</v>
      </c>
      <c r="J167" t="s" s="2">
        <v>31</v>
      </c>
      <c r="K167" t="s" s="2">
        <v>20</v>
      </c>
      <c r="L167" s="3">
        <v>1</v>
      </c>
      <c r="M167" t="s" s="2">
        <v>18</v>
      </c>
      <c r="N167" t="s" s="2">
        <v>35</v>
      </c>
      <c r="O167" s="3">
        <v>38</v>
      </c>
      <c r="P167" t="str" s="8" cm="1">
        <f t="array" ref="P167">IF(O167="","check","Okay")</f>
        <v>Okay</v>
      </c>
      <c r="Q167" t="str" s="8" cm="1">
        <f t="array" ref="Q167">IF(O167&lt;30,"UNDER 30",IF(O167&lt;=50,"30-50","Over 50"))</f>
        <v>30-50</v>
      </c>
      <c r="R167" t="s" s="2">
        <v>17</v>
      </c>
      <c r="S167" s="3" cm="1">
        <f t="array" ref="S167">COUNTIF(A2:A1001,A167)</f>
        <v>1</v>
      </c>
      <c r="T167" t="str" s="8" cm="1">
        <f t="array" ref="T167">IF(ISNUMBER(F167),"Ok","check")</f>
        <v>Ok</v>
      </c>
      <c r="U167" t="str" s="8" cm="1">
        <f t="array" ref="U167">IF(ISNUMBER(O167),"ok","check")</f>
        <v>ok</v>
      </c>
    </row>
    <row r="168" ht="13.55" customHeight="1">
      <c r="A168" s="3">
        <v>18783</v>
      </c>
      <c r="B168" t="s" s="2">
        <v>25</v>
      </c>
      <c r="C168" t="str" s="8" cm="1">
        <f t="array" ref="C168">IF(B168="M","Married","Single")</f>
        <v>Single</v>
      </c>
      <c r="D168" t="s" s="2">
        <v>13</v>
      </c>
      <c r="E168" t="str" s="8" cm="1">
        <f t="array" ref="E168">IF(D168="M","Male",IF(D168="F","Female","Check"))</f>
        <v>Male</v>
      </c>
      <c r="F168" s="4">
        <v>80000</v>
      </c>
      <c r="G168" t="str" s="8" cm="1">
        <f t="array" ref="G168">IF(F168="","Check","okay")</f>
        <v>okay</v>
      </c>
      <c r="H168" s="3">
        <v>0</v>
      </c>
      <c r="I168" t="s" s="2">
        <v>15</v>
      </c>
      <c r="J168" t="s" s="2">
        <v>31</v>
      </c>
      <c r="K168" t="s" s="2">
        <v>20</v>
      </c>
      <c r="L168" s="3">
        <v>1</v>
      </c>
      <c r="M168" t="s" s="2">
        <v>18</v>
      </c>
      <c r="N168" t="s" s="2">
        <v>35</v>
      </c>
      <c r="O168" s="3">
        <v>38</v>
      </c>
      <c r="P168" t="str" s="8" cm="1">
        <f t="array" ref="P168">IF(O168="","check","Okay")</f>
        <v>Okay</v>
      </c>
      <c r="Q168" t="str" s="8" cm="1">
        <f t="array" ref="Q168">IF(O168&lt;30,"UNDER 30",IF(O168&lt;=50,"30-50","Over 50"))</f>
        <v>30-50</v>
      </c>
      <c r="R168" t="s" s="2">
        <v>17</v>
      </c>
      <c r="S168" s="3" cm="1">
        <f t="array" ref="S168">COUNTIF(A2:A1001,A168)</f>
        <v>1</v>
      </c>
      <c r="T168" t="str" s="8" cm="1">
        <f t="array" ref="T168">IF(ISNUMBER(F168),"Ok","check")</f>
        <v>Ok</v>
      </c>
      <c r="U168" t="str" s="8" cm="1">
        <f t="array" ref="U168">IF(ISNUMBER(O168),"ok","check")</f>
        <v>ok</v>
      </c>
    </row>
    <row r="169" ht="13.55" customHeight="1">
      <c r="A169" s="3">
        <v>24369</v>
      </c>
      <c r="B169" t="s" s="2">
        <v>13</v>
      </c>
      <c r="C169" t="str" s="8" cm="1">
        <f t="array" ref="C169">IF(B169="M","Married","Single")</f>
        <v>Married</v>
      </c>
      <c r="D169" t="s" s="2">
        <v>13</v>
      </c>
      <c r="E169" t="str" s="8" cm="1">
        <f t="array" ref="E169">IF(D169="M","Male",IF(D169="F","Female","Check"))</f>
        <v>Male</v>
      </c>
      <c r="F169" s="4">
        <v>80000</v>
      </c>
      <c r="G169" t="str" s="8" cm="1">
        <f t="array" ref="G169">IF(F169="","Check","okay")</f>
        <v>okay</v>
      </c>
      <c r="H169" s="3">
        <v>5</v>
      </c>
      <c r="I169" t="s" s="2">
        <v>34</v>
      </c>
      <c r="J169" t="s" s="2">
        <v>31</v>
      </c>
      <c r="K169" t="s" s="2">
        <v>20</v>
      </c>
      <c r="L169" s="3">
        <v>2</v>
      </c>
      <c r="M169" t="s" s="2">
        <v>18</v>
      </c>
      <c r="N169" t="s" s="2">
        <v>27</v>
      </c>
      <c r="O169" s="3">
        <v>39</v>
      </c>
      <c r="P169" t="str" s="8" cm="1">
        <f t="array" ref="P169">IF(O169="","check","Okay")</f>
        <v>Okay</v>
      </c>
      <c r="Q169" t="str" s="8" cm="1">
        <f t="array" ref="Q169">IF(O169&lt;30,"UNDER 30",IF(O169&lt;=50,"30-50","Over 50"))</f>
        <v>30-50</v>
      </c>
      <c r="R169" t="s" s="2">
        <v>20</v>
      </c>
      <c r="S169" s="3" cm="1">
        <f t="array" ref="S169">COUNTIF(A2:A1001,A169)</f>
        <v>1</v>
      </c>
      <c r="T169" t="str" s="8" cm="1">
        <f t="array" ref="T169">IF(ISNUMBER(F169),"Ok","check")</f>
        <v>Ok</v>
      </c>
      <c r="U169" t="str" s="8" cm="1">
        <f t="array" ref="U169">IF(ISNUMBER(O169),"ok","check")</f>
        <v>ok</v>
      </c>
    </row>
    <row r="170" ht="13.55" customHeight="1">
      <c r="A170" s="3">
        <v>13961</v>
      </c>
      <c r="B170" t="s" s="2">
        <v>13</v>
      </c>
      <c r="C170" t="str" s="8" cm="1">
        <f t="array" ref="C170">IF(B170="M","Married","Single")</f>
        <v>Married</v>
      </c>
      <c r="D170" t="s" s="2">
        <v>14</v>
      </c>
      <c r="E170" t="str" s="8" cm="1">
        <f t="array" ref="E170">IF(D170="M","Male",IF(D170="F","Female","Check"))</f>
        <v>Female</v>
      </c>
      <c r="F170" s="4">
        <v>80000</v>
      </c>
      <c r="G170" t="str" s="8" cm="1">
        <f t="array" ref="G170">IF(F170="","Check","okay")</f>
        <v>okay</v>
      </c>
      <c r="H170" s="3">
        <v>5</v>
      </c>
      <c r="I170" t="s" s="2">
        <v>34</v>
      </c>
      <c r="J170" t="s" s="2">
        <v>31</v>
      </c>
      <c r="K170" t="s" s="2">
        <v>17</v>
      </c>
      <c r="L170" s="3">
        <v>3</v>
      </c>
      <c r="M170" t="s" s="2">
        <v>18</v>
      </c>
      <c r="N170" t="s" s="2">
        <v>27</v>
      </c>
      <c r="O170" s="3">
        <v>40</v>
      </c>
      <c r="P170" t="str" s="8" cm="1">
        <f t="array" ref="P170">IF(O170="","check","Okay")</f>
        <v>Okay</v>
      </c>
      <c r="Q170" t="str" s="8" cm="1">
        <f t="array" ref="Q170">IF(O170&lt;30,"UNDER 30",IF(O170&lt;=50,"30-50","Over 50"))</f>
        <v>30-50</v>
      </c>
      <c r="R170" t="s" s="2">
        <v>20</v>
      </c>
      <c r="S170" s="3" cm="1">
        <f t="array" ref="S170">COUNTIF(A2:A1001,A170)</f>
        <v>1</v>
      </c>
      <c r="T170" t="str" s="8" cm="1">
        <f t="array" ref="T170">IF(ISNUMBER(F170),"Ok","check")</f>
        <v>Ok</v>
      </c>
      <c r="U170" t="str" s="8" cm="1">
        <f t="array" ref="U170">IF(ISNUMBER(O170),"ok","check")</f>
        <v>ok</v>
      </c>
    </row>
    <row r="171" ht="13.55" customHeight="1">
      <c r="A171" s="3">
        <v>18253</v>
      </c>
      <c r="B171" t="s" s="2">
        <v>13</v>
      </c>
      <c r="C171" t="str" s="8" cm="1">
        <f t="array" ref="C171">IF(B171="M","Married","Single")</f>
        <v>Married</v>
      </c>
      <c r="D171" t="s" s="2">
        <v>14</v>
      </c>
      <c r="E171" t="str" s="8" cm="1">
        <f t="array" ref="E171">IF(D171="M","Male",IF(D171="F","Female","Check"))</f>
        <v>Female</v>
      </c>
      <c r="F171" s="4">
        <v>80000</v>
      </c>
      <c r="G171" t="str" s="8" cm="1">
        <f t="array" ref="G171">IF(F171="","Check","okay")</f>
        <v>okay</v>
      </c>
      <c r="H171" s="3">
        <v>5</v>
      </c>
      <c r="I171" t="s" s="2">
        <v>34</v>
      </c>
      <c r="J171" t="s" s="2">
        <v>31</v>
      </c>
      <c r="K171" t="s" s="2">
        <v>17</v>
      </c>
      <c r="L171" s="3">
        <v>3</v>
      </c>
      <c r="M171" t="s" s="2">
        <v>18</v>
      </c>
      <c r="N171" t="s" s="2">
        <v>27</v>
      </c>
      <c r="O171" s="3">
        <v>40</v>
      </c>
      <c r="P171" t="str" s="8" cm="1">
        <f t="array" ref="P171">IF(O171="","check","Okay")</f>
        <v>Okay</v>
      </c>
      <c r="Q171" t="str" s="8" cm="1">
        <f t="array" ref="Q171">IF(O171&lt;30,"UNDER 30",IF(O171&lt;=50,"30-50","Over 50"))</f>
        <v>30-50</v>
      </c>
      <c r="R171" t="s" s="2">
        <v>20</v>
      </c>
      <c r="S171" s="3" cm="1">
        <f t="array" ref="S171">COUNTIF(A2:A1001,A171)</f>
        <v>1</v>
      </c>
      <c r="T171" t="str" s="8" cm="1">
        <f t="array" ref="T171">IF(ISNUMBER(F171),"Ok","check")</f>
        <v>Ok</v>
      </c>
      <c r="U171" t="str" s="8" cm="1">
        <f t="array" ref="U171">IF(ISNUMBER(O171),"ok","check")</f>
        <v>ok</v>
      </c>
    </row>
    <row r="172" ht="13.55" customHeight="1">
      <c r="A172" s="3">
        <v>28580</v>
      </c>
      <c r="B172" t="s" s="2">
        <v>13</v>
      </c>
      <c r="C172" t="str" s="8" cm="1">
        <f t="array" ref="C172">IF(B172="M","Married","Single")</f>
        <v>Married</v>
      </c>
      <c r="D172" t="s" s="2">
        <v>14</v>
      </c>
      <c r="E172" t="str" s="8" cm="1">
        <f t="array" ref="E172">IF(D172="M","Male",IF(D172="F","Female","Check"))</f>
        <v>Female</v>
      </c>
      <c r="F172" s="4">
        <v>80000</v>
      </c>
      <c r="G172" t="str" s="8" cm="1">
        <f t="array" ref="G172">IF(F172="","Check","okay")</f>
        <v>okay</v>
      </c>
      <c r="H172" s="3">
        <v>0</v>
      </c>
      <c r="I172" t="s" s="2">
        <v>34</v>
      </c>
      <c r="J172" t="s" s="2">
        <v>16</v>
      </c>
      <c r="K172" t="s" s="2">
        <v>17</v>
      </c>
      <c r="L172" s="3">
        <v>0</v>
      </c>
      <c r="M172" t="s" s="2">
        <v>29</v>
      </c>
      <c r="N172" t="s" s="2">
        <v>35</v>
      </c>
      <c r="O172" s="3">
        <v>40</v>
      </c>
      <c r="P172" t="str" s="8" cm="1">
        <f t="array" ref="P172">IF(O172="","check","Okay")</f>
        <v>Okay</v>
      </c>
      <c r="Q172" t="str" s="8" cm="1">
        <f t="array" ref="Q172">IF(O172&lt;30,"UNDER 30",IF(O172&lt;=50,"30-50","Over 50"))</f>
        <v>30-50</v>
      </c>
      <c r="R172" t="s" s="2">
        <v>17</v>
      </c>
      <c r="S172" s="3" cm="1">
        <f t="array" ref="S172">COUNTIF(A2:A1001,A172)</f>
        <v>1</v>
      </c>
      <c r="T172" t="str" s="8" cm="1">
        <f t="array" ref="T172">IF(ISNUMBER(F172),"Ok","check")</f>
        <v>Ok</v>
      </c>
      <c r="U172" t="str" s="8" cm="1">
        <f t="array" ref="U172">IF(ISNUMBER(O172),"ok","check")</f>
        <v>ok</v>
      </c>
    </row>
    <row r="173" ht="13.55" customHeight="1">
      <c r="A173" s="3">
        <v>18594</v>
      </c>
      <c r="B173" t="s" s="2">
        <v>25</v>
      </c>
      <c r="C173" t="str" s="8" cm="1">
        <f t="array" ref="C173">IF(B173="M","Married","Single")</f>
        <v>Single</v>
      </c>
      <c r="D173" t="s" s="2">
        <v>14</v>
      </c>
      <c r="E173" t="str" s="8" cm="1">
        <f t="array" ref="E173">IF(D173="M","Male",IF(D173="F","Female","Check"))</f>
        <v>Female</v>
      </c>
      <c r="F173" s="4">
        <v>80000</v>
      </c>
      <c r="G173" t="str" s="8" cm="1">
        <f t="array" ref="G173">IF(F173="","Check","okay")</f>
        <v>okay</v>
      </c>
      <c r="H173" s="3">
        <v>3</v>
      </c>
      <c r="I173" t="s" s="2">
        <v>15</v>
      </c>
      <c r="J173" t="s" s="2">
        <v>16</v>
      </c>
      <c r="K173" t="s" s="2">
        <v>17</v>
      </c>
      <c r="L173" s="3">
        <v>3</v>
      </c>
      <c r="M173" t="s" s="2">
        <v>33</v>
      </c>
      <c r="N173" t="s" s="2">
        <v>35</v>
      </c>
      <c r="O173" s="3">
        <v>40</v>
      </c>
      <c r="P173" t="str" s="8" cm="1">
        <f t="array" ref="P173">IF(O173="","check","Okay")</f>
        <v>Okay</v>
      </c>
      <c r="Q173" t="str" s="8" cm="1">
        <f t="array" ref="Q173">IF(O173&lt;30,"UNDER 30",IF(O173&lt;=50,"30-50","Over 50"))</f>
        <v>30-50</v>
      </c>
      <c r="R173" t="s" s="2">
        <v>17</v>
      </c>
      <c r="S173" s="3" cm="1">
        <f t="array" ref="S173">COUNTIF(A2:A1001,A173)</f>
        <v>1</v>
      </c>
      <c r="T173" t="str" s="8" cm="1">
        <f t="array" ref="T173">IF(ISNUMBER(F173),"Ok","check")</f>
        <v>Ok</v>
      </c>
      <c r="U173" t="str" s="8" cm="1">
        <f t="array" ref="U173">IF(ISNUMBER(O173),"ok","check")</f>
        <v>ok</v>
      </c>
    </row>
    <row r="174" ht="13.55" customHeight="1">
      <c r="A174" s="3">
        <v>24093</v>
      </c>
      <c r="B174" t="s" s="2">
        <v>25</v>
      </c>
      <c r="C174" t="str" s="8" cm="1">
        <f t="array" ref="C174">IF(B174="M","Married","Single")</f>
        <v>Single</v>
      </c>
      <c r="D174" t="s" s="2">
        <v>14</v>
      </c>
      <c r="E174" t="str" s="8" cm="1">
        <f t="array" ref="E174">IF(D174="M","Male",IF(D174="F","Female","Check"))</f>
        <v>Female</v>
      </c>
      <c r="F174" s="4">
        <v>80000</v>
      </c>
      <c r="G174" t="str" s="8" cm="1">
        <f t="array" ref="G174">IF(F174="","Check","okay")</f>
        <v>okay</v>
      </c>
      <c r="H174" s="3">
        <v>0</v>
      </c>
      <c r="I174" t="s" s="2">
        <v>34</v>
      </c>
      <c r="J174" t="s" s="2">
        <v>16</v>
      </c>
      <c r="K174" t="s" s="2">
        <v>20</v>
      </c>
      <c r="L174" s="3">
        <v>0</v>
      </c>
      <c r="M174" t="s" s="2">
        <v>18</v>
      </c>
      <c r="N174" t="s" s="2">
        <v>19</v>
      </c>
      <c r="O174" s="3">
        <v>40</v>
      </c>
      <c r="P174" t="str" s="8" cm="1">
        <f t="array" ref="P174">IF(O174="","check","Okay")</f>
        <v>Okay</v>
      </c>
      <c r="Q174" t="str" s="8" cm="1">
        <f t="array" ref="Q174">IF(O174&lt;30,"UNDER 30",IF(O174&lt;=50,"30-50","Over 50"))</f>
        <v>30-50</v>
      </c>
      <c r="R174" t="s" s="2">
        <v>17</v>
      </c>
      <c r="S174" s="3" cm="1">
        <f t="array" ref="S174">COUNTIF(A2:A1001,A174)</f>
        <v>1</v>
      </c>
      <c r="T174" t="str" s="8" cm="1">
        <f t="array" ref="T174">IF(ISNUMBER(F174),"Ok","check")</f>
        <v>Ok</v>
      </c>
      <c r="U174" t="str" s="8" cm="1">
        <f t="array" ref="U174">IF(ISNUMBER(O174),"ok","check")</f>
        <v>ok</v>
      </c>
    </row>
    <row r="175" ht="13.55" customHeight="1">
      <c r="A175" s="3">
        <v>27198</v>
      </c>
      <c r="B175" t="s" s="2">
        <v>25</v>
      </c>
      <c r="C175" t="str" s="8" cm="1">
        <f t="array" ref="C175">IF(B175="M","Married","Single")</f>
        <v>Single</v>
      </c>
      <c r="D175" t="s" s="2">
        <v>14</v>
      </c>
      <c r="E175" t="str" s="8" cm="1">
        <f t="array" ref="E175">IF(D175="M","Male",IF(D175="F","Female","Check"))</f>
        <v>Female</v>
      </c>
      <c r="F175" s="4">
        <v>80000</v>
      </c>
      <c r="G175" t="str" s="8" cm="1">
        <f t="array" ref="G175">IF(F175="","Check","okay")</f>
        <v>okay</v>
      </c>
      <c r="H175" s="3">
        <v>0</v>
      </c>
      <c r="I175" t="s" s="2">
        <v>34</v>
      </c>
      <c r="J175" t="s" s="2">
        <v>16</v>
      </c>
      <c r="K175" t="s" s="2">
        <v>20</v>
      </c>
      <c r="L175" s="3">
        <v>0</v>
      </c>
      <c r="M175" t="s" s="2">
        <v>18</v>
      </c>
      <c r="N175" t="s" s="2">
        <v>35</v>
      </c>
      <c r="O175" s="3">
        <v>40</v>
      </c>
      <c r="P175" t="str" s="8" cm="1">
        <f t="array" ref="P175">IF(O175="","check","Okay")</f>
        <v>Okay</v>
      </c>
      <c r="Q175" t="str" s="8" cm="1">
        <f t="array" ref="Q175">IF(O175&lt;30,"UNDER 30",IF(O175&lt;=50,"30-50","Over 50"))</f>
        <v>30-50</v>
      </c>
      <c r="R175" t="s" s="2">
        <v>20</v>
      </c>
      <c r="S175" s="3" cm="1">
        <f t="array" ref="S175">COUNTIF(A2:A1001,A175)</f>
        <v>1</v>
      </c>
      <c r="T175" t="str" s="8" cm="1">
        <f t="array" ref="T175">IF(ISNUMBER(F175),"Ok","check")</f>
        <v>Ok</v>
      </c>
      <c r="U175" t="str" s="8" cm="1">
        <f t="array" ref="U175">IF(ISNUMBER(O175),"ok","check")</f>
        <v>ok</v>
      </c>
    </row>
    <row r="176" ht="13.55" customHeight="1">
      <c r="A176" s="3">
        <v>19608</v>
      </c>
      <c r="B176" t="s" s="2">
        <v>13</v>
      </c>
      <c r="C176" t="str" s="8" cm="1">
        <f t="array" ref="C176">IF(B176="M","Married","Single")</f>
        <v>Married</v>
      </c>
      <c r="D176" t="s" s="2">
        <v>13</v>
      </c>
      <c r="E176" t="str" s="8" cm="1">
        <f t="array" ref="E176">IF(D176="M","Male",IF(D176="F","Female","Check"))</f>
        <v>Male</v>
      </c>
      <c r="F176" s="4">
        <v>80000</v>
      </c>
      <c r="G176" t="str" s="8" cm="1">
        <f t="array" ref="G176">IF(F176="","Check","okay")</f>
        <v>okay</v>
      </c>
      <c r="H176" s="3">
        <v>5</v>
      </c>
      <c r="I176" t="s" s="2">
        <v>15</v>
      </c>
      <c r="J176" t="s" s="2">
        <v>23</v>
      </c>
      <c r="K176" t="s" s="2">
        <v>17</v>
      </c>
      <c r="L176" s="3">
        <v>4</v>
      </c>
      <c r="M176" t="s" s="2">
        <v>29</v>
      </c>
      <c r="N176" t="s" s="2">
        <v>27</v>
      </c>
      <c r="O176" s="3">
        <v>40</v>
      </c>
      <c r="P176" t="str" s="8" cm="1">
        <f t="array" ref="P176">IF(O176="","check","Okay")</f>
        <v>Okay</v>
      </c>
      <c r="Q176" t="str" s="8" cm="1">
        <f t="array" ref="Q176">IF(O176&lt;30,"UNDER 30",IF(O176&lt;=50,"30-50","Over 50"))</f>
        <v>30-50</v>
      </c>
      <c r="R176" t="s" s="2">
        <v>20</v>
      </c>
      <c r="S176" s="3" cm="1">
        <f t="array" ref="S176">COUNTIF(A2:A1001,A176)</f>
        <v>1</v>
      </c>
      <c r="T176" t="str" s="8" cm="1">
        <f t="array" ref="T176">IF(ISNUMBER(F176),"Ok","check")</f>
        <v>Ok</v>
      </c>
      <c r="U176" t="str" s="8" cm="1">
        <f t="array" ref="U176">IF(ISNUMBER(O176),"ok","check")</f>
        <v>ok</v>
      </c>
    </row>
    <row r="177" ht="13.55" customHeight="1">
      <c r="A177" s="3">
        <v>29301</v>
      </c>
      <c r="B177" t="s" s="2">
        <v>13</v>
      </c>
      <c r="C177" t="str" s="8" cm="1">
        <f t="array" ref="C177">IF(B177="M","Married","Single")</f>
        <v>Married</v>
      </c>
      <c r="D177" t="s" s="2">
        <v>13</v>
      </c>
      <c r="E177" t="str" s="8" cm="1">
        <f t="array" ref="E177">IF(D177="M","Male",IF(D177="F","Female","Check"))</f>
        <v>Male</v>
      </c>
      <c r="F177" s="4">
        <v>80000</v>
      </c>
      <c r="G177" t="str" s="8" cm="1">
        <f t="array" ref="G177">IF(F177="","Check","okay")</f>
        <v>okay</v>
      </c>
      <c r="H177" s="3">
        <v>5</v>
      </c>
      <c r="I177" t="s" s="2">
        <v>15</v>
      </c>
      <c r="J177" t="s" s="2">
        <v>23</v>
      </c>
      <c r="K177" t="s" s="2">
        <v>17</v>
      </c>
      <c r="L177" s="3">
        <v>4</v>
      </c>
      <c r="M177" t="s" s="2">
        <v>29</v>
      </c>
      <c r="N177" t="s" s="2">
        <v>27</v>
      </c>
      <c r="O177" s="3">
        <v>40</v>
      </c>
      <c r="P177" t="str" s="8" cm="1">
        <f t="array" ref="P177">IF(O177="","check","Okay")</f>
        <v>Okay</v>
      </c>
      <c r="Q177" t="str" s="8" cm="1">
        <f t="array" ref="Q177">IF(O177&lt;30,"UNDER 30",IF(O177&lt;=50,"30-50","Over 50"))</f>
        <v>30-50</v>
      </c>
      <c r="R177" t="s" s="2">
        <v>20</v>
      </c>
      <c r="S177" s="3" cm="1">
        <f t="array" ref="S177">COUNTIF(A2:A1001,A177)</f>
        <v>1</v>
      </c>
      <c r="T177" t="str" s="8" cm="1">
        <f t="array" ref="T177">IF(ISNUMBER(F177),"Ok","check")</f>
        <v>Ok</v>
      </c>
      <c r="U177" t="str" s="8" cm="1">
        <f t="array" ref="U177">IF(ISNUMBER(O177),"ok","check")</f>
        <v>ok</v>
      </c>
    </row>
    <row r="178" ht="13.55" customHeight="1">
      <c r="A178" s="3">
        <v>23426</v>
      </c>
      <c r="B178" t="s" s="2">
        <v>25</v>
      </c>
      <c r="C178" t="str" s="8" cm="1">
        <f t="array" ref="C178">IF(B178="M","Married","Single")</f>
        <v>Single</v>
      </c>
      <c r="D178" t="s" s="2">
        <v>13</v>
      </c>
      <c r="E178" t="str" s="8" cm="1">
        <f t="array" ref="E178">IF(D178="M","Male",IF(D178="F","Female","Check"))</f>
        <v>Male</v>
      </c>
      <c r="F178" s="4">
        <v>80000</v>
      </c>
      <c r="G178" t="str" s="8" cm="1">
        <f t="array" ref="G178">IF(F178="","Check","okay")</f>
        <v>okay</v>
      </c>
      <c r="H178" s="3">
        <v>5</v>
      </c>
      <c r="I178" t="s" s="2">
        <v>34</v>
      </c>
      <c r="J178" t="s" s="2">
        <v>31</v>
      </c>
      <c r="K178" t="s" s="2">
        <v>17</v>
      </c>
      <c r="L178" s="3">
        <v>3</v>
      </c>
      <c r="M178" t="s" s="2">
        <v>18</v>
      </c>
      <c r="N178" t="s" s="2">
        <v>27</v>
      </c>
      <c r="O178" s="3">
        <v>40</v>
      </c>
      <c r="P178" t="str" s="8" cm="1">
        <f t="array" ref="P178">IF(O178="","check","Okay")</f>
        <v>Okay</v>
      </c>
      <c r="Q178" t="str" s="8" cm="1">
        <f t="array" ref="Q178">IF(O178&lt;30,"UNDER 30",IF(O178&lt;=50,"30-50","Over 50"))</f>
        <v>30-50</v>
      </c>
      <c r="R178" t="s" s="2">
        <v>20</v>
      </c>
      <c r="S178" s="3" cm="1">
        <f t="array" ref="S178">COUNTIF(A2:A1001,A178)</f>
        <v>1</v>
      </c>
      <c r="T178" t="str" s="8" cm="1">
        <f t="array" ref="T178">IF(ISNUMBER(F178),"Ok","check")</f>
        <v>Ok</v>
      </c>
      <c r="U178" t="str" s="8" cm="1">
        <f t="array" ref="U178">IF(ISNUMBER(O178),"ok","check")</f>
        <v>ok</v>
      </c>
    </row>
    <row r="179" ht="13.55" customHeight="1">
      <c r="A179" s="3">
        <v>28858</v>
      </c>
      <c r="B179" t="s" s="2">
        <v>25</v>
      </c>
      <c r="C179" t="str" s="8" cm="1">
        <f t="array" ref="C179">IF(B179="M","Married","Single")</f>
        <v>Single</v>
      </c>
      <c r="D179" t="s" s="2">
        <v>13</v>
      </c>
      <c r="E179" t="str" s="8" cm="1">
        <f t="array" ref="E179">IF(D179="M","Male",IF(D179="F","Female","Check"))</f>
        <v>Male</v>
      </c>
      <c r="F179" s="4">
        <v>80000</v>
      </c>
      <c r="G179" t="str" s="8" cm="1">
        <f t="array" ref="G179">IF(F179="","Check","okay")</f>
        <v>okay</v>
      </c>
      <c r="H179" s="3">
        <v>3</v>
      </c>
      <c r="I179" t="s" s="2">
        <v>15</v>
      </c>
      <c r="J179" t="s" s="2">
        <v>16</v>
      </c>
      <c r="K179" t="s" s="2">
        <v>17</v>
      </c>
      <c r="L179" s="3">
        <v>0</v>
      </c>
      <c r="M179" t="s" s="2">
        <v>24</v>
      </c>
      <c r="N179" t="s" s="2">
        <v>35</v>
      </c>
      <c r="O179" s="3">
        <v>40</v>
      </c>
      <c r="P179" t="str" s="8" cm="1">
        <f t="array" ref="P179">IF(O179="","check","Okay")</f>
        <v>Okay</v>
      </c>
      <c r="Q179" t="str" s="8" cm="1">
        <f t="array" ref="Q179">IF(O179&lt;30,"UNDER 30",IF(O179&lt;=50,"30-50","Over 50"))</f>
        <v>30-50</v>
      </c>
      <c r="R179" t="s" s="2">
        <v>20</v>
      </c>
      <c r="S179" s="3" cm="1">
        <f t="array" ref="S179">COUNTIF(A2:A1001,A179)</f>
        <v>1</v>
      </c>
      <c r="T179" t="str" s="8" cm="1">
        <f t="array" ref="T179">IF(ISNUMBER(F179),"Ok","check")</f>
        <v>Ok</v>
      </c>
      <c r="U179" t="str" s="8" cm="1">
        <f t="array" ref="U179">IF(ISNUMBER(O179),"ok","check")</f>
        <v>ok</v>
      </c>
    </row>
    <row r="180" ht="13.55" customHeight="1">
      <c r="A180" s="3">
        <v>13122</v>
      </c>
      <c r="B180" t="s" s="2">
        <v>13</v>
      </c>
      <c r="C180" t="str" s="8" cm="1">
        <f t="array" ref="C180">IF(B180="M","Married","Single")</f>
        <v>Married</v>
      </c>
      <c r="D180" t="s" s="2">
        <v>14</v>
      </c>
      <c r="E180" t="str" s="8" cm="1">
        <f t="array" ref="E180">IF(D180="M","Male",IF(D180="F","Female","Check"))</f>
        <v>Female</v>
      </c>
      <c r="F180" s="4">
        <v>80000</v>
      </c>
      <c r="G180" t="str" s="8" cm="1">
        <f t="array" ref="G180">IF(F180="","Check","okay")</f>
        <v>okay</v>
      </c>
      <c r="H180" s="3">
        <v>0</v>
      </c>
      <c r="I180" t="s" s="2">
        <v>15</v>
      </c>
      <c r="J180" t="s" s="2">
        <v>23</v>
      </c>
      <c r="K180" t="s" s="2">
        <v>17</v>
      </c>
      <c r="L180" s="3">
        <v>1</v>
      </c>
      <c r="M180" t="s" s="2">
        <v>29</v>
      </c>
      <c r="N180" t="s" s="2">
        <v>27</v>
      </c>
      <c r="O180" s="3">
        <v>41</v>
      </c>
      <c r="P180" t="str" s="8" cm="1">
        <f t="array" ref="P180">IF(O180="","check","Okay")</f>
        <v>Okay</v>
      </c>
      <c r="Q180" t="str" s="8" cm="1">
        <f t="array" ref="Q180">IF(O180&lt;30,"UNDER 30",IF(O180&lt;=50,"30-50","Over 50"))</f>
        <v>30-50</v>
      </c>
      <c r="R180" t="s" s="2">
        <v>17</v>
      </c>
      <c r="S180" s="3" cm="1">
        <f t="array" ref="S180">COUNTIF(A2:A1001,A180)</f>
        <v>1</v>
      </c>
      <c r="T180" t="str" s="8" cm="1">
        <f t="array" ref="T180">IF(ISNUMBER(F180),"Ok","check")</f>
        <v>Ok</v>
      </c>
      <c r="U180" t="str" s="8" cm="1">
        <f t="array" ref="U180">IF(ISNUMBER(O180),"ok","check")</f>
        <v>ok</v>
      </c>
    </row>
    <row r="181" ht="13.55" customHeight="1">
      <c r="A181" s="3">
        <v>13907</v>
      </c>
      <c r="B181" t="s" s="2">
        <v>25</v>
      </c>
      <c r="C181" t="str" s="8" cm="1">
        <f t="array" ref="C181">IF(B181="M","Married","Single")</f>
        <v>Single</v>
      </c>
      <c r="D181" t="s" s="2">
        <v>14</v>
      </c>
      <c r="E181" t="str" s="8" cm="1">
        <f t="array" ref="E181">IF(D181="M","Male",IF(D181="F","Female","Check"))</f>
        <v>Female</v>
      </c>
      <c r="F181" s="4">
        <v>80000</v>
      </c>
      <c r="G181" t="str" s="8" cm="1">
        <f t="array" ref="G181">IF(F181="","Check","okay")</f>
        <v>okay</v>
      </c>
      <c r="H181" s="3">
        <v>3</v>
      </c>
      <c r="I181" t="s" s="2">
        <v>15</v>
      </c>
      <c r="J181" t="s" s="2">
        <v>16</v>
      </c>
      <c r="K181" t="s" s="2">
        <v>17</v>
      </c>
      <c r="L181" s="3">
        <v>1</v>
      </c>
      <c r="M181" t="s" s="2">
        <v>18</v>
      </c>
      <c r="N181" t="s" s="2">
        <v>35</v>
      </c>
      <c r="O181" s="3">
        <v>41</v>
      </c>
      <c r="P181" t="str" s="8" cm="1">
        <f t="array" ref="P181">IF(O181="","check","Okay")</f>
        <v>Okay</v>
      </c>
      <c r="Q181" t="str" s="8" cm="1">
        <f t="array" ref="Q181">IF(O181&lt;30,"UNDER 30",IF(O181&lt;=50,"30-50","Over 50"))</f>
        <v>30-50</v>
      </c>
      <c r="R181" t="s" s="2">
        <v>17</v>
      </c>
      <c r="S181" s="3" cm="1">
        <f t="array" ref="S181">COUNTIF(A2:A1001,A181)</f>
        <v>1</v>
      </c>
      <c r="T181" t="str" s="8" cm="1">
        <f t="array" ref="T181">IF(ISNUMBER(F181),"Ok","check")</f>
        <v>Ok</v>
      </c>
      <c r="U181" t="str" s="8" cm="1">
        <f t="array" ref="U181">IF(ISNUMBER(O181),"ok","check")</f>
        <v>ok</v>
      </c>
    </row>
    <row r="182" ht="13.55" customHeight="1">
      <c r="A182" s="3">
        <v>13911</v>
      </c>
      <c r="B182" t="s" s="2">
        <v>25</v>
      </c>
      <c r="C182" t="str" s="8" cm="1">
        <f t="array" ref="C182">IF(B182="M","Married","Single")</f>
        <v>Single</v>
      </c>
      <c r="D182" t="s" s="2">
        <v>14</v>
      </c>
      <c r="E182" t="str" s="8" cm="1">
        <f t="array" ref="E182">IF(D182="M","Male",IF(D182="F","Female","Check"))</f>
        <v>Female</v>
      </c>
      <c r="F182" s="4">
        <v>80000</v>
      </c>
      <c r="G182" t="str" s="8" cm="1">
        <f t="array" ref="G182">IF(F182="","Check","okay")</f>
        <v>okay</v>
      </c>
      <c r="H182" s="3">
        <v>3</v>
      </c>
      <c r="I182" t="s" s="2">
        <v>15</v>
      </c>
      <c r="J182" t="s" s="2">
        <v>16</v>
      </c>
      <c r="K182" t="s" s="2">
        <v>17</v>
      </c>
      <c r="L182" s="3">
        <v>2</v>
      </c>
      <c r="M182" t="s" s="2">
        <v>24</v>
      </c>
      <c r="N182" t="s" s="2">
        <v>35</v>
      </c>
      <c r="O182" s="3">
        <v>41</v>
      </c>
      <c r="P182" t="str" s="8" cm="1">
        <f t="array" ref="P182">IF(O182="","check","Okay")</f>
        <v>Okay</v>
      </c>
      <c r="Q182" t="str" s="8" cm="1">
        <f t="array" ref="Q182">IF(O182&lt;30,"UNDER 30",IF(O182&lt;=50,"30-50","Over 50"))</f>
        <v>30-50</v>
      </c>
      <c r="R182" t="s" s="2">
        <v>17</v>
      </c>
      <c r="S182" s="3" cm="1">
        <f t="array" ref="S182">COUNTIF(A2:A1001,A182)</f>
        <v>1</v>
      </c>
      <c r="T182" t="str" s="8" cm="1">
        <f t="array" ref="T182">IF(ISNUMBER(F182),"Ok","check")</f>
        <v>Ok</v>
      </c>
      <c r="U182" t="str" s="8" cm="1">
        <f t="array" ref="U182">IF(ISNUMBER(O182),"ok","check")</f>
        <v>ok</v>
      </c>
    </row>
    <row r="183" ht="13.55" customHeight="1">
      <c r="A183" s="3">
        <v>19143</v>
      </c>
      <c r="B183" t="s" s="2">
        <v>25</v>
      </c>
      <c r="C183" t="str" s="8" cm="1">
        <f t="array" ref="C183">IF(B183="M","Married","Single")</f>
        <v>Single</v>
      </c>
      <c r="D183" t="s" s="2">
        <v>14</v>
      </c>
      <c r="E183" t="str" s="8" cm="1">
        <f t="array" ref="E183">IF(D183="M","Male",IF(D183="F","Female","Check"))</f>
        <v>Female</v>
      </c>
      <c r="F183" s="4">
        <v>80000</v>
      </c>
      <c r="G183" t="str" s="8" cm="1">
        <f t="array" ref="G183">IF(F183="","Check","okay")</f>
        <v>okay</v>
      </c>
      <c r="H183" s="3">
        <v>3</v>
      </c>
      <c r="I183" t="s" s="2">
        <v>15</v>
      </c>
      <c r="J183" t="s" s="2">
        <v>16</v>
      </c>
      <c r="K183" t="s" s="2">
        <v>17</v>
      </c>
      <c r="L183" s="3">
        <v>2</v>
      </c>
      <c r="M183" t="s" s="2">
        <v>24</v>
      </c>
      <c r="N183" t="s" s="2">
        <v>35</v>
      </c>
      <c r="O183" s="3">
        <v>41</v>
      </c>
      <c r="P183" t="str" s="8" cm="1">
        <f t="array" ref="P183">IF(O183="","check","Okay")</f>
        <v>Okay</v>
      </c>
      <c r="Q183" t="str" s="8" cm="1">
        <f t="array" ref="Q183">IF(O183&lt;30,"UNDER 30",IF(O183&lt;=50,"30-50","Over 50"))</f>
        <v>30-50</v>
      </c>
      <c r="R183" t="s" s="2">
        <v>17</v>
      </c>
      <c r="S183" s="3" cm="1">
        <f t="array" ref="S183">COUNTIF(A2:A1001,A183)</f>
        <v>1</v>
      </c>
      <c r="T183" t="str" s="8" cm="1">
        <f t="array" ref="T183">IF(ISNUMBER(F183),"Ok","check")</f>
        <v>Ok</v>
      </c>
      <c r="U183" t="str" s="8" cm="1">
        <f t="array" ref="U183">IF(ISNUMBER(O183),"ok","check")</f>
        <v>ok</v>
      </c>
    </row>
    <row r="184" ht="13.55" customHeight="1">
      <c r="A184" s="3">
        <v>11262</v>
      </c>
      <c r="B184" t="s" s="2">
        <v>13</v>
      </c>
      <c r="C184" t="str" s="8" cm="1">
        <f t="array" ref="C184">IF(B184="M","Married","Single")</f>
        <v>Married</v>
      </c>
      <c r="D184" t="s" s="2">
        <v>14</v>
      </c>
      <c r="E184" t="str" s="8" cm="1">
        <f t="array" ref="E184">IF(D184="M","Male",IF(D184="F","Female","Check"))</f>
        <v>Female</v>
      </c>
      <c r="F184" s="4">
        <v>80000</v>
      </c>
      <c r="G184" t="str" s="8" cm="1">
        <f t="array" ref="G184">IF(F184="","Check","okay")</f>
        <v>okay</v>
      </c>
      <c r="H184" s="3">
        <v>4</v>
      </c>
      <c r="I184" t="s" s="2">
        <v>15</v>
      </c>
      <c r="J184" t="s" s="2">
        <v>31</v>
      </c>
      <c r="K184" t="s" s="2">
        <v>17</v>
      </c>
      <c r="L184" s="3">
        <v>0</v>
      </c>
      <c r="M184" t="s" s="2">
        <v>18</v>
      </c>
      <c r="N184" t="s" s="2">
        <v>35</v>
      </c>
      <c r="O184" s="3">
        <v>42</v>
      </c>
      <c r="P184" t="str" s="8" cm="1">
        <f t="array" ref="P184">IF(O184="","check","Okay")</f>
        <v>Okay</v>
      </c>
      <c r="Q184" t="str" s="8" cm="1">
        <f t="array" ref="Q184">IF(O184&lt;30,"UNDER 30",IF(O184&lt;=50,"30-50","Over 50"))</f>
        <v>30-50</v>
      </c>
      <c r="R184" t="s" s="2">
        <v>20</v>
      </c>
      <c r="S184" s="3" cm="1">
        <f t="array" ref="S184">COUNTIF(A2:A1001,A184)</f>
        <v>1</v>
      </c>
      <c r="T184" t="str" s="8" cm="1">
        <f t="array" ref="T184">IF(ISNUMBER(F184),"Ok","check")</f>
        <v>Ok</v>
      </c>
      <c r="U184" t="str" s="8" cm="1">
        <f t="array" ref="U184">IF(ISNUMBER(O184),"ok","check")</f>
        <v>ok</v>
      </c>
    </row>
    <row r="185" ht="13.55" customHeight="1">
      <c r="A185" s="3">
        <v>25293</v>
      </c>
      <c r="B185" t="s" s="2">
        <v>13</v>
      </c>
      <c r="C185" t="str" s="8" cm="1">
        <f t="array" ref="C185">IF(B185="M","Married","Single")</f>
        <v>Married</v>
      </c>
      <c r="D185" t="s" s="2">
        <v>13</v>
      </c>
      <c r="E185" t="str" s="8" cm="1">
        <f t="array" ref="E185">IF(D185="M","Male",IF(D185="F","Female","Check"))</f>
        <v>Male</v>
      </c>
      <c r="F185" s="4">
        <v>80000</v>
      </c>
      <c r="G185" t="str" s="8" cm="1">
        <f t="array" ref="G185">IF(F185="","Check","okay")</f>
        <v>okay</v>
      </c>
      <c r="H185" s="3">
        <v>4</v>
      </c>
      <c r="I185" t="s" s="2">
        <v>15</v>
      </c>
      <c r="J185" t="s" s="2">
        <v>31</v>
      </c>
      <c r="K185" t="s" s="2">
        <v>17</v>
      </c>
      <c r="L185" s="3">
        <v>0</v>
      </c>
      <c r="M185" t="s" s="2">
        <v>29</v>
      </c>
      <c r="N185" t="s" s="2">
        <v>35</v>
      </c>
      <c r="O185" s="3">
        <v>42</v>
      </c>
      <c r="P185" t="str" s="8" cm="1">
        <f t="array" ref="P185">IF(O185="","check","Okay")</f>
        <v>Okay</v>
      </c>
      <c r="Q185" t="str" s="8" cm="1">
        <f t="array" ref="Q185">IF(O185&lt;30,"UNDER 30",IF(O185&lt;=50,"30-50","Over 50"))</f>
        <v>30-50</v>
      </c>
      <c r="R185" t="s" s="2">
        <v>20</v>
      </c>
      <c r="S185" s="3" cm="1">
        <f t="array" ref="S185">COUNTIF(A2:A1001,A185)</f>
        <v>1</v>
      </c>
      <c r="T185" t="str" s="8" cm="1">
        <f t="array" ref="T185">IF(ISNUMBER(F185),"Ok","check")</f>
        <v>Ok</v>
      </c>
      <c r="U185" t="str" s="8" cm="1">
        <f t="array" ref="U185">IF(ISNUMBER(O185),"ok","check")</f>
        <v>ok</v>
      </c>
    </row>
    <row r="186" ht="13.55" customHeight="1">
      <c r="A186" s="3">
        <v>19660</v>
      </c>
      <c r="B186" t="s" s="2">
        <v>13</v>
      </c>
      <c r="C186" t="str" s="8" cm="1">
        <f t="array" ref="C186">IF(B186="M","Married","Single")</f>
        <v>Married</v>
      </c>
      <c r="D186" t="s" s="2">
        <v>13</v>
      </c>
      <c r="E186" t="str" s="8" cm="1">
        <f t="array" ref="E186">IF(D186="M","Male",IF(D186="F","Female","Check"))</f>
        <v>Male</v>
      </c>
      <c r="F186" s="4">
        <v>80000</v>
      </c>
      <c r="G186" t="str" s="8" cm="1">
        <f t="array" ref="G186">IF(F186="","Check","okay")</f>
        <v>okay</v>
      </c>
      <c r="H186" s="3">
        <v>4</v>
      </c>
      <c r="I186" t="s" s="2">
        <v>15</v>
      </c>
      <c r="J186" t="s" s="2">
        <v>31</v>
      </c>
      <c r="K186" t="s" s="2">
        <v>17</v>
      </c>
      <c r="L186" s="3">
        <v>0</v>
      </c>
      <c r="M186" t="s" s="2">
        <v>18</v>
      </c>
      <c r="N186" t="s" s="2">
        <v>35</v>
      </c>
      <c r="O186" s="3">
        <v>43</v>
      </c>
      <c r="P186" t="str" s="8" cm="1">
        <f t="array" ref="P186">IF(O186="","check","Okay")</f>
        <v>Okay</v>
      </c>
      <c r="Q186" t="str" s="8" cm="1">
        <f t="array" ref="Q186">IF(O186&lt;30,"UNDER 30",IF(O186&lt;=50,"30-50","Over 50"))</f>
        <v>30-50</v>
      </c>
      <c r="R186" t="s" s="2">
        <v>20</v>
      </c>
      <c r="S186" s="3" cm="1">
        <f t="array" ref="S186">COUNTIF(A2:A1001,A186)</f>
        <v>1</v>
      </c>
      <c r="T186" t="str" s="8" cm="1">
        <f t="array" ref="T186">IF(ISNUMBER(F186),"Ok","check")</f>
        <v>Ok</v>
      </c>
      <c r="U186" t="str" s="8" cm="1">
        <f t="array" ref="U186">IF(ISNUMBER(O186),"ok","check")</f>
        <v>ok</v>
      </c>
    </row>
    <row r="187" ht="13.55" customHeight="1">
      <c r="A187" s="3">
        <v>29231</v>
      </c>
      <c r="B187" t="s" s="2">
        <v>25</v>
      </c>
      <c r="C187" t="str" s="8" cm="1">
        <f t="array" ref="C187">IF(B187="M","Married","Single")</f>
        <v>Single</v>
      </c>
      <c r="D187" t="s" s="2">
        <v>13</v>
      </c>
      <c r="E187" t="str" s="8" cm="1">
        <f t="array" ref="E187">IF(D187="M","Male",IF(D187="F","Female","Check"))</f>
        <v>Male</v>
      </c>
      <c r="F187" s="4">
        <v>80000</v>
      </c>
      <c r="G187" t="str" s="8" cm="1">
        <f t="array" ref="G187">IF(F187="","Check","okay")</f>
        <v>okay</v>
      </c>
      <c r="H187" s="3">
        <v>4</v>
      </c>
      <c r="I187" t="s" s="2">
        <v>21</v>
      </c>
      <c r="J187" t="s" s="2">
        <v>23</v>
      </c>
      <c r="K187" t="s" s="2">
        <v>20</v>
      </c>
      <c r="L187" s="3">
        <v>2</v>
      </c>
      <c r="M187" t="s" s="2">
        <v>18</v>
      </c>
      <c r="N187" t="s" s="2">
        <v>35</v>
      </c>
      <c r="O187" s="3">
        <v>43</v>
      </c>
      <c r="P187" t="str" s="8" cm="1">
        <f t="array" ref="P187">IF(O187="","check","Okay")</f>
        <v>Okay</v>
      </c>
      <c r="Q187" t="str" s="8" cm="1">
        <f t="array" ref="Q187">IF(O187&lt;30,"UNDER 30",IF(O187&lt;=50,"30-50","Over 50"))</f>
        <v>30-50</v>
      </c>
      <c r="R187" t="s" s="2">
        <v>20</v>
      </c>
      <c r="S187" s="3" cm="1">
        <f t="array" ref="S187">COUNTIF(A2:A1001,A187)</f>
        <v>1</v>
      </c>
      <c r="T187" t="str" s="8" cm="1">
        <f t="array" ref="T187">IF(ISNUMBER(F187),"Ok","check")</f>
        <v>Ok</v>
      </c>
      <c r="U187" t="str" s="8" cm="1">
        <f t="array" ref="U187">IF(ISNUMBER(O187),"ok","check")</f>
        <v>ok</v>
      </c>
    </row>
    <row r="188" ht="13.55" customHeight="1">
      <c r="A188" s="3">
        <v>18391</v>
      </c>
      <c r="B188" t="s" s="2">
        <v>25</v>
      </c>
      <c r="C188" t="str" s="8" cm="1">
        <f t="array" ref="C188">IF(B188="M","Married","Single")</f>
        <v>Single</v>
      </c>
      <c r="D188" t="s" s="2">
        <v>14</v>
      </c>
      <c r="E188" t="str" s="8" cm="1">
        <f t="array" ref="E188">IF(D188="M","Male",IF(D188="F","Female","Check"))</f>
        <v>Female</v>
      </c>
      <c r="F188" s="4">
        <v>80000</v>
      </c>
      <c r="G188" t="str" s="8" cm="1">
        <f t="array" ref="G188">IF(F188="","Check","okay")</f>
        <v>okay</v>
      </c>
      <c r="H188" s="3">
        <v>5</v>
      </c>
      <c r="I188" t="s" s="2">
        <v>21</v>
      </c>
      <c r="J188" t="s" s="2">
        <v>23</v>
      </c>
      <c r="K188" t="s" s="2">
        <v>17</v>
      </c>
      <c r="L188" s="3">
        <v>2</v>
      </c>
      <c r="M188" t="s" s="2">
        <v>26</v>
      </c>
      <c r="N188" t="s" s="2">
        <v>35</v>
      </c>
      <c r="O188" s="3">
        <v>44</v>
      </c>
      <c r="P188" t="str" s="8" cm="1">
        <f t="array" ref="P188">IF(O188="","check","Okay")</f>
        <v>Okay</v>
      </c>
      <c r="Q188" t="str" s="8" cm="1">
        <f t="array" ref="Q188">IF(O188&lt;30,"UNDER 30",IF(O188&lt;=50,"30-50","Over 50"))</f>
        <v>30-50</v>
      </c>
      <c r="R188" t="s" s="2">
        <v>20</v>
      </c>
      <c r="S188" s="3" cm="1">
        <f t="array" ref="S188">COUNTIF(A2:A1001,A188)</f>
        <v>1</v>
      </c>
      <c r="T188" t="str" s="8" cm="1">
        <f t="array" ref="T188">IF(ISNUMBER(F188),"Ok","check")</f>
        <v>Ok</v>
      </c>
      <c r="U188" t="str" s="8" cm="1">
        <f t="array" ref="U188">IF(ISNUMBER(O188),"ok","check")</f>
        <v>ok</v>
      </c>
    </row>
    <row r="189" ht="13.55" customHeight="1">
      <c r="A189" s="3">
        <v>18390</v>
      </c>
      <c r="B189" t="s" s="2">
        <v>13</v>
      </c>
      <c r="C189" t="str" s="8" cm="1">
        <f t="array" ref="C189">IF(B189="M","Married","Single")</f>
        <v>Married</v>
      </c>
      <c r="D189" t="s" s="2">
        <v>13</v>
      </c>
      <c r="E189" t="str" s="8" cm="1">
        <f t="array" ref="E189">IF(D189="M","Male",IF(D189="F","Female","Check"))</f>
        <v>Male</v>
      </c>
      <c r="F189" s="4">
        <v>80000</v>
      </c>
      <c r="G189" t="str" s="8" cm="1">
        <f t="array" ref="G189">IF(F189="","Check","okay")</f>
        <v>okay</v>
      </c>
      <c r="H189" s="3">
        <v>5</v>
      </c>
      <c r="I189" t="s" s="2">
        <v>21</v>
      </c>
      <c r="J189" t="s" s="2">
        <v>23</v>
      </c>
      <c r="K189" t="s" s="2">
        <v>17</v>
      </c>
      <c r="L189" s="3">
        <v>2</v>
      </c>
      <c r="M189" t="s" s="2">
        <v>18</v>
      </c>
      <c r="N189" t="s" s="2">
        <v>35</v>
      </c>
      <c r="O189" s="3">
        <v>44</v>
      </c>
      <c r="P189" t="str" s="8" cm="1">
        <f t="array" ref="P189">IF(O189="","check","Okay")</f>
        <v>Okay</v>
      </c>
      <c r="Q189" t="str" s="8" cm="1">
        <f t="array" ref="Q189">IF(O189&lt;30,"UNDER 30",IF(O189&lt;=50,"30-50","Over 50"))</f>
        <v>30-50</v>
      </c>
      <c r="R189" t="s" s="2">
        <v>20</v>
      </c>
      <c r="S189" s="3" cm="1">
        <f t="array" ref="S189">COUNTIF(A2:A1001,A189)</f>
        <v>1</v>
      </c>
      <c r="T189" t="str" s="8" cm="1">
        <f t="array" ref="T189">IF(ISNUMBER(F189),"Ok","check")</f>
        <v>Ok</v>
      </c>
      <c r="U189" t="str" s="8" cm="1">
        <f t="array" ref="U189">IF(ISNUMBER(O189),"ok","check")</f>
        <v>ok</v>
      </c>
    </row>
    <row r="190" ht="13.55" customHeight="1">
      <c r="A190" s="3">
        <v>17450</v>
      </c>
      <c r="B190" t="s" s="2">
        <v>13</v>
      </c>
      <c r="C190" t="str" s="8" cm="1">
        <f t="array" ref="C190">IF(B190="M","Married","Single")</f>
        <v>Married</v>
      </c>
      <c r="D190" t="s" s="2">
        <v>13</v>
      </c>
      <c r="E190" t="str" s="8" cm="1">
        <f t="array" ref="E190">IF(D190="M","Male",IF(D190="F","Female","Check"))</f>
        <v>Male</v>
      </c>
      <c r="F190" s="4">
        <v>80000</v>
      </c>
      <c r="G190" t="str" s="8" cm="1">
        <f t="array" ref="G190">IF(F190="","Check","okay")</f>
        <v>okay</v>
      </c>
      <c r="H190" s="3">
        <v>5</v>
      </c>
      <c r="I190" t="s" s="2">
        <v>21</v>
      </c>
      <c r="J190" t="s" s="2">
        <v>23</v>
      </c>
      <c r="K190" t="s" s="2">
        <v>17</v>
      </c>
      <c r="L190" s="3">
        <v>3</v>
      </c>
      <c r="M190" t="s" s="2">
        <v>26</v>
      </c>
      <c r="N190" t="s" s="2">
        <v>35</v>
      </c>
      <c r="O190" s="3">
        <v>45</v>
      </c>
      <c r="P190" t="str" s="8" cm="1">
        <f t="array" ref="P190">IF(O190="","check","Okay")</f>
        <v>Okay</v>
      </c>
      <c r="Q190" t="str" s="8" cm="1">
        <f t="array" ref="Q190">IF(O190&lt;30,"UNDER 30",IF(O190&lt;=50,"30-50","Over 50"))</f>
        <v>30-50</v>
      </c>
      <c r="R190" t="s" s="2">
        <v>20</v>
      </c>
      <c r="S190" s="3" cm="1">
        <f t="array" ref="S190">COUNTIF(A2:A1001,A190)</f>
        <v>1</v>
      </c>
      <c r="T190" t="str" s="8" cm="1">
        <f t="array" ref="T190">IF(ISNUMBER(F190),"Ok","check")</f>
        <v>Ok</v>
      </c>
      <c r="U190" t="str" s="8" cm="1">
        <f t="array" ref="U190">IF(ISNUMBER(O190),"ok","check")</f>
        <v>ok</v>
      </c>
    </row>
    <row r="191" ht="13.55" customHeight="1">
      <c r="A191" s="3">
        <v>13466</v>
      </c>
      <c r="B191" t="s" s="2">
        <v>13</v>
      </c>
      <c r="C191" t="str" s="8" cm="1">
        <f t="array" ref="C191">IF(B191="M","Married","Single")</f>
        <v>Married</v>
      </c>
      <c r="D191" t="s" s="2">
        <v>13</v>
      </c>
      <c r="E191" t="str" s="8" cm="1">
        <f t="array" ref="E191">IF(D191="M","Male",IF(D191="F","Female","Check"))</f>
        <v>Male</v>
      </c>
      <c r="F191" s="4">
        <v>80000</v>
      </c>
      <c r="G191" t="str" s="8" cm="1">
        <f t="array" ref="G191">IF(F191="","Check","okay")</f>
        <v>okay</v>
      </c>
      <c r="H191" s="3">
        <v>5</v>
      </c>
      <c r="I191" t="s" s="2">
        <v>21</v>
      </c>
      <c r="J191" t="s" s="2">
        <v>23</v>
      </c>
      <c r="K191" t="s" s="2">
        <v>17</v>
      </c>
      <c r="L191" s="3">
        <v>3</v>
      </c>
      <c r="M191" t="s" s="2">
        <v>29</v>
      </c>
      <c r="N191" t="s" s="2">
        <v>35</v>
      </c>
      <c r="O191" s="3">
        <v>46</v>
      </c>
      <c r="P191" t="str" s="8" cm="1">
        <f t="array" ref="P191">IF(O191="","check","Okay")</f>
        <v>Okay</v>
      </c>
      <c r="Q191" t="str" s="8" cm="1">
        <f t="array" ref="Q191">IF(O191&lt;30,"UNDER 30",IF(O191&lt;=50,"30-50","Over 50"))</f>
        <v>30-50</v>
      </c>
      <c r="R191" t="s" s="2">
        <v>20</v>
      </c>
      <c r="S191" s="3" cm="1">
        <f t="array" ref="S191">COUNTIF(A2:A1001,A191)</f>
        <v>1</v>
      </c>
      <c r="T191" t="str" s="8" cm="1">
        <f t="array" ref="T191">IF(ISNUMBER(F191),"Ok","check")</f>
        <v>Ok</v>
      </c>
      <c r="U191" t="str" s="8" cm="1">
        <f t="array" ref="U191">IF(ISNUMBER(O191),"ok","check")</f>
        <v>ok</v>
      </c>
    </row>
    <row r="192" ht="13.55" customHeight="1">
      <c r="A192" s="3">
        <v>16245</v>
      </c>
      <c r="B192" t="s" s="2">
        <v>25</v>
      </c>
      <c r="C192" t="str" s="8" cm="1">
        <f t="array" ref="C192">IF(B192="M","Married","Single")</f>
        <v>Single</v>
      </c>
      <c r="D192" t="s" s="2">
        <v>14</v>
      </c>
      <c r="E192" t="str" s="8" cm="1">
        <f t="array" ref="E192">IF(D192="M","Male",IF(D192="F","Female","Check"))</f>
        <v>Female</v>
      </c>
      <c r="F192" s="4">
        <v>80000</v>
      </c>
      <c r="G192" t="str" s="8" cm="1">
        <f t="array" ref="G192">IF(F192="","Check","okay")</f>
        <v>okay</v>
      </c>
      <c r="H192" s="3">
        <v>4</v>
      </c>
      <c r="I192" t="s" s="2">
        <v>34</v>
      </c>
      <c r="J192" t="s" s="2">
        <v>16</v>
      </c>
      <c r="K192" t="s" s="2">
        <v>17</v>
      </c>
      <c r="L192" s="3">
        <v>0</v>
      </c>
      <c r="M192" t="s" s="2">
        <v>29</v>
      </c>
      <c r="N192" t="s" s="2">
        <v>35</v>
      </c>
      <c r="O192" s="3">
        <v>47</v>
      </c>
      <c r="P192" t="str" s="8" cm="1">
        <f t="array" ref="P192">IF(O192="","check","Okay")</f>
        <v>Okay</v>
      </c>
      <c r="Q192" t="str" s="8" cm="1">
        <f t="array" ref="Q192">IF(O192&lt;30,"UNDER 30",IF(O192&lt;=50,"30-50","Over 50"))</f>
        <v>30-50</v>
      </c>
      <c r="R192" t="s" s="2">
        <v>20</v>
      </c>
      <c r="S192" s="3" cm="1">
        <f t="array" ref="S192">COUNTIF(A2:A1001,A192)</f>
        <v>1</v>
      </c>
      <c r="T192" t="str" s="8" cm="1">
        <f t="array" ref="T192">IF(ISNUMBER(F192),"Ok","check")</f>
        <v>Ok</v>
      </c>
      <c r="U192" t="str" s="8" cm="1">
        <f t="array" ref="U192">IF(ISNUMBER(O192),"ok","check")</f>
        <v>ok</v>
      </c>
    </row>
    <row r="193" ht="13.55" customHeight="1">
      <c r="A193" s="3">
        <v>16377</v>
      </c>
      <c r="B193" t="s" s="2">
        <v>25</v>
      </c>
      <c r="C193" t="str" s="8" cm="1">
        <f t="array" ref="C193">IF(B193="M","Married","Single")</f>
        <v>Single</v>
      </c>
      <c r="D193" t="s" s="2">
        <v>14</v>
      </c>
      <c r="E193" t="str" s="8" cm="1">
        <f t="array" ref="E193">IF(D193="M","Male",IF(D193="F","Female","Check"))</f>
        <v>Female</v>
      </c>
      <c r="F193" s="4">
        <v>80000</v>
      </c>
      <c r="G193" t="str" s="8" cm="1">
        <f t="array" ref="G193">IF(F193="","Check","okay")</f>
        <v>okay</v>
      </c>
      <c r="H193" s="3">
        <v>4</v>
      </c>
      <c r="I193" t="s" s="2">
        <v>34</v>
      </c>
      <c r="J193" t="s" s="2">
        <v>16</v>
      </c>
      <c r="K193" t="s" s="2">
        <v>20</v>
      </c>
      <c r="L193" s="3">
        <v>0</v>
      </c>
      <c r="M193" t="s" s="2">
        <v>18</v>
      </c>
      <c r="N193" t="s" s="2">
        <v>35</v>
      </c>
      <c r="O193" s="3">
        <v>47</v>
      </c>
      <c r="P193" t="str" s="8" cm="1">
        <f t="array" ref="P193">IF(O193="","check","Okay")</f>
        <v>Okay</v>
      </c>
      <c r="Q193" t="str" s="8" cm="1">
        <f t="array" ref="Q193">IF(O193&lt;30,"UNDER 30",IF(O193&lt;=50,"30-50","Over 50"))</f>
        <v>30-50</v>
      </c>
      <c r="R193" t="s" s="2">
        <v>20</v>
      </c>
      <c r="S193" s="3" cm="1">
        <f t="array" ref="S193">COUNTIF(A2:A1001,A193)</f>
        <v>1</v>
      </c>
      <c r="T193" t="str" s="8" cm="1">
        <f t="array" ref="T193">IF(ISNUMBER(F193),"Ok","check")</f>
        <v>Ok</v>
      </c>
      <c r="U193" t="str" s="8" cm="1">
        <f t="array" ref="U193">IF(ISNUMBER(O193),"ok","check")</f>
        <v>ok</v>
      </c>
    </row>
    <row r="194" ht="13.55" customHeight="1">
      <c r="A194" s="3">
        <v>21714</v>
      </c>
      <c r="B194" t="s" s="2">
        <v>25</v>
      </c>
      <c r="C194" t="str" s="8" cm="1">
        <f t="array" ref="C194">IF(B194="M","Married","Single")</f>
        <v>Single</v>
      </c>
      <c r="D194" t="s" s="2">
        <v>14</v>
      </c>
      <c r="E194" t="str" s="8" cm="1">
        <f t="array" ref="E194">IF(D194="M","Male",IF(D194="F","Female","Check"))</f>
        <v>Female</v>
      </c>
      <c r="F194" s="4">
        <v>80000</v>
      </c>
      <c r="G194" t="str" s="8" cm="1">
        <f t="array" ref="G194">IF(F194="","Check","okay")</f>
        <v>okay</v>
      </c>
      <c r="H194" s="3">
        <v>5</v>
      </c>
      <c r="I194" t="s" s="2">
        <v>34</v>
      </c>
      <c r="J194" t="s" s="2">
        <v>16</v>
      </c>
      <c r="K194" t="s" s="2">
        <v>20</v>
      </c>
      <c r="L194" s="3">
        <v>0</v>
      </c>
      <c r="M194" t="s" s="2">
        <v>18</v>
      </c>
      <c r="N194" t="s" s="2">
        <v>35</v>
      </c>
      <c r="O194" s="3">
        <v>47</v>
      </c>
      <c r="P194" t="str" s="8" cm="1">
        <f t="array" ref="P194">IF(O194="","check","Okay")</f>
        <v>Okay</v>
      </c>
      <c r="Q194" t="str" s="8" cm="1">
        <f t="array" ref="Q194">IF(O194&lt;30,"UNDER 30",IF(O194&lt;=50,"30-50","Over 50"))</f>
        <v>30-50</v>
      </c>
      <c r="R194" t="s" s="2">
        <v>20</v>
      </c>
      <c r="S194" s="3" cm="1">
        <f t="array" ref="S194">COUNTIF(A2:A1001,A194)</f>
        <v>1</v>
      </c>
      <c r="T194" t="str" s="8" cm="1">
        <f t="array" ref="T194">IF(ISNUMBER(F194),"Ok","check")</f>
        <v>Ok</v>
      </c>
      <c r="U194" t="str" s="8" cm="1">
        <f t="array" ref="U194">IF(ISNUMBER(O194),"ok","check")</f>
        <v>ok</v>
      </c>
    </row>
    <row r="195" ht="13.55" customHeight="1">
      <c r="A195" s="3">
        <v>13749</v>
      </c>
      <c r="B195" t="s" s="2">
        <v>13</v>
      </c>
      <c r="C195" t="str" s="8" cm="1">
        <f t="array" ref="C195">IF(B195="M","Married","Single")</f>
        <v>Married</v>
      </c>
      <c r="D195" t="s" s="2">
        <v>13</v>
      </c>
      <c r="E195" t="str" s="8" cm="1">
        <f t="array" ref="E195">IF(D195="M","Male",IF(D195="F","Female","Check"))</f>
        <v>Male</v>
      </c>
      <c r="F195" s="4">
        <v>80000</v>
      </c>
      <c r="G195" t="str" s="8" cm="1">
        <f t="array" ref="G195">IF(F195="","Check","okay")</f>
        <v>okay</v>
      </c>
      <c r="H195" s="3">
        <v>4</v>
      </c>
      <c r="I195" t="s" s="2">
        <v>34</v>
      </c>
      <c r="J195" t="s" s="2">
        <v>16</v>
      </c>
      <c r="K195" t="s" s="2">
        <v>17</v>
      </c>
      <c r="L195" s="3">
        <v>0</v>
      </c>
      <c r="M195" t="s" s="2">
        <v>29</v>
      </c>
      <c r="N195" t="s" s="2">
        <v>35</v>
      </c>
      <c r="O195" s="3">
        <v>47</v>
      </c>
      <c r="P195" t="str" s="8" cm="1">
        <f t="array" ref="P195">IF(O195="","check","Okay")</f>
        <v>Okay</v>
      </c>
      <c r="Q195" t="str" s="8" cm="1">
        <f t="array" ref="Q195">IF(O195&lt;30,"UNDER 30",IF(O195&lt;=50,"30-50","Over 50"))</f>
        <v>30-50</v>
      </c>
      <c r="R195" t="s" s="2">
        <v>20</v>
      </c>
      <c r="S195" s="3" cm="1">
        <f t="array" ref="S195">COUNTIF(A2:A1001,A195)</f>
        <v>1</v>
      </c>
      <c r="T195" t="str" s="8" cm="1">
        <f t="array" ref="T195">IF(ISNUMBER(F195),"Ok","check")</f>
        <v>Ok</v>
      </c>
      <c r="U195" t="str" s="8" cm="1">
        <f t="array" ref="U195">IF(ISNUMBER(O195),"ok","check")</f>
        <v>ok</v>
      </c>
    </row>
    <row r="196" ht="13.55" customHeight="1">
      <c r="A196" s="3">
        <v>14657</v>
      </c>
      <c r="B196" t="s" s="2">
        <v>13</v>
      </c>
      <c r="C196" t="str" s="8" cm="1">
        <f t="array" ref="C196">IF(B196="M","Married","Single")</f>
        <v>Married</v>
      </c>
      <c r="D196" t="s" s="2">
        <v>13</v>
      </c>
      <c r="E196" t="str" s="8" cm="1">
        <f t="array" ref="E196">IF(D196="M","Male",IF(D196="F","Female","Check"))</f>
        <v>Male</v>
      </c>
      <c r="F196" s="4">
        <v>80000</v>
      </c>
      <c r="G196" t="str" s="8" cm="1">
        <f t="array" ref="G196">IF(F196="","Check","okay")</f>
        <v>okay</v>
      </c>
      <c r="H196" s="3">
        <v>1</v>
      </c>
      <c r="I196" t="s" s="2">
        <v>21</v>
      </c>
      <c r="J196" t="s" s="2">
        <v>16</v>
      </c>
      <c r="K196" t="s" s="2">
        <v>20</v>
      </c>
      <c r="L196" s="3">
        <v>1</v>
      </c>
      <c r="M196" t="s" s="2">
        <v>18</v>
      </c>
      <c r="N196" t="s" s="2">
        <v>35</v>
      </c>
      <c r="O196" s="3">
        <v>47</v>
      </c>
      <c r="P196" t="str" s="8" cm="1">
        <f t="array" ref="P196">IF(O196="","check","Okay")</f>
        <v>Okay</v>
      </c>
      <c r="Q196" t="str" s="8" cm="1">
        <f t="array" ref="Q196">IF(O196&lt;30,"UNDER 30",IF(O196&lt;=50,"30-50","Over 50"))</f>
        <v>30-50</v>
      </c>
      <c r="R196" t="s" s="2">
        <v>17</v>
      </c>
      <c r="S196" s="3" cm="1">
        <f t="array" ref="S196">COUNTIF(A2:A1001,A196)</f>
        <v>1</v>
      </c>
      <c r="T196" t="str" s="8" cm="1">
        <f t="array" ref="T196">IF(ISNUMBER(F196),"Ok","check")</f>
        <v>Ok</v>
      </c>
      <c r="U196" t="str" s="8" cm="1">
        <f t="array" ref="U196">IF(ISNUMBER(O196),"ok","check")</f>
        <v>ok</v>
      </c>
    </row>
    <row r="197" ht="13.55" customHeight="1">
      <c r="A197" s="3">
        <v>18740</v>
      </c>
      <c r="B197" t="s" s="2">
        <v>13</v>
      </c>
      <c r="C197" t="str" s="8" cm="1">
        <f t="array" ref="C197">IF(B197="M","Married","Single")</f>
        <v>Married</v>
      </c>
      <c r="D197" t="s" s="2">
        <v>13</v>
      </c>
      <c r="E197" t="str" s="8" cm="1">
        <f t="array" ref="E197">IF(D197="M","Male",IF(D197="F","Female","Check"))</f>
        <v>Male</v>
      </c>
      <c r="F197" s="4">
        <v>80000</v>
      </c>
      <c r="G197" t="str" s="8" cm="1">
        <f t="array" ref="G197">IF(F197="","Check","okay")</f>
        <v>okay</v>
      </c>
      <c r="H197" s="3">
        <v>5</v>
      </c>
      <c r="I197" t="s" s="2">
        <v>15</v>
      </c>
      <c r="J197" t="s" s="2">
        <v>23</v>
      </c>
      <c r="K197" t="s" s="2">
        <v>20</v>
      </c>
      <c r="L197" s="3">
        <v>1</v>
      </c>
      <c r="M197" t="s" s="2">
        <v>18</v>
      </c>
      <c r="N197" t="s" s="2">
        <v>27</v>
      </c>
      <c r="O197" s="3">
        <v>47</v>
      </c>
      <c r="P197" t="str" s="8" cm="1">
        <f t="array" ref="P197">IF(O197="","check","Okay")</f>
        <v>Okay</v>
      </c>
      <c r="Q197" t="str" s="8" cm="1">
        <f t="array" ref="Q197">IF(O197&lt;30,"UNDER 30",IF(O197&lt;=50,"30-50","Over 50"))</f>
        <v>30-50</v>
      </c>
      <c r="R197" t="s" s="2">
        <v>17</v>
      </c>
      <c r="S197" s="3" cm="1">
        <f t="array" ref="S197">COUNTIF(A2:A1001,A197)</f>
        <v>1</v>
      </c>
      <c r="T197" t="str" s="8" cm="1">
        <f t="array" ref="T197">IF(ISNUMBER(F197),"Ok","check")</f>
        <v>Ok</v>
      </c>
      <c r="U197" t="str" s="8" cm="1">
        <f t="array" ref="U197">IF(ISNUMBER(O197),"ok","check")</f>
        <v>ok</v>
      </c>
    </row>
    <row r="198" ht="13.55" customHeight="1">
      <c r="A198" s="3">
        <v>21713</v>
      </c>
      <c r="B198" t="s" s="2">
        <v>25</v>
      </c>
      <c r="C198" t="str" s="8" cm="1">
        <f t="array" ref="C198">IF(B198="M","Married","Single")</f>
        <v>Single</v>
      </c>
      <c r="D198" t="s" s="2">
        <v>13</v>
      </c>
      <c r="E198" t="str" s="8" cm="1">
        <f t="array" ref="E198">IF(D198="M","Male",IF(D198="F","Female","Check"))</f>
        <v>Male</v>
      </c>
      <c r="F198" s="4">
        <v>80000</v>
      </c>
      <c r="G198" t="str" s="8" cm="1">
        <f t="array" ref="G198">IF(F198="","Check","okay")</f>
        <v>okay</v>
      </c>
      <c r="H198" s="3">
        <v>5</v>
      </c>
      <c r="I198" t="s" s="2">
        <v>34</v>
      </c>
      <c r="J198" t="s" s="2">
        <v>16</v>
      </c>
      <c r="K198" t="s" s="2">
        <v>20</v>
      </c>
      <c r="L198" s="3">
        <v>0</v>
      </c>
      <c r="M198" t="s" s="2">
        <v>18</v>
      </c>
      <c r="N198" t="s" s="2">
        <v>35</v>
      </c>
      <c r="O198" s="3">
        <v>47</v>
      </c>
      <c r="P198" t="str" s="8" cm="1">
        <f t="array" ref="P198">IF(O198="","check","Okay")</f>
        <v>Okay</v>
      </c>
      <c r="Q198" t="str" s="8" cm="1">
        <f t="array" ref="Q198">IF(O198&lt;30,"UNDER 30",IF(O198&lt;=50,"30-50","Over 50"))</f>
        <v>30-50</v>
      </c>
      <c r="R198" t="s" s="2">
        <v>20</v>
      </c>
      <c r="S198" s="3" cm="1">
        <f t="array" ref="S198">COUNTIF(A2:A1001,A198)</f>
        <v>1</v>
      </c>
      <c r="T198" t="str" s="8" cm="1">
        <f t="array" ref="T198">IF(ISNUMBER(F198),"Ok","check")</f>
        <v>Ok</v>
      </c>
      <c r="U198" t="str" s="8" cm="1">
        <f t="array" ref="U198">IF(ISNUMBER(O198),"ok","check")</f>
        <v>ok</v>
      </c>
    </row>
    <row r="199" ht="13.55" customHeight="1">
      <c r="A199" s="3">
        <v>13754</v>
      </c>
      <c r="B199" t="s" s="2">
        <v>25</v>
      </c>
      <c r="C199" t="str" s="8" cm="1">
        <f t="array" ref="C199">IF(B199="M","Married","Single")</f>
        <v>Single</v>
      </c>
      <c r="D199" t="s" s="2">
        <v>14</v>
      </c>
      <c r="E199" t="str" s="8" cm="1">
        <f t="array" ref="E199">IF(D199="M","Male",IF(D199="F","Female","Check"))</f>
        <v>Female</v>
      </c>
      <c r="F199" s="4">
        <v>80000</v>
      </c>
      <c r="G199" t="str" s="8" cm="1">
        <f t="array" ref="G199">IF(F199="","Check","okay")</f>
        <v>okay</v>
      </c>
      <c r="H199" s="3">
        <v>4</v>
      </c>
      <c r="I199" t="s" s="2">
        <v>34</v>
      </c>
      <c r="J199" t="s" s="2">
        <v>16</v>
      </c>
      <c r="K199" t="s" s="2">
        <v>17</v>
      </c>
      <c r="L199" s="3">
        <v>0</v>
      </c>
      <c r="M199" t="s" s="2">
        <v>29</v>
      </c>
      <c r="N199" t="s" s="2">
        <v>35</v>
      </c>
      <c r="O199" s="3">
        <v>48</v>
      </c>
      <c r="P199" t="str" s="8" cm="1">
        <f t="array" ref="P199">IF(O199="","check","Okay")</f>
        <v>Okay</v>
      </c>
      <c r="Q199" t="str" s="8" cm="1">
        <f t="array" ref="Q199">IF(O199&lt;30,"UNDER 30",IF(O199&lt;=50,"30-50","Over 50"))</f>
        <v>30-50</v>
      </c>
      <c r="R199" t="s" s="2">
        <v>20</v>
      </c>
      <c r="S199" s="3" cm="1">
        <f t="array" ref="S199">COUNTIF(A2:A1001,A199)</f>
        <v>1</v>
      </c>
      <c r="T199" t="str" s="8" cm="1">
        <f t="array" ref="T199">IF(ISNUMBER(F199),"Ok","check")</f>
        <v>Ok</v>
      </c>
      <c r="U199" t="str" s="8" cm="1">
        <f t="array" ref="U199">IF(ISNUMBER(O199),"ok","check")</f>
        <v>ok</v>
      </c>
    </row>
    <row r="200" ht="13.55" customHeight="1">
      <c r="A200" s="3">
        <v>18674</v>
      </c>
      <c r="B200" t="s" s="2">
        <v>25</v>
      </c>
      <c r="C200" t="str" s="8" cm="1">
        <f t="array" ref="C200">IF(B200="M","Married","Single")</f>
        <v>Single</v>
      </c>
      <c r="D200" t="s" s="2">
        <v>14</v>
      </c>
      <c r="E200" t="str" s="8" cm="1">
        <f t="array" ref="E200">IF(D200="M","Male",IF(D200="F","Female","Check"))</f>
        <v>Female</v>
      </c>
      <c r="F200" s="4">
        <v>80000</v>
      </c>
      <c r="G200" t="str" s="8" cm="1">
        <f t="array" ref="G200">IF(F200="","Check","okay")</f>
        <v>okay</v>
      </c>
      <c r="H200" s="3">
        <v>4</v>
      </c>
      <c r="I200" t="s" s="2">
        <v>34</v>
      </c>
      <c r="J200" t="s" s="2">
        <v>16</v>
      </c>
      <c r="K200" t="s" s="2">
        <v>20</v>
      </c>
      <c r="L200" s="3">
        <v>0</v>
      </c>
      <c r="M200" t="s" s="2">
        <v>18</v>
      </c>
      <c r="N200" t="s" s="2">
        <v>35</v>
      </c>
      <c r="O200" s="3">
        <v>48</v>
      </c>
      <c r="P200" t="str" s="8" cm="1">
        <f t="array" ref="P200">IF(O200="","check","Okay")</f>
        <v>Okay</v>
      </c>
      <c r="Q200" t="str" s="8" cm="1">
        <f t="array" ref="Q200">IF(O200&lt;30,"UNDER 30",IF(O200&lt;=50,"30-50","Over 50"))</f>
        <v>30-50</v>
      </c>
      <c r="R200" t="s" s="2">
        <v>20</v>
      </c>
      <c r="S200" s="3" cm="1">
        <f t="array" ref="S200">COUNTIF(A2:A1001,A200)</f>
        <v>1</v>
      </c>
      <c r="T200" t="str" s="8" cm="1">
        <f t="array" ref="T200">IF(ISNUMBER(F200),"Ok","check")</f>
        <v>Ok</v>
      </c>
      <c r="U200" t="str" s="8" cm="1">
        <f t="array" ref="U200">IF(ISNUMBER(O200),"ok","check")</f>
        <v>ok</v>
      </c>
    </row>
    <row r="201" ht="13.55" customHeight="1">
      <c r="A201" s="3">
        <v>24357</v>
      </c>
      <c r="B201" t="s" s="2">
        <v>13</v>
      </c>
      <c r="C201" t="str" s="8" cm="1">
        <f t="array" ref="C201">IF(B201="M","Married","Single")</f>
        <v>Married</v>
      </c>
      <c r="D201" t="s" s="2">
        <v>13</v>
      </c>
      <c r="E201" t="str" s="8" cm="1">
        <f t="array" ref="E201">IF(D201="M","Male",IF(D201="F","Female","Check"))</f>
        <v>Male</v>
      </c>
      <c r="F201" s="4">
        <v>80000</v>
      </c>
      <c r="G201" t="str" s="8" cm="1">
        <f t="array" ref="G201">IF(F201="","Check","okay")</f>
        <v>okay</v>
      </c>
      <c r="H201" s="3">
        <v>3</v>
      </c>
      <c r="I201" t="s" s="2">
        <v>15</v>
      </c>
      <c r="J201" t="s" s="2">
        <v>23</v>
      </c>
      <c r="K201" t="s" s="2">
        <v>17</v>
      </c>
      <c r="L201" s="3">
        <v>1</v>
      </c>
      <c r="M201" t="s" s="2">
        <v>24</v>
      </c>
      <c r="N201" t="s" s="2">
        <v>35</v>
      </c>
      <c r="O201" s="3">
        <v>48</v>
      </c>
      <c r="P201" t="str" s="8" cm="1">
        <f t="array" ref="P201">IF(O201="","check","Okay")</f>
        <v>Okay</v>
      </c>
      <c r="Q201" t="str" s="8" cm="1">
        <f t="array" ref="Q201">IF(O201&lt;30,"UNDER 30",IF(O201&lt;=50,"30-50","Over 50"))</f>
        <v>30-50</v>
      </c>
      <c r="R201" t="s" s="2">
        <v>17</v>
      </c>
      <c r="S201" s="3" cm="1">
        <f t="array" ref="S201">COUNTIF(A2:A1001,A201)</f>
        <v>1</v>
      </c>
      <c r="T201" t="str" s="8" cm="1">
        <f t="array" ref="T201">IF(ISNUMBER(F201),"Ok","check")</f>
        <v>Ok</v>
      </c>
      <c r="U201" t="str" s="8" cm="1">
        <f t="array" ref="U201">IF(ISNUMBER(O201),"ok","check")</f>
        <v>ok</v>
      </c>
    </row>
    <row r="202" ht="13.55" customHeight="1">
      <c r="A202" s="3">
        <v>26012</v>
      </c>
      <c r="B202" t="s" s="2">
        <v>13</v>
      </c>
      <c r="C202" t="str" s="8" cm="1">
        <f t="array" ref="C202">IF(B202="M","Married","Single")</f>
        <v>Married</v>
      </c>
      <c r="D202" t="s" s="2">
        <v>13</v>
      </c>
      <c r="E202" t="str" s="8" cm="1">
        <f t="array" ref="E202">IF(D202="M","Male",IF(D202="F","Female","Check"))</f>
        <v>Male</v>
      </c>
      <c r="F202" s="4">
        <v>80000</v>
      </c>
      <c r="G202" t="str" s="8" cm="1">
        <f t="array" ref="G202">IF(F202="","Check","okay")</f>
        <v>okay</v>
      </c>
      <c r="H202" s="3">
        <v>1</v>
      </c>
      <c r="I202" t="s" s="2">
        <v>21</v>
      </c>
      <c r="J202" t="s" s="2">
        <v>16</v>
      </c>
      <c r="K202" t="s" s="2">
        <v>17</v>
      </c>
      <c r="L202" s="3">
        <v>1</v>
      </c>
      <c r="M202" t="s" s="2">
        <v>24</v>
      </c>
      <c r="N202" t="s" s="2">
        <v>35</v>
      </c>
      <c r="O202" s="3">
        <v>48</v>
      </c>
      <c r="P202" t="str" s="8" cm="1">
        <f t="array" ref="P202">IF(O202="","check","Okay")</f>
        <v>Okay</v>
      </c>
      <c r="Q202" t="str" s="8" cm="1">
        <f t="array" ref="Q202">IF(O202&lt;30,"UNDER 30",IF(O202&lt;=50,"30-50","Over 50"))</f>
        <v>30-50</v>
      </c>
      <c r="R202" t="s" s="2">
        <v>17</v>
      </c>
      <c r="S202" s="3" cm="1">
        <f t="array" ref="S202">COUNTIF(A2:A1001,A202)</f>
        <v>1</v>
      </c>
      <c r="T202" t="str" s="8" cm="1">
        <f t="array" ref="T202">IF(ISNUMBER(F202),"Ok","check")</f>
        <v>Ok</v>
      </c>
      <c r="U202" t="str" s="8" cm="1">
        <f t="array" ref="U202">IF(ISNUMBER(O202),"ok","check")</f>
        <v>ok</v>
      </c>
    </row>
    <row r="203" ht="13.55" customHeight="1">
      <c r="A203" s="3">
        <v>26678</v>
      </c>
      <c r="B203" t="s" s="2">
        <v>25</v>
      </c>
      <c r="C203" t="str" s="8" cm="1">
        <f t="array" ref="C203">IF(B203="M","Married","Single")</f>
        <v>Single</v>
      </c>
      <c r="D203" t="s" s="2">
        <v>14</v>
      </c>
      <c r="E203" t="str" s="8" cm="1">
        <f t="array" ref="E203">IF(D203="M","Male",IF(D203="F","Female","Check"))</f>
        <v>Female</v>
      </c>
      <c r="F203" s="4">
        <v>80000</v>
      </c>
      <c r="G203" t="str" s="8" cm="1">
        <f t="array" ref="G203">IF(F203="","Check","okay")</f>
        <v>okay</v>
      </c>
      <c r="H203" s="3">
        <v>2</v>
      </c>
      <c r="I203" t="s" s="2">
        <v>32</v>
      </c>
      <c r="J203" t="s" s="2">
        <v>16</v>
      </c>
      <c r="K203" t="s" s="2">
        <v>17</v>
      </c>
      <c r="L203" s="3">
        <v>2</v>
      </c>
      <c r="M203" t="s" s="2">
        <v>26</v>
      </c>
      <c r="N203" t="s" s="2">
        <v>35</v>
      </c>
      <c r="O203" s="3">
        <v>49</v>
      </c>
      <c r="P203" t="str" s="8" cm="1">
        <f t="array" ref="P203">IF(O203="","check","Okay")</f>
        <v>Okay</v>
      </c>
      <c r="Q203" t="str" s="8" cm="1">
        <f t="array" ref="Q203">IF(O203&lt;30,"UNDER 30",IF(O203&lt;=50,"30-50","Over 50"))</f>
        <v>30-50</v>
      </c>
      <c r="R203" t="s" s="2">
        <v>20</v>
      </c>
      <c r="S203" s="3" cm="1">
        <f t="array" ref="S203">COUNTIF(A2:A1001,A203)</f>
        <v>1</v>
      </c>
      <c r="T203" t="str" s="8" cm="1">
        <f t="array" ref="T203">IF(ISNUMBER(F203),"Ok","check")</f>
        <v>Ok</v>
      </c>
      <c r="U203" t="str" s="8" cm="1">
        <f t="array" ref="U203">IF(ISNUMBER(O203),"ok","check")</f>
        <v>ok</v>
      </c>
    </row>
    <row r="204" ht="13.55" customHeight="1">
      <c r="A204" s="3">
        <v>13283</v>
      </c>
      <c r="B204" t="s" s="2">
        <v>13</v>
      </c>
      <c r="C204" t="str" s="8" cm="1">
        <f t="array" ref="C204">IF(B204="M","Married","Single")</f>
        <v>Married</v>
      </c>
      <c r="D204" t="s" s="2">
        <v>13</v>
      </c>
      <c r="E204" t="str" s="8" cm="1">
        <f t="array" ref="E204">IF(D204="M","Male",IF(D204="F","Female","Check"))</f>
        <v>Male</v>
      </c>
      <c r="F204" s="4">
        <v>80000</v>
      </c>
      <c r="G204" t="str" s="8" cm="1">
        <f t="array" ref="G204">IF(F204="","Check","okay")</f>
        <v>okay</v>
      </c>
      <c r="H204" s="3">
        <v>3</v>
      </c>
      <c r="I204" t="s" s="2">
        <v>21</v>
      </c>
      <c r="J204" t="s" s="2">
        <v>23</v>
      </c>
      <c r="K204" t="s" s="2">
        <v>20</v>
      </c>
      <c r="L204" s="3">
        <v>2</v>
      </c>
      <c r="M204" t="s" s="2">
        <v>18</v>
      </c>
      <c r="N204" t="s" s="2">
        <v>35</v>
      </c>
      <c r="O204" s="3">
        <v>49</v>
      </c>
      <c r="P204" t="str" s="8" cm="1">
        <f t="array" ref="P204">IF(O204="","check","Okay")</f>
        <v>Okay</v>
      </c>
      <c r="Q204" t="str" s="8" cm="1">
        <f t="array" ref="Q204">IF(O204&lt;30,"UNDER 30",IF(O204&lt;=50,"30-50","Over 50"))</f>
        <v>30-50</v>
      </c>
      <c r="R204" t="s" s="2">
        <v>17</v>
      </c>
      <c r="S204" s="3" cm="1">
        <f t="array" ref="S204">COUNTIF(A2:A1001,A204)</f>
        <v>1</v>
      </c>
      <c r="T204" t="str" s="8" cm="1">
        <f t="array" ref="T204">IF(ISNUMBER(F204),"Ok","check")</f>
        <v>Ok</v>
      </c>
      <c r="U204" t="str" s="8" cm="1">
        <f t="array" ref="U204">IF(ISNUMBER(O204),"ok","check")</f>
        <v>ok</v>
      </c>
    </row>
    <row r="205" ht="13.55" customHeight="1">
      <c r="A205" s="3">
        <v>19784</v>
      </c>
      <c r="B205" t="s" s="2">
        <v>13</v>
      </c>
      <c r="C205" t="str" s="8" cm="1">
        <f t="array" ref="C205">IF(B205="M","Married","Single")</f>
        <v>Married</v>
      </c>
      <c r="D205" t="s" s="2">
        <v>14</v>
      </c>
      <c r="E205" t="str" s="8" cm="1">
        <f t="array" ref="E205">IF(D205="M","Male",IF(D205="F","Female","Check"))</f>
        <v>Female</v>
      </c>
      <c r="F205" s="4">
        <v>80000</v>
      </c>
      <c r="G205" t="str" s="8" cm="1">
        <f t="array" ref="G205">IF(F205="","Check","okay")</f>
        <v>okay</v>
      </c>
      <c r="H205" s="3">
        <v>2</v>
      </c>
      <c r="I205" t="s" s="2">
        <v>30</v>
      </c>
      <c r="J205" t="s" s="2">
        <v>16</v>
      </c>
      <c r="K205" t="s" s="2">
        <v>17</v>
      </c>
      <c r="L205" s="3">
        <v>2</v>
      </c>
      <c r="M205" t="s" s="2">
        <v>26</v>
      </c>
      <c r="N205" t="s" s="2">
        <v>27</v>
      </c>
      <c r="O205" s="3">
        <v>50</v>
      </c>
      <c r="P205" t="str" s="8" cm="1">
        <f t="array" ref="P205">IF(O205="","check","Okay")</f>
        <v>Okay</v>
      </c>
      <c r="Q205" t="str" s="8" cm="1">
        <f t="array" ref="Q205">IF(O205&lt;30,"UNDER 30",IF(O205&lt;=50,"30-50","Over 50"))</f>
        <v>30-50</v>
      </c>
      <c r="R205" t="s" s="2">
        <v>17</v>
      </c>
      <c r="S205" s="3" cm="1">
        <f t="array" ref="S205">COUNTIF(A2:A1001,A205)</f>
        <v>1</v>
      </c>
      <c r="T205" t="str" s="8" cm="1">
        <f t="array" ref="T205">IF(ISNUMBER(F205),"Ok","check")</f>
        <v>Ok</v>
      </c>
      <c r="U205" t="str" s="8" cm="1">
        <f t="array" ref="U205">IF(ISNUMBER(O205),"ok","check")</f>
        <v>ok</v>
      </c>
    </row>
    <row r="206" ht="13.55" customHeight="1">
      <c r="A206" s="3">
        <v>28228</v>
      </c>
      <c r="B206" t="s" s="2">
        <v>25</v>
      </c>
      <c r="C206" t="str" s="8" cm="1">
        <f t="array" ref="C206">IF(B206="M","Married","Single")</f>
        <v>Single</v>
      </c>
      <c r="D206" t="s" s="2">
        <v>14</v>
      </c>
      <c r="E206" t="str" s="8" cm="1">
        <f t="array" ref="E206">IF(D206="M","Male",IF(D206="F","Female","Check"))</f>
        <v>Female</v>
      </c>
      <c r="F206" s="4">
        <v>80000</v>
      </c>
      <c r="G206" t="str" s="8" cm="1">
        <f t="array" ref="G206">IF(F206="","Check","okay")</f>
        <v>okay</v>
      </c>
      <c r="H206" s="3">
        <v>2</v>
      </c>
      <c r="I206" t="s" s="2">
        <v>32</v>
      </c>
      <c r="J206" t="s" s="2">
        <v>16</v>
      </c>
      <c r="K206" t="s" s="2">
        <v>20</v>
      </c>
      <c r="L206" s="3">
        <v>2</v>
      </c>
      <c r="M206" t="s" s="2">
        <v>29</v>
      </c>
      <c r="N206" t="s" s="2">
        <v>35</v>
      </c>
      <c r="O206" s="3">
        <v>50</v>
      </c>
      <c r="P206" t="str" s="8" cm="1">
        <f t="array" ref="P206">IF(O206="","check","Okay")</f>
        <v>Okay</v>
      </c>
      <c r="Q206" t="str" s="8" cm="1">
        <f t="array" ref="Q206">IF(O206&lt;30,"UNDER 30",IF(O206&lt;=50,"30-50","Over 50"))</f>
        <v>30-50</v>
      </c>
      <c r="R206" t="s" s="2">
        <v>20</v>
      </c>
      <c r="S206" s="3" cm="1">
        <f t="array" ref="S206">COUNTIF(A2:A1001,A206)</f>
        <v>1</v>
      </c>
      <c r="T206" t="str" s="8" cm="1">
        <f t="array" ref="T206">IF(ISNUMBER(F206),"Ok","check")</f>
        <v>Ok</v>
      </c>
      <c r="U206" t="str" s="8" cm="1">
        <f t="array" ref="U206">IF(ISNUMBER(O206),"ok","check")</f>
        <v>ok</v>
      </c>
    </row>
    <row r="207" ht="13.55" customHeight="1">
      <c r="A207" s="3">
        <v>15372</v>
      </c>
      <c r="B207" t="s" s="2">
        <v>13</v>
      </c>
      <c r="C207" t="str" s="8" cm="1">
        <f t="array" ref="C207">IF(B207="M","Married","Single")</f>
        <v>Married</v>
      </c>
      <c r="D207" t="s" s="2">
        <v>13</v>
      </c>
      <c r="E207" t="str" s="8" cm="1">
        <f t="array" ref="E207">IF(D207="M","Male",IF(D207="F","Female","Check"))</f>
        <v>Male</v>
      </c>
      <c r="F207" s="4">
        <v>80000</v>
      </c>
      <c r="G207" t="str" s="8" cm="1">
        <f t="array" ref="G207">IF(F207="","Check","okay")</f>
        <v>okay</v>
      </c>
      <c r="H207" s="3">
        <v>3</v>
      </c>
      <c r="I207" t="s" s="2">
        <v>21</v>
      </c>
      <c r="J207" t="s" s="2">
        <v>23</v>
      </c>
      <c r="K207" t="s" s="2">
        <v>20</v>
      </c>
      <c r="L207" s="3">
        <v>2</v>
      </c>
      <c r="M207" t="s" s="2">
        <v>24</v>
      </c>
      <c r="N207" t="s" s="2">
        <v>35</v>
      </c>
      <c r="O207" s="3">
        <v>50</v>
      </c>
      <c r="P207" t="str" s="8" cm="1">
        <f t="array" ref="P207">IF(O207="","check","Okay")</f>
        <v>Okay</v>
      </c>
      <c r="Q207" t="str" s="8" cm="1">
        <f t="array" ref="Q207">IF(O207&lt;30,"UNDER 30",IF(O207&lt;=50,"30-50","Over 50"))</f>
        <v>30-50</v>
      </c>
      <c r="R207" t="s" s="2">
        <v>17</v>
      </c>
      <c r="S207" s="3" cm="1">
        <f t="array" ref="S207">COUNTIF(A2:A1001,A207)</f>
        <v>1</v>
      </c>
      <c r="T207" t="str" s="8" cm="1">
        <f t="array" ref="T207">IF(ISNUMBER(F207),"Ok","check")</f>
        <v>Ok</v>
      </c>
      <c r="U207" t="str" s="8" cm="1">
        <f t="array" ref="U207">IF(ISNUMBER(O207),"ok","check")</f>
        <v>ok</v>
      </c>
    </row>
    <row r="208" ht="13.55" customHeight="1">
      <c r="A208" s="3">
        <v>15752</v>
      </c>
      <c r="B208" t="s" s="2">
        <v>13</v>
      </c>
      <c r="C208" t="str" s="8" cm="1">
        <f t="array" ref="C208">IF(B208="M","Married","Single")</f>
        <v>Married</v>
      </c>
      <c r="D208" t="s" s="2">
        <v>13</v>
      </c>
      <c r="E208" t="str" s="8" cm="1">
        <f t="array" ref="E208">IF(D208="M","Male",IF(D208="F","Female","Check"))</f>
        <v>Male</v>
      </c>
      <c r="F208" s="4">
        <v>80000</v>
      </c>
      <c r="G208" t="str" s="8" cm="1">
        <f t="array" ref="G208">IF(F208="","Check","okay")</f>
        <v>okay</v>
      </c>
      <c r="H208" s="3">
        <v>2</v>
      </c>
      <c r="I208" t="s" s="2">
        <v>30</v>
      </c>
      <c r="J208" t="s" s="2">
        <v>16</v>
      </c>
      <c r="K208" t="s" s="2">
        <v>20</v>
      </c>
      <c r="L208" s="3">
        <v>2</v>
      </c>
      <c r="M208" t="s" s="2">
        <v>29</v>
      </c>
      <c r="N208" t="s" s="2">
        <v>27</v>
      </c>
      <c r="O208" s="3">
        <v>50</v>
      </c>
      <c r="P208" t="str" s="8" cm="1">
        <f t="array" ref="P208">IF(O208="","check","Okay")</f>
        <v>Okay</v>
      </c>
      <c r="Q208" t="str" s="8" cm="1">
        <f t="array" ref="Q208">IF(O208&lt;30,"UNDER 30",IF(O208&lt;=50,"30-50","Over 50"))</f>
        <v>30-50</v>
      </c>
      <c r="R208" t="s" s="2">
        <v>17</v>
      </c>
      <c r="S208" s="3" cm="1">
        <f t="array" ref="S208">COUNTIF(A2:A1001,A208)</f>
        <v>1</v>
      </c>
      <c r="T208" t="str" s="8" cm="1">
        <f t="array" ref="T208">IF(ISNUMBER(F208),"Ok","check")</f>
        <v>Ok</v>
      </c>
      <c r="U208" t="str" s="8" cm="1">
        <f t="array" ref="U208">IF(ISNUMBER(O208),"ok","check")</f>
        <v>ok</v>
      </c>
    </row>
    <row r="209" ht="13.55" customHeight="1">
      <c r="A209" s="3">
        <v>18484</v>
      </c>
      <c r="B209" t="s" s="2">
        <v>25</v>
      </c>
      <c r="C209" t="str" s="8" cm="1">
        <f t="array" ref="C209">IF(B209="M","Married","Single")</f>
        <v>Single</v>
      </c>
      <c r="D209" t="s" s="2">
        <v>13</v>
      </c>
      <c r="E209" t="str" s="8" cm="1">
        <f t="array" ref="E209">IF(D209="M","Male",IF(D209="F","Female","Check"))</f>
        <v>Male</v>
      </c>
      <c r="F209" s="4">
        <v>80000</v>
      </c>
      <c r="G209" t="str" s="8" cm="1">
        <f t="array" ref="G209">IF(F209="","Check","okay")</f>
        <v>okay</v>
      </c>
      <c r="H209" s="3">
        <v>2</v>
      </c>
      <c r="I209" t="s" s="2">
        <v>30</v>
      </c>
      <c r="J209" t="s" s="2">
        <v>16</v>
      </c>
      <c r="K209" t="s" s="2">
        <v>20</v>
      </c>
      <c r="L209" s="3">
        <v>2</v>
      </c>
      <c r="M209" t="s" s="2">
        <v>29</v>
      </c>
      <c r="N209" t="s" s="2">
        <v>27</v>
      </c>
      <c r="O209" s="3">
        <v>50</v>
      </c>
      <c r="P209" t="str" s="8" cm="1">
        <f t="array" ref="P209">IF(O209="","check","Okay")</f>
        <v>Okay</v>
      </c>
      <c r="Q209" t="str" s="8" cm="1">
        <f t="array" ref="Q209">IF(O209&lt;30,"UNDER 30",IF(O209&lt;=50,"30-50","Over 50"))</f>
        <v>30-50</v>
      </c>
      <c r="R209" t="s" s="2">
        <v>17</v>
      </c>
      <c r="S209" s="3" cm="1">
        <f t="array" ref="S209">COUNTIF(A2:A1001,A209)</f>
        <v>1</v>
      </c>
      <c r="T209" t="str" s="8" cm="1">
        <f t="array" ref="T209">IF(ISNUMBER(F209),"Ok","check")</f>
        <v>Ok</v>
      </c>
      <c r="U209" t="str" s="8" cm="1">
        <f t="array" ref="U209">IF(ISNUMBER(O209),"ok","check")</f>
        <v>ok</v>
      </c>
    </row>
    <row r="210" ht="13.55" customHeight="1">
      <c r="A210" s="3">
        <v>22918</v>
      </c>
      <c r="B210" t="s" s="2">
        <v>25</v>
      </c>
      <c r="C210" t="str" s="8" cm="1">
        <f t="array" ref="C210">IF(B210="M","Married","Single")</f>
        <v>Single</v>
      </c>
      <c r="D210" t="s" s="2">
        <v>13</v>
      </c>
      <c r="E210" t="str" s="8" cm="1">
        <f t="array" ref="E210">IF(D210="M","Male",IF(D210="F","Female","Check"))</f>
        <v>Male</v>
      </c>
      <c r="F210" s="4">
        <v>80000</v>
      </c>
      <c r="G210" t="str" s="8" cm="1">
        <f t="array" ref="G210">IF(F210="","Check","okay")</f>
        <v>okay</v>
      </c>
      <c r="H210" s="3">
        <v>5</v>
      </c>
      <c r="I210" t="s" s="2">
        <v>34</v>
      </c>
      <c r="J210" t="s" s="2">
        <v>31</v>
      </c>
      <c r="K210" t="s" s="2">
        <v>17</v>
      </c>
      <c r="L210" s="3">
        <v>3</v>
      </c>
      <c r="M210" t="s" s="2">
        <v>18</v>
      </c>
      <c r="N210" t="s" s="2">
        <v>27</v>
      </c>
      <c r="O210" s="3">
        <v>50</v>
      </c>
      <c r="P210" t="str" s="8" cm="1">
        <f t="array" ref="P210">IF(O210="","check","Okay")</f>
        <v>Okay</v>
      </c>
      <c r="Q210" t="str" s="8" cm="1">
        <f t="array" ref="Q210">IF(O210&lt;30,"UNDER 30",IF(O210&lt;=50,"30-50","Over 50"))</f>
        <v>30-50</v>
      </c>
      <c r="R210" t="s" s="2">
        <v>20</v>
      </c>
      <c r="S210" s="3" cm="1">
        <f t="array" ref="S210">COUNTIF(A2:A1001,A210)</f>
        <v>1</v>
      </c>
      <c r="T210" t="str" s="8" cm="1">
        <f t="array" ref="T210">IF(ISNUMBER(F210),"Ok","check")</f>
        <v>Ok</v>
      </c>
      <c r="U210" t="str" s="8" cm="1">
        <f t="array" ref="U210">IF(ISNUMBER(O210),"ok","check")</f>
        <v>ok</v>
      </c>
    </row>
    <row r="211" ht="13.55" customHeight="1">
      <c r="A211" s="3">
        <v>23455</v>
      </c>
      <c r="B211" t="s" s="2">
        <v>25</v>
      </c>
      <c r="C211" t="str" s="8" cm="1">
        <f t="array" ref="C211">IF(B211="M","Married","Single")</f>
        <v>Single</v>
      </c>
      <c r="D211" t="s" s="2">
        <v>13</v>
      </c>
      <c r="E211" t="str" s="8" cm="1">
        <f t="array" ref="E211">IF(D211="M","Male",IF(D211="F","Female","Check"))</f>
        <v>Male</v>
      </c>
      <c r="F211" s="4">
        <v>80000</v>
      </c>
      <c r="G211" t="str" s="8" cm="1">
        <f t="array" ref="G211">IF(F211="","Check","okay")</f>
        <v>okay</v>
      </c>
      <c r="H211" s="3">
        <v>2</v>
      </c>
      <c r="I211" t="s" s="2">
        <v>32</v>
      </c>
      <c r="J211" t="s" s="2">
        <v>16</v>
      </c>
      <c r="K211" t="s" s="2">
        <v>20</v>
      </c>
      <c r="L211" s="3">
        <v>2</v>
      </c>
      <c r="M211" t="s" s="2">
        <v>29</v>
      </c>
      <c r="N211" t="s" s="2">
        <v>35</v>
      </c>
      <c r="O211" s="3">
        <v>50</v>
      </c>
      <c r="P211" t="str" s="8" cm="1">
        <f t="array" ref="P211">IF(O211="","check","Okay")</f>
        <v>Okay</v>
      </c>
      <c r="Q211" t="str" s="8" cm="1">
        <f t="array" ref="Q211">IF(O211&lt;30,"UNDER 30",IF(O211&lt;=50,"30-50","Over 50"))</f>
        <v>30-50</v>
      </c>
      <c r="R211" t="s" s="2">
        <v>20</v>
      </c>
      <c r="S211" s="3" cm="1">
        <f t="array" ref="S211">COUNTIF(A2:A1001,A211)</f>
        <v>1</v>
      </c>
      <c r="T211" t="str" s="8" cm="1">
        <f t="array" ref="T211">IF(ISNUMBER(F211),"Ok","check")</f>
        <v>Ok</v>
      </c>
      <c r="U211" t="str" s="8" cm="1">
        <f t="array" ref="U211">IF(ISNUMBER(O211),"ok","check")</f>
        <v>ok</v>
      </c>
    </row>
    <row r="212" ht="13.55" customHeight="1">
      <c r="A212" s="3">
        <v>29255</v>
      </c>
      <c r="B212" t="s" s="2">
        <v>25</v>
      </c>
      <c r="C212" t="str" s="8" cm="1">
        <f t="array" ref="C212">IF(B212="M","Married","Single")</f>
        <v>Single</v>
      </c>
      <c r="D212" t="s" s="2">
        <v>13</v>
      </c>
      <c r="E212" t="str" s="8" cm="1">
        <f t="array" ref="E212">IF(D212="M","Male",IF(D212="F","Female","Check"))</f>
        <v>Male</v>
      </c>
      <c r="F212" s="4">
        <v>80000</v>
      </c>
      <c r="G212" t="str" s="8" cm="1">
        <f t="array" ref="G212">IF(F212="","Check","okay")</f>
        <v>okay</v>
      </c>
      <c r="H212" s="3">
        <v>3</v>
      </c>
      <c r="I212" t="s" s="2">
        <v>21</v>
      </c>
      <c r="J212" t="s" s="2">
        <v>23</v>
      </c>
      <c r="K212" t="s" s="2">
        <v>20</v>
      </c>
      <c r="L212" s="3">
        <v>1</v>
      </c>
      <c r="M212" t="s" s="2">
        <v>29</v>
      </c>
      <c r="N212" t="s" s="2">
        <v>35</v>
      </c>
      <c r="O212" s="3">
        <v>51</v>
      </c>
      <c r="P212" t="str" s="8" cm="1">
        <f t="array" ref="P212">IF(O212="","check","Okay")</f>
        <v>Okay</v>
      </c>
      <c r="Q212" t="str" s="8" cm="1">
        <f t="array" ref="Q212">IF(O212&lt;30,"UNDER 30",IF(O212&lt;=50,"30-50","Over 50"))</f>
        <v>Over 50</v>
      </c>
      <c r="R212" t="s" s="2">
        <v>17</v>
      </c>
      <c r="S212" s="3" cm="1">
        <f t="array" ref="S212">COUNTIF(A2:A1001,A212)</f>
        <v>1</v>
      </c>
      <c r="T212" t="str" s="8" cm="1">
        <f t="array" ref="T212">IF(ISNUMBER(F212),"Ok","check")</f>
        <v>Ok</v>
      </c>
      <c r="U212" t="str" s="8" cm="1">
        <f t="array" ref="U212">IF(ISNUMBER(O212),"ok","check")</f>
        <v>ok</v>
      </c>
    </row>
    <row r="213" ht="13.55" customHeight="1">
      <c r="A213" s="3">
        <v>17504</v>
      </c>
      <c r="B213" t="s" s="2">
        <v>25</v>
      </c>
      <c r="C213" t="str" s="8" cm="1">
        <f t="array" ref="C213">IF(B213="M","Married","Single")</f>
        <v>Single</v>
      </c>
      <c r="D213" t="s" s="2">
        <v>14</v>
      </c>
      <c r="E213" t="str" s="8" cm="1">
        <f t="array" ref="E213">IF(D213="M","Male",IF(D213="F","Female","Check"))</f>
        <v>Female</v>
      </c>
      <c r="F213" s="4">
        <v>80000</v>
      </c>
      <c r="G213" t="str" s="8" cm="1">
        <f t="array" ref="G213">IF(F213="","Check","okay")</f>
        <v>okay</v>
      </c>
      <c r="H213" s="3">
        <v>2</v>
      </c>
      <c r="I213" t="s" s="2">
        <v>21</v>
      </c>
      <c r="J213" t="s" s="2">
        <v>16</v>
      </c>
      <c r="K213" t="s" s="2">
        <v>17</v>
      </c>
      <c r="L213" s="3">
        <v>2</v>
      </c>
      <c r="M213" t="s" s="2">
        <v>26</v>
      </c>
      <c r="N213" t="s" s="2">
        <v>27</v>
      </c>
      <c r="O213" s="3">
        <v>52</v>
      </c>
      <c r="P213" t="str" s="8" cm="1">
        <f t="array" ref="P213">IF(O213="","check","Okay")</f>
        <v>Okay</v>
      </c>
      <c r="Q213" t="str" s="8" cm="1">
        <f t="array" ref="Q213">IF(O213&lt;30,"UNDER 30",IF(O213&lt;=50,"30-50","Over 50"))</f>
        <v>Over 50</v>
      </c>
      <c r="R213" t="s" s="2">
        <v>17</v>
      </c>
      <c r="S213" s="3" cm="1">
        <f t="array" ref="S213">COUNTIF(A2:A1001,A213)</f>
        <v>1</v>
      </c>
      <c r="T213" t="str" s="8" cm="1">
        <f t="array" ref="T213">IF(ISNUMBER(F213),"Ok","check")</f>
        <v>Ok</v>
      </c>
      <c r="U213" t="str" s="8" cm="1">
        <f t="array" ref="U213">IF(ISNUMBER(O213),"ok","check")</f>
        <v>ok</v>
      </c>
    </row>
    <row r="214" ht="13.55" customHeight="1">
      <c r="A214" s="3">
        <v>18423</v>
      </c>
      <c r="B214" t="s" s="2">
        <v>25</v>
      </c>
      <c r="C214" t="str" s="8" cm="1">
        <f t="array" ref="C214">IF(B214="M","Married","Single")</f>
        <v>Single</v>
      </c>
      <c r="D214" t="s" s="2">
        <v>13</v>
      </c>
      <c r="E214" t="str" s="8" cm="1">
        <f t="array" ref="E214">IF(D214="M","Male",IF(D214="F","Female","Check"))</f>
        <v>Male</v>
      </c>
      <c r="F214" s="4">
        <v>80000</v>
      </c>
      <c r="G214" t="str" s="8" cm="1">
        <f t="array" ref="G214">IF(F214="","Check","okay")</f>
        <v>okay</v>
      </c>
      <c r="H214" s="3">
        <v>2</v>
      </c>
      <c r="I214" t="s" s="2">
        <v>32</v>
      </c>
      <c r="J214" t="s" s="2">
        <v>16</v>
      </c>
      <c r="K214" t="s" s="2">
        <v>20</v>
      </c>
      <c r="L214" s="3">
        <v>2</v>
      </c>
      <c r="M214" t="s" s="2">
        <v>29</v>
      </c>
      <c r="N214" t="s" s="2">
        <v>35</v>
      </c>
      <c r="O214" s="3">
        <v>52</v>
      </c>
      <c r="P214" t="str" s="8" cm="1">
        <f t="array" ref="P214">IF(O214="","check","Okay")</f>
        <v>Okay</v>
      </c>
      <c r="Q214" t="str" s="8" cm="1">
        <f t="array" ref="Q214">IF(O214&lt;30,"UNDER 30",IF(O214&lt;=50,"30-50","Over 50"))</f>
        <v>Over 50</v>
      </c>
      <c r="R214" t="s" s="2">
        <v>20</v>
      </c>
      <c r="S214" s="3" cm="1">
        <f t="array" ref="S214">COUNTIF(A2:A1001,A214)</f>
        <v>1</v>
      </c>
      <c r="T214" t="str" s="8" cm="1">
        <f t="array" ref="T214">IF(ISNUMBER(F214),"Ok","check")</f>
        <v>Ok</v>
      </c>
      <c r="U214" t="str" s="8" cm="1">
        <f t="array" ref="U214">IF(ISNUMBER(O214),"ok","check")</f>
        <v>ok</v>
      </c>
    </row>
    <row r="215" ht="13.55" customHeight="1">
      <c r="A215" s="3">
        <v>13585</v>
      </c>
      <c r="B215" t="s" s="2">
        <v>13</v>
      </c>
      <c r="C215" t="str" s="8" cm="1">
        <f t="array" ref="C215">IF(B215="M","Married","Single")</f>
        <v>Married</v>
      </c>
      <c r="D215" t="s" s="2">
        <v>14</v>
      </c>
      <c r="E215" t="str" s="8" cm="1">
        <f t="array" ref="E215">IF(D215="M","Male",IF(D215="F","Female","Check"))</f>
        <v>Female</v>
      </c>
      <c r="F215" s="4">
        <v>80000</v>
      </c>
      <c r="G215" t="str" s="8" cm="1">
        <f t="array" ref="G215">IF(F215="","Check","okay")</f>
        <v>okay</v>
      </c>
      <c r="H215" s="3">
        <v>4</v>
      </c>
      <c r="I215" t="s" s="2">
        <v>21</v>
      </c>
      <c r="J215" t="s" s="2">
        <v>23</v>
      </c>
      <c r="K215" t="s" s="2">
        <v>20</v>
      </c>
      <c r="L215" s="3">
        <v>1</v>
      </c>
      <c r="M215" t="s" s="2">
        <v>24</v>
      </c>
      <c r="N215" t="s" s="2">
        <v>19</v>
      </c>
      <c r="O215" s="3">
        <v>53</v>
      </c>
      <c r="P215" t="str" s="8" cm="1">
        <f t="array" ref="P215">IF(O215="","check","Okay")</f>
        <v>Okay</v>
      </c>
      <c r="Q215" t="str" s="8" cm="1">
        <f t="array" ref="Q215">IF(O215&lt;30,"UNDER 30",IF(O215&lt;=50,"30-50","Over 50"))</f>
        <v>Over 50</v>
      </c>
      <c r="R215" t="s" s="2">
        <v>17</v>
      </c>
      <c r="S215" s="3" cm="1">
        <f t="array" ref="S215">COUNTIF(A2:A1001,A215)</f>
        <v>1</v>
      </c>
      <c r="T215" t="str" s="8" cm="1">
        <f t="array" ref="T215">IF(ISNUMBER(F215),"Ok","check")</f>
        <v>Ok</v>
      </c>
      <c r="U215" t="str" s="8" cm="1">
        <f t="array" ref="U215">IF(ISNUMBER(O215),"ok","check")</f>
        <v>ok</v>
      </c>
    </row>
    <row r="216" ht="13.55" customHeight="1">
      <c r="A216" s="3">
        <v>27941</v>
      </c>
      <c r="B216" t="s" s="2">
        <v>13</v>
      </c>
      <c r="C216" t="str" s="8" cm="1">
        <f t="array" ref="C216">IF(B216="M","Married","Single")</f>
        <v>Married</v>
      </c>
      <c r="D216" t="s" s="2">
        <v>14</v>
      </c>
      <c r="E216" t="str" s="8" cm="1">
        <f t="array" ref="E216">IF(D216="M","Male",IF(D216="F","Female","Check"))</f>
        <v>Female</v>
      </c>
      <c r="F216" s="4">
        <v>80000</v>
      </c>
      <c r="G216" t="str" s="8" cm="1">
        <f t="array" ref="G216">IF(F216="","Check","okay")</f>
        <v>okay</v>
      </c>
      <c r="H216" s="3">
        <v>4</v>
      </c>
      <c r="I216" t="s" s="2">
        <v>21</v>
      </c>
      <c r="J216" t="s" s="2">
        <v>23</v>
      </c>
      <c r="K216" t="s" s="2">
        <v>17</v>
      </c>
      <c r="L216" s="3">
        <v>2</v>
      </c>
      <c r="M216" t="s" s="2">
        <v>24</v>
      </c>
      <c r="N216" t="s" s="2">
        <v>19</v>
      </c>
      <c r="O216" s="3">
        <v>53</v>
      </c>
      <c r="P216" t="str" s="8" cm="1">
        <f t="array" ref="P216">IF(O216="","check","Okay")</f>
        <v>Okay</v>
      </c>
      <c r="Q216" t="str" s="8" cm="1">
        <f t="array" ref="Q216">IF(O216&lt;30,"UNDER 30",IF(O216&lt;=50,"30-50","Over 50"))</f>
        <v>Over 50</v>
      </c>
      <c r="R216" t="s" s="2">
        <v>20</v>
      </c>
      <c r="S216" s="3" cm="1">
        <f t="array" ref="S216">COUNTIF(A2:A1001,A216)</f>
        <v>1</v>
      </c>
      <c r="T216" t="str" s="8" cm="1">
        <f t="array" ref="T216">IF(ISNUMBER(F216),"Ok","check")</f>
        <v>Ok</v>
      </c>
      <c r="U216" t="str" s="8" cm="1">
        <f t="array" ref="U216">IF(ISNUMBER(O216),"ok","check")</f>
        <v>ok</v>
      </c>
    </row>
    <row r="217" ht="13.55" customHeight="1">
      <c r="A217" s="3">
        <v>13586</v>
      </c>
      <c r="B217" t="s" s="2">
        <v>13</v>
      </c>
      <c r="C217" t="str" s="8" cm="1">
        <f t="array" ref="C217">IF(B217="M","Married","Single")</f>
        <v>Married</v>
      </c>
      <c r="D217" t="s" s="2">
        <v>13</v>
      </c>
      <c r="E217" t="str" s="8" cm="1">
        <f t="array" ref="E217">IF(D217="M","Male",IF(D217="F","Female","Check"))</f>
        <v>Male</v>
      </c>
      <c r="F217" s="4">
        <v>80000</v>
      </c>
      <c r="G217" t="str" s="8" cm="1">
        <f t="array" ref="G217">IF(F217="","Check","okay")</f>
        <v>okay</v>
      </c>
      <c r="H217" s="3">
        <v>4</v>
      </c>
      <c r="I217" t="s" s="2">
        <v>21</v>
      </c>
      <c r="J217" t="s" s="2">
        <v>23</v>
      </c>
      <c r="K217" t="s" s="2">
        <v>17</v>
      </c>
      <c r="L217" s="3">
        <v>2</v>
      </c>
      <c r="M217" t="s" s="2">
        <v>33</v>
      </c>
      <c r="N217" t="s" s="2">
        <v>19</v>
      </c>
      <c r="O217" s="3">
        <v>53</v>
      </c>
      <c r="P217" t="str" s="8" cm="1">
        <f t="array" ref="P217">IF(O217="","check","Okay")</f>
        <v>Okay</v>
      </c>
      <c r="Q217" t="str" s="8" cm="1">
        <f t="array" ref="Q217">IF(O217&lt;30,"UNDER 30",IF(O217&lt;=50,"30-50","Over 50"))</f>
        <v>Over 50</v>
      </c>
      <c r="R217" t="s" s="2">
        <v>20</v>
      </c>
      <c r="S217" s="3" cm="1">
        <f t="array" ref="S217">COUNTIF(A2:A1001,A217)</f>
        <v>1</v>
      </c>
      <c r="T217" t="str" s="8" cm="1">
        <f t="array" ref="T217">IF(ISNUMBER(F217),"Ok","check")</f>
        <v>Ok</v>
      </c>
      <c r="U217" t="str" s="8" cm="1">
        <f t="array" ref="U217">IF(ISNUMBER(O217),"ok","check")</f>
        <v>ok</v>
      </c>
    </row>
    <row r="218" ht="13.55" customHeight="1">
      <c r="A218" s="3">
        <v>28906</v>
      </c>
      <c r="B218" t="s" s="2">
        <v>13</v>
      </c>
      <c r="C218" t="str" s="8" cm="1">
        <f t="array" ref="C218">IF(B218="M","Married","Single")</f>
        <v>Married</v>
      </c>
      <c r="D218" t="s" s="2">
        <v>13</v>
      </c>
      <c r="E218" t="str" s="8" cm="1">
        <f t="array" ref="E218">IF(D218="M","Male",IF(D218="F","Female","Check"))</f>
        <v>Male</v>
      </c>
      <c r="F218" s="4">
        <v>80000</v>
      </c>
      <c r="G218" t="str" s="8" cm="1">
        <f t="array" ref="G218">IF(F218="","Check","okay")</f>
        <v>okay</v>
      </c>
      <c r="H218" s="3">
        <v>4</v>
      </c>
      <c r="I218" t="s" s="2">
        <v>30</v>
      </c>
      <c r="J218" t="s" s="2">
        <v>23</v>
      </c>
      <c r="K218" t="s" s="2">
        <v>17</v>
      </c>
      <c r="L218" s="3">
        <v>2</v>
      </c>
      <c r="M218" t="s" s="2">
        <v>33</v>
      </c>
      <c r="N218" t="s" s="2">
        <v>19</v>
      </c>
      <c r="O218" s="3">
        <v>54</v>
      </c>
      <c r="P218" t="str" s="8" cm="1">
        <f t="array" ref="P218">IF(O218="","check","Okay")</f>
        <v>Okay</v>
      </c>
      <c r="Q218" t="str" s="8" cm="1">
        <f t="array" ref="Q218">IF(O218&lt;30,"UNDER 30",IF(O218&lt;=50,"30-50","Over 50"))</f>
        <v>Over 50</v>
      </c>
      <c r="R218" t="s" s="2">
        <v>20</v>
      </c>
      <c r="S218" s="3" cm="1">
        <f t="array" ref="S218">COUNTIF(A2:A1001,A218)</f>
        <v>1</v>
      </c>
      <c r="T218" t="str" s="8" cm="1">
        <f t="array" ref="T218">IF(ISNUMBER(F218),"Ok","check")</f>
        <v>Ok</v>
      </c>
      <c r="U218" t="str" s="8" cm="1">
        <f t="array" ref="U218">IF(ISNUMBER(O218),"ok","check")</f>
        <v>ok</v>
      </c>
    </row>
    <row r="219" ht="13.55" customHeight="1">
      <c r="A219" s="3">
        <v>27951</v>
      </c>
      <c r="B219" t="s" s="2">
        <v>25</v>
      </c>
      <c r="C219" t="str" s="8" cm="1">
        <f t="array" ref="C219">IF(B219="M","Married","Single")</f>
        <v>Single</v>
      </c>
      <c r="D219" t="s" s="2">
        <v>13</v>
      </c>
      <c r="E219" t="str" s="8" cm="1">
        <f t="array" ref="E219">IF(D219="M","Male",IF(D219="F","Female","Check"))</f>
        <v>Male</v>
      </c>
      <c r="F219" s="4">
        <v>80000</v>
      </c>
      <c r="G219" t="str" s="8" cm="1">
        <f t="array" ref="G219">IF(F219="","Check","okay")</f>
        <v>okay</v>
      </c>
      <c r="H219" s="3">
        <v>4</v>
      </c>
      <c r="I219" t="s" s="2">
        <v>21</v>
      </c>
      <c r="J219" t="s" s="2">
        <v>23</v>
      </c>
      <c r="K219" t="s" s="2">
        <v>20</v>
      </c>
      <c r="L219" s="3">
        <v>2</v>
      </c>
      <c r="M219" t="s" s="2">
        <v>24</v>
      </c>
      <c r="N219" t="s" s="2">
        <v>19</v>
      </c>
      <c r="O219" s="3">
        <v>54</v>
      </c>
      <c r="P219" t="str" s="8" cm="1">
        <f t="array" ref="P219">IF(O219="","check","Okay")</f>
        <v>Okay</v>
      </c>
      <c r="Q219" t="str" s="8" cm="1">
        <f t="array" ref="Q219">IF(O219&lt;30,"UNDER 30",IF(O219&lt;=50,"30-50","Over 50"))</f>
        <v>Over 50</v>
      </c>
      <c r="R219" t="s" s="2">
        <v>17</v>
      </c>
      <c r="S219" s="3" cm="1">
        <f t="array" ref="S219">COUNTIF(A2:A1001,A219)</f>
        <v>1</v>
      </c>
      <c r="T219" t="str" s="8" cm="1">
        <f t="array" ref="T219">IF(ISNUMBER(F219),"Ok","check")</f>
        <v>Ok</v>
      </c>
      <c r="U219" t="str" s="8" cm="1">
        <f t="array" ref="U219">IF(ISNUMBER(O219),"ok","check")</f>
        <v>ok</v>
      </c>
    </row>
    <row r="220" ht="13.55" customHeight="1">
      <c r="A220" s="3">
        <v>26412</v>
      </c>
      <c r="B220" t="s" s="2">
        <v>13</v>
      </c>
      <c r="C220" t="str" s="8" cm="1">
        <f t="array" ref="C220">IF(B220="M","Married","Single")</f>
        <v>Married</v>
      </c>
      <c r="D220" t="s" s="2">
        <v>14</v>
      </c>
      <c r="E220" t="str" s="8" cm="1">
        <f t="array" ref="E220">IF(D220="M","Male",IF(D220="F","Female","Check"))</f>
        <v>Female</v>
      </c>
      <c r="F220" s="4">
        <v>80000</v>
      </c>
      <c r="G220" t="str" s="8" cm="1">
        <f t="array" ref="G220">IF(F220="","Check","okay")</f>
        <v>okay</v>
      </c>
      <c r="H220" s="3">
        <v>5</v>
      </c>
      <c r="I220" t="s" s="2">
        <v>30</v>
      </c>
      <c r="J220" t="s" s="2">
        <v>31</v>
      </c>
      <c r="K220" t="s" s="2">
        <v>20</v>
      </c>
      <c r="L220" s="3">
        <v>3</v>
      </c>
      <c r="M220" t="s" s="2">
        <v>26</v>
      </c>
      <c r="N220" t="s" s="2">
        <v>19</v>
      </c>
      <c r="O220" s="3">
        <v>56</v>
      </c>
      <c r="P220" t="str" s="8" cm="1">
        <f t="array" ref="P220">IF(O220="","check","Okay")</f>
        <v>Okay</v>
      </c>
      <c r="Q220" t="str" s="8" cm="1">
        <f t="array" ref="Q220">IF(O220&lt;30,"UNDER 30",IF(O220&lt;=50,"30-50","Over 50"))</f>
        <v>Over 50</v>
      </c>
      <c r="R220" t="s" s="2">
        <v>20</v>
      </c>
      <c r="S220" s="3" cm="1">
        <f t="array" ref="S220">COUNTIF(A2:A1001,A220)</f>
        <v>1</v>
      </c>
      <c r="T220" t="str" s="8" cm="1">
        <f t="array" ref="T220">IF(ISNUMBER(F220),"Ok","check")</f>
        <v>Ok</v>
      </c>
      <c r="U220" t="str" s="8" cm="1">
        <f t="array" ref="U220">IF(ISNUMBER(O220),"ok","check")</f>
        <v>ok</v>
      </c>
    </row>
    <row r="221" ht="13.55" customHeight="1">
      <c r="A221" s="3">
        <v>19012</v>
      </c>
      <c r="B221" t="s" s="2">
        <v>13</v>
      </c>
      <c r="C221" t="str" s="8" cm="1">
        <f t="array" ref="C221">IF(B221="M","Married","Single")</f>
        <v>Married</v>
      </c>
      <c r="D221" t="s" s="2">
        <v>13</v>
      </c>
      <c r="E221" t="str" s="8" cm="1">
        <f t="array" ref="E221">IF(D221="M","Male",IF(D221="F","Female","Check"))</f>
        <v>Male</v>
      </c>
      <c r="F221" s="4">
        <v>80000</v>
      </c>
      <c r="G221" t="str" s="8" cm="1">
        <f t="array" ref="G221">IF(F221="","Check","okay")</f>
        <v>okay</v>
      </c>
      <c r="H221" s="3">
        <v>3</v>
      </c>
      <c r="I221" t="s" s="2">
        <v>15</v>
      </c>
      <c r="J221" t="s" s="2">
        <v>31</v>
      </c>
      <c r="K221" t="s" s="2">
        <v>17</v>
      </c>
      <c r="L221" s="3">
        <v>1</v>
      </c>
      <c r="M221" t="s" s="2">
        <v>29</v>
      </c>
      <c r="N221" t="s" s="2">
        <v>35</v>
      </c>
      <c r="O221" s="3">
        <v>56</v>
      </c>
      <c r="P221" t="str" s="8" cm="1">
        <f t="array" ref="P221">IF(O221="","check","Okay")</f>
        <v>Okay</v>
      </c>
      <c r="Q221" t="str" s="8" cm="1">
        <f t="array" ref="Q221">IF(O221&lt;30,"UNDER 30",IF(O221&lt;=50,"30-50","Over 50"))</f>
        <v>Over 50</v>
      </c>
      <c r="R221" t="s" s="2">
        <v>20</v>
      </c>
      <c r="S221" s="3" cm="1">
        <f t="array" ref="S221">COUNTIF(A2:A1001,A221)</f>
        <v>1</v>
      </c>
      <c r="T221" t="str" s="8" cm="1">
        <f t="array" ref="T221">IF(ISNUMBER(F221),"Ok","check")</f>
        <v>Ok</v>
      </c>
      <c r="U221" t="str" s="8" cm="1">
        <f t="array" ref="U221">IF(ISNUMBER(O221),"ok","check")</f>
        <v>ok</v>
      </c>
    </row>
    <row r="222" ht="13.55" customHeight="1">
      <c r="A222" s="3">
        <v>28915</v>
      </c>
      <c r="B222" t="s" s="2">
        <v>25</v>
      </c>
      <c r="C222" t="str" s="8" cm="1">
        <f t="array" ref="C222">IF(B222="M","Married","Single")</f>
        <v>Single</v>
      </c>
      <c r="D222" t="s" s="2">
        <v>13</v>
      </c>
      <c r="E222" t="str" s="8" cm="1">
        <f t="array" ref="E222">IF(D222="M","Male",IF(D222="F","Female","Check"))</f>
        <v>Male</v>
      </c>
      <c r="F222" s="4">
        <v>80000</v>
      </c>
      <c r="G222" t="str" s="8" cm="1">
        <f t="array" ref="G222">IF(F222="","Check","okay")</f>
        <v>okay</v>
      </c>
      <c r="H222" s="3">
        <v>5</v>
      </c>
      <c r="I222" t="s" s="2">
        <v>30</v>
      </c>
      <c r="J222" t="s" s="2">
        <v>31</v>
      </c>
      <c r="K222" t="s" s="2">
        <v>17</v>
      </c>
      <c r="L222" s="3">
        <v>3</v>
      </c>
      <c r="M222" t="s" s="2">
        <v>33</v>
      </c>
      <c r="N222" t="s" s="2">
        <v>19</v>
      </c>
      <c r="O222" s="3">
        <v>57</v>
      </c>
      <c r="P222" t="str" s="8" cm="1">
        <f t="array" ref="P222">IF(O222="","check","Okay")</f>
        <v>Okay</v>
      </c>
      <c r="Q222" t="str" s="8" cm="1">
        <f t="array" ref="Q222">IF(O222&lt;30,"UNDER 30",IF(O222&lt;=50,"30-50","Over 50"))</f>
        <v>Over 50</v>
      </c>
      <c r="R222" t="s" s="2">
        <v>20</v>
      </c>
      <c r="S222" s="3" cm="1">
        <f t="array" ref="S222">COUNTIF(A2:A1001,A222)</f>
        <v>1</v>
      </c>
      <c r="T222" t="str" s="8" cm="1">
        <f t="array" ref="T222">IF(ISNUMBER(F222),"Ok","check")</f>
        <v>Ok</v>
      </c>
      <c r="U222" t="str" s="8" cm="1">
        <f t="array" ref="U222">IF(ISNUMBER(O222),"ok","check")</f>
        <v>ok</v>
      </c>
    </row>
    <row r="223" ht="13.55" customHeight="1">
      <c r="A223" s="3">
        <v>18151</v>
      </c>
      <c r="B223" t="s" s="2">
        <v>25</v>
      </c>
      <c r="C223" t="str" s="8" cm="1">
        <f t="array" ref="C223">IF(B223="M","Married","Single")</f>
        <v>Single</v>
      </c>
      <c r="D223" t="s" s="2">
        <v>13</v>
      </c>
      <c r="E223" t="str" s="8" cm="1">
        <f t="array" ref="E223">IF(D223="M","Male",IF(D223="F","Female","Check"))</f>
        <v>Male</v>
      </c>
      <c r="F223" s="4">
        <v>80000</v>
      </c>
      <c r="G223" t="str" s="8" cm="1">
        <f t="array" ref="G223">IF(F223="","Check","okay")</f>
        <v>okay</v>
      </c>
      <c r="H223" s="3">
        <v>5</v>
      </c>
      <c r="I223" t="s" s="2">
        <v>21</v>
      </c>
      <c r="J223" t="s" s="2">
        <v>23</v>
      </c>
      <c r="K223" t="s" s="2">
        <v>20</v>
      </c>
      <c r="L223" s="3">
        <v>2</v>
      </c>
      <c r="M223" t="s" s="2">
        <v>33</v>
      </c>
      <c r="N223" t="s" s="2">
        <v>19</v>
      </c>
      <c r="O223" s="3">
        <v>59</v>
      </c>
      <c r="P223" t="str" s="8" cm="1">
        <f t="array" ref="P223">IF(O223="","check","Okay")</f>
        <v>Okay</v>
      </c>
      <c r="Q223" t="str" s="8" cm="1">
        <f t="array" ref="Q223">IF(O223&lt;30,"UNDER 30",IF(O223&lt;=50,"30-50","Over 50"))</f>
        <v>Over 50</v>
      </c>
      <c r="R223" t="s" s="2">
        <v>20</v>
      </c>
      <c r="S223" s="3" cm="1">
        <f t="array" ref="S223">COUNTIF(A2:A1001,A223)</f>
        <v>1</v>
      </c>
      <c r="T223" t="str" s="8" cm="1">
        <f t="array" ref="T223">IF(ISNUMBER(F223),"Ok","check")</f>
        <v>Ok</v>
      </c>
      <c r="U223" t="str" s="8" cm="1">
        <f t="array" ref="U223">IF(ISNUMBER(O223),"ok","check")</f>
        <v>ok</v>
      </c>
    </row>
    <row r="224" ht="13.55" customHeight="1">
      <c r="A224" s="3">
        <v>14177</v>
      </c>
      <c r="B224" t="s" s="2">
        <v>13</v>
      </c>
      <c r="C224" t="str" s="8" cm="1">
        <f t="array" ref="C224">IF(B224="M","Married","Single")</f>
        <v>Married</v>
      </c>
      <c r="D224" t="s" s="2">
        <v>13</v>
      </c>
      <c r="E224" t="str" s="8" cm="1">
        <f t="array" ref="E224">IF(D224="M","Male",IF(D224="F","Female","Check"))</f>
        <v>Male</v>
      </c>
      <c r="F224" s="4">
        <v>80000</v>
      </c>
      <c r="G224" t="str" s="8" cm="1">
        <f t="array" ref="G224">IF(F224="","Check","okay")</f>
        <v>okay</v>
      </c>
      <c r="H224" s="3">
        <v>5</v>
      </c>
      <c r="I224" t="s" s="2">
        <v>21</v>
      </c>
      <c r="J224" t="s" s="2">
        <v>23</v>
      </c>
      <c r="K224" t="s" s="2">
        <v>20</v>
      </c>
      <c r="L224" s="3">
        <v>2</v>
      </c>
      <c r="M224" t="s" s="2">
        <v>24</v>
      </c>
      <c r="N224" t="s" s="2">
        <v>19</v>
      </c>
      <c r="O224" s="3">
        <v>60</v>
      </c>
      <c r="P224" t="str" s="8" cm="1">
        <f t="array" ref="P224">IF(O224="","check","Okay")</f>
        <v>Okay</v>
      </c>
      <c r="Q224" t="str" s="8" cm="1">
        <f t="array" ref="Q224">IF(O224&lt;30,"UNDER 30",IF(O224&lt;=50,"30-50","Over 50"))</f>
        <v>Over 50</v>
      </c>
      <c r="R224" t="s" s="2">
        <v>20</v>
      </c>
      <c r="S224" s="3" cm="1">
        <f t="array" ref="S224">COUNTIF(A2:A1001,A224)</f>
        <v>1</v>
      </c>
      <c r="T224" t="str" s="8" cm="1">
        <f t="array" ref="T224">IF(ISNUMBER(F224),"Ok","check")</f>
        <v>Ok</v>
      </c>
      <c r="U224" t="str" s="8" cm="1">
        <f t="array" ref="U224">IF(ISNUMBER(O224),"ok","check")</f>
        <v>ok</v>
      </c>
    </row>
    <row r="225" ht="13.55" customHeight="1">
      <c r="A225" s="3">
        <v>18144</v>
      </c>
      <c r="B225" t="s" s="2">
        <v>13</v>
      </c>
      <c r="C225" t="str" s="8" cm="1">
        <f t="array" ref="C225">IF(B225="M","Married","Single")</f>
        <v>Married</v>
      </c>
      <c r="D225" t="s" s="2">
        <v>14</v>
      </c>
      <c r="E225" t="str" s="8" cm="1">
        <f t="array" ref="E225">IF(D225="M","Male",IF(D225="F","Female","Check"))</f>
        <v>Female</v>
      </c>
      <c r="F225" s="4">
        <v>80000</v>
      </c>
      <c r="G225" t="str" s="8" cm="1">
        <f t="array" ref="G225">IF(F225="","Check","okay")</f>
        <v>okay</v>
      </c>
      <c r="H225" s="3">
        <v>5</v>
      </c>
      <c r="I225" t="s" s="2">
        <v>15</v>
      </c>
      <c r="J225" t="s" s="2">
        <v>31</v>
      </c>
      <c r="K225" t="s" s="2">
        <v>17</v>
      </c>
      <c r="L225" s="3">
        <v>2</v>
      </c>
      <c r="M225" t="s" s="2">
        <v>24</v>
      </c>
      <c r="N225" t="s" s="2">
        <v>19</v>
      </c>
      <c r="O225" s="3">
        <v>61</v>
      </c>
      <c r="P225" t="str" s="8" cm="1">
        <f t="array" ref="P225">IF(O225="","check","Okay")</f>
        <v>Okay</v>
      </c>
      <c r="Q225" t="str" s="8" cm="1">
        <f t="array" ref="Q225">IF(O225&lt;30,"UNDER 30",IF(O225&lt;=50,"30-50","Over 50"))</f>
        <v>Over 50</v>
      </c>
      <c r="R225" t="s" s="2">
        <v>20</v>
      </c>
      <c r="S225" s="3" cm="1">
        <f t="array" ref="S225">COUNTIF(A2:A1001,A225)</f>
        <v>1</v>
      </c>
      <c r="T225" t="str" s="8" cm="1">
        <f t="array" ref="T225">IF(ISNUMBER(F225),"Ok","check")</f>
        <v>Ok</v>
      </c>
      <c r="U225" t="str" s="8" cm="1">
        <f t="array" ref="U225">IF(ISNUMBER(O225),"ok","check")</f>
        <v>ok</v>
      </c>
    </row>
    <row r="226" ht="13.55" customHeight="1">
      <c r="A226" s="3">
        <v>15682</v>
      </c>
      <c r="B226" t="s" s="2">
        <v>25</v>
      </c>
      <c r="C226" t="str" s="8" cm="1">
        <f t="array" ref="C226">IF(B226="M","Married","Single")</f>
        <v>Single</v>
      </c>
      <c r="D226" t="s" s="2">
        <v>14</v>
      </c>
      <c r="E226" t="str" s="8" cm="1">
        <f t="array" ref="E226">IF(D226="M","Male",IF(D226="F","Female","Check"))</f>
        <v>Female</v>
      </c>
      <c r="F226" s="4">
        <v>80000</v>
      </c>
      <c r="G226" t="str" s="8" cm="1">
        <f t="array" ref="G226">IF(F226="","Check","okay")</f>
        <v>okay</v>
      </c>
      <c r="H226" s="3">
        <v>5</v>
      </c>
      <c r="I226" t="s" s="2">
        <v>15</v>
      </c>
      <c r="J226" t="s" s="2">
        <v>31</v>
      </c>
      <c r="K226" t="s" s="2">
        <v>17</v>
      </c>
      <c r="L226" s="3">
        <v>2</v>
      </c>
      <c r="M226" t="s" s="2">
        <v>33</v>
      </c>
      <c r="N226" t="s" s="2">
        <v>19</v>
      </c>
      <c r="O226" s="3">
        <v>62</v>
      </c>
      <c r="P226" t="str" s="8" cm="1">
        <f t="array" ref="P226">IF(O226="","check","Okay")</f>
        <v>Okay</v>
      </c>
      <c r="Q226" t="str" s="8" cm="1">
        <f t="array" ref="Q226">IF(O226&lt;30,"UNDER 30",IF(O226&lt;=50,"30-50","Over 50"))</f>
        <v>Over 50</v>
      </c>
      <c r="R226" t="s" s="2">
        <v>20</v>
      </c>
      <c r="S226" s="3" cm="1">
        <f t="array" ref="S226">COUNTIF(A2:A1001,A226)</f>
        <v>1</v>
      </c>
      <c r="T226" t="str" s="8" cm="1">
        <f t="array" ref="T226">IF(ISNUMBER(F226),"Ok","check")</f>
        <v>Ok</v>
      </c>
      <c r="U226" t="str" s="8" cm="1">
        <f t="array" ref="U226">IF(ISNUMBER(O226),"ok","check")</f>
        <v>ok</v>
      </c>
    </row>
    <row r="227" ht="13.55" customHeight="1">
      <c r="A227" s="3">
        <v>18145</v>
      </c>
      <c r="B227" t="s" s="2">
        <v>13</v>
      </c>
      <c r="C227" t="str" s="8" cm="1">
        <f t="array" ref="C227">IF(B227="M","Married","Single")</f>
        <v>Married</v>
      </c>
      <c r="D227" t="s" s="2">
        <v>13</v>
      </c>
      <c r="E227" t="str" s="8" cm="1">
        <f t="array" ref="E227">IF(D227="M","Male",IF(D227="F","Female","Check"))</f>
        <v>Male</v>
      </c>
      <c r="F227" s="4">
        <v>80000</v>
      </c>
      <c r="G227" t="str" s="8" cm="1">
        <f t="array" ref="G227">IF(F227="","Check","okay")</f>
        <v>okay</v>
      </c>
      <c r="H227" s="3">
        <v>5</v>
      </c>
      <c r="I227" t="s" s="2">
        <v>15</v>
      </c>
      <c r="J227" t="s" s="2">
        <v>31</v>
      </c>
      <c r="K227" t="s" s="2">
        <v>20</v>
      </c>
      <c r="L227" s="3">
        <v>2</v>
      </c>
      <c r="M227" t="s" s="2">
        <v>24</v>
      </c>
      <c r="N227" t="s" s="2">
        <v>19</v>
      </c>
      <c r="O227" s="3">
        <v>62</v>
      </c>
      <c r="P227" t="str" s="8" cm="1">
        <f t="array" ref="P227">IF(O227="","check","Okay")</f>
        <v>Okay</v>
      </c>
      <c r="Q227" t="str" s="8" cm="1">
        <f t="array" ref="Q227">IF(O227&lt;30,"UNDER 30",IF(O227&lt;=50,"30-50","Over 50"))</f>
        <v>Over 50</v>
      </c>
      <c r="R227" t="s" s="2">
        <v>20</v>
      </c>
      <c r="S227" s="3" cm="1">
        <f t="array" ref="S227">COUNTIF(A2:A1001,A227)</f>
        <v>1</v>
      </c>
      <c r="T227" t="str" s="8" cm="1">
        <f t="array" ref="T227">IF(ISNUMBER(F227),"Ok","check")</f>
        <v>Ok</v>
      </c>
      <c r="U227" t="str" s="8" cm="1">
        <f t="array" ref="U227">IF(ISNUMBER(O227),"ok","check")</f>
        <v>ok</v>
      </c>
    </row>
    <row r="228" ht="13.55" customHeight="1">
      <c r="A228" s="3">
        <v>19914</v>
      </c>
      <c r="B228" t="s" s="2">
        <v>13</v>
      </c>
      <c r="C228" t="str" s="8" cm="1">
        <f t="array" ref="C228">IF(B228="M","Married","Single")</f>
        <v>Married</v>
      </c>
      <c r="D228" t="s" s="2">
        <v>13</v>
      </c>
      <c r="E228" t="str" s="8" cm="1">
        <f t="array" ref="E228">IF(D228="M","Male",IF(D228="F","Female","Check"))</f>
        <v>Male</v>
      </c>
      <c r="F228" s="4">
        <v>80000</v>
      </c>
      <c r="G228" t="str" s="8" cm="1">
        <f t="array" ref="G228">IF(F228="","Check","okay")</f>
        <v>okay</v>
      </c>
      <c r="H228" s="3">
        <v>5</v>
      </c>
      <c r="I228" t="s" s="2">
        <v>15</v>
      </c>
      <c r="J228" t="s" s="2">
        <v>31</v>
      </c>
      <c r="K228" t="s" s="2">
        <v>17</v>
      </c>
      <c r="L228" s="3">
        <v>2</v>
      </c>
      <c r="M228" t="s" s="2">
        <v>24</v>
      </c>
      <c r="N228" t="s" s="2">
        <v>19</v>
      </c>
      <c r="O228" s="3">
        <v>62</v>
      </c>
      <c r="P228" t="str" s="8" cm="1">
        <f t="array" ref="P228">IF(O228="","check","Okay")</f>
        <v>Okay</v>
      </c>
      <c r="Q228" t="str" s="8" cm="1">
        <f t="array" ref="Q228">IF(O228&lt;30,"UNDER 30",IF(O228&lt;=50,"30-50","Over 50"))</f>
        <v>Over 50</v>
      </c>
      <c r="R228" t="s" s="2">
        <v>20</v>
      </c>
      <c r="S228" s="3" cm="1">
        <f t="array" ref="S228">COUNTIF(A2:A1001,A228)</f>
        <v>1</v>
      </c>
      <c r="T228" t="str" s="8" cm="1">
        <f t="array" ref="T228">IF(ISNUMBER(F228),"Ok","check")</f>
        <v>Ok</v>
      </c>
      <c r="U228" t="str" s="8" cm="1">
        <f t="array" ref="U228">IF(ISNUMBER(O228),"ok","check")</f>
        <v>ok</v>
      </c>
    </row>
    <row r="229" ht="13.55" customHeight="1">
      <c r="A229" s="3">
        <v>13337</v>
      </c>
      <c r="B229" t="s" s="2">
        <v>13</v>
      </c>
      <c r="C229" t="str" s="8" cm="1">
        <f t="array" ref="C229">IF(B229="M","Married","Single")</f>
        <v>Married</v>
      </c>
      <c r="D229" t="s" s="2">
        <v>14</v>
      </c>
      <c r="E229" t="str" s="8" cm="1">
        <f t="array" ref="E229">IF(D229="M","Male",IF(D229="F","Female","Check"))</f>
        <v>Female</v>
      </c>
      <c r="F229" s="4">
        <v>80000</v>
      </c>
      <c r="G229" t="str" s="8" cm="1">
        <f t="array" ref="G229">IF(F229="","Check","okay")</f>
        <v>okay</v>
      </c>
      <c r="H229" s="3">
        <v>5</v>
      </c>
      <c r="I229" t="s" s="2">
        <v>15</v>
      </c>
      <c r="J229" t="s" s="2">
        <v>31</v>
      </c>
      <c r="K229" t="s" s="2">
        <v>17</v>
      </c>
      <c r="L229" s="3">
        <v>2</v>
      </c>
      <c r="M229" t="s" s="2">
        <v>26</v>
      </c>
      <c r="N229" t="s" s="2">
        <v>35</v>
      </c>
      <c r="O229" s="3">
        <v>64</v>
      </c>
      <c r="P229" t="str" s="8" cm="1">
        <f t="array" ref="P229">IF(O229="","check","Okay")</f>
        <v>Okay</v>
      </c>
      <c r="Q229" t="str" s="8" cm="1">
        <f t="array" ref="Q229">IF(O229&lt;30,"UNDER 30",IF(O229&lt;=50,"30-50","Over 50"))</f>
        <v>Over 50</v>
      </c>
      <c r="R229" t="s" s="2">
        <v>20</v>
      </c>
      <c r="S229" s="3" cm="1">
        <f t="array" ref="S229">COUNTIF(A2:A1001,A229)</f>
        <v>1</v>
      </c>
      <c r="T229" t="str" s="8" cm="1">
        <f t="array" ref="T229">IF(ISNUMBER(F229),"Ok","check")</f>
        <v>Ok</v>
      </c>
      <c r="U229" t="str" s="8" cm="1">
        <f t="array" ref="U229">IF(ISNUMBER(O229),"ok","check")</f>
        <v>ok</v>
      </c>
    </row>
    <row r="230" ht="13.55" customHeight="1">
      <c r="A230" s="3">
        <v>15740</v>
      </c>
      <c r="B230" t="s" s="2">
        <v>13</v>
      </c>
      <c r="C230" t="str" s="8" cm="1">
        <f t="array" ref="C230">IF(B230="M","Married","Single")</f>
        <v>Married</v>
      </c>
      <c r="D230" t="s" s="2">
        <v>13</v>
      </c>
      <c r="E230" t="str" s="8" cm="1">
        <f t="array" ref="E230">IF(D230="M","Male",IF(D230="F","Female","Check"))</f>
        <v>Male</v>
      </c>
      <c r="F230" s="4">
        <v>80000</v>
      </c>
      <c r="G230" t="str" s="8" cm="1">
        <f t="array" ref="G230">IF(F230="","Check","okay")</f>
        <v>okay</v>
      </c>
      <c r="H230" s="3">
        <v>5</v>
      </c>
      <c r="I230" t="s" s="2">
        <v>15</v>
      </c>
      <c r="J230" t="s" s="2">
        <v>31</v>
      </c>
      <c r="K230" t="s" s="2">
        <v>17</v>
      </c>
      <c r="L230" s="3">
        <v>2</v>
      </c>
      <c r="M230" t="s" s="2">
        <v>29</v>
      </c>
      <c r="N230" t="s" s="2">
        <v>35</v>
      </c>
      <c r="O230" s="3">
        <v>64</v>
      </c>
      <c r="P230" t="str" s="8" cm="1">
        <f t="array" ref="P230">IF(O230="","check","Okay")</f>
        <v>Okay</v>
      </c>
      <c r="Q230" t="str" s="8" cm="1">
        <f t="array" ref="Q230">IF(O230&lt;30,"UNDER 30",IF(O230&lt;=50,"30-50","Over 50"))</f>
        <v>Over 50</v>
      </c>
      <c r="R230" t="s" s="2">
        <v>20</v>
      </c>
      <c r="S230" s="3" cm="1">
        <f t="array" ref="S230">COUNTIF(A2:A1001,A230)</f>
        <v>1</v>
      </c>
      <c r="T230" t="str" s="8" cm="1">
        <f t="array" ref="T230">IF(ISNUMBER(F230),"Ok","check")</f>
        <v>Ok</v>
      </c>
      <c r="U230" t="str" s="8" cm="1">
        <f t="array" ref="U230">IF(ISNUMBER(O230),"ok","check")</f>
        <v>ok</v>
      </c>
    </row>
    <row r="231" ht="13.55" customHeight="1">
      <c r="A231" s="3">
        <v>19741</v>
      </c>
      <c r="B231" t="s" s="2">
        <v>25</v>
      </c>
      <c r="C231" t="str" s="8" cm="1">
        <f t="array" ref="C231">IF(B231="M","Married","Single")</f>
        <v>Single</v>
      </c>
      <c r="D231" t="s" s="2">
        <v>14</v>
      </c>
      <c r="E231" t="str" s="8" cm="1">
        <f t="array" ref="E231">IF(D231="M","Male",IF(D231="F","Female","Check"))</f>
        <v>Female</v>
      </c>
      <c r="F231" s="4">
        <v>80000</v>
      </c>
      <c r="G231" t="str" s="8" cm="1">
        <f t="array" ref="G231">IF(F231="","Check","okay")</f>
        <v>okay</v>
      </c>
      <c r="H231" s="3">
        <v>4</v>
      </c>
      <c r="I231" t="s" s="2">
        <v>34</v>
      </c>
      <c r="J231" t="s" s="2">
        <v>31</v>
      </c>
      <c r="K231" t="s" s="2">
        <v>17</v>
      </c>
      <c r="L231" s="3">
        <v>2</v>
      </c>
      <c r="M231" t="s" s="2">
        <v>26</v>
      </c>
      <c r="N231" t="s" s="2">
        <v>35</v>
      </c>
      <c r="O231" s="3">
        <v>65</v>
      </c>
      <c r="P231" t="str" s="8" cm="1">
        <f t="array" ref="P231">IF(O231="","check","Okay")</f>
        <v>Okay</v>
      </c>
      <c r="Q231" t="str" s="8" cm="1">
        <f t="array" ref="Q231">IF(O231&lt;30,"UNDER 30",IF(O231&lt;=50,"30-50","Over 50"))</f>
        <v>Over 50</v>
      </c>
      <c r="R231" t="s" s="2">
        <v>20</v>
      </c>
      <c r="S231" s="3" cm="1">
        <f t="array" ref="S231">COUNTIF(A2:A1001,A231)</f>
        <v>1</v>
      </c>
      <c r="T231" t="str" s="8" cm="1">
        <f t="array" ref="T231">IF(ISNUMBER(F231),"Ok","check")</f>
        <v>Ok</v>
      </c>
      <c r="U231" t="str" s="8" cm="1">
        <f t="array" ref="U231">IF(ISNUMBER(O231),"ok","check")</f>
        <v>ok</v>
      </c>
    </row>
    <row r="232" ht="13.55" customHeight="1">
      <c r="A232" s="3">
        <v>12207</v>
      </c>
      <c r="B232" t="s" s="2">
        <v>25</v>
      </c>
      <c r="C232" t="str" s="8" cm="1">
        <f t="array" ref="C232">IF(B232="M","Married","Single")</f>
        <v>Single</v>
      </c>
      <c r="D232" t="s" s="2">
        <v>13</v>
      </c>
      <c r="E232" t="str" s="8" cm="1">
        <f t="array" ref="E232">IF(D232="M","Male",IF(D232="F","Female","Check"))</f>
        <v>Male</v>
      </c>
      <c r="F232" s="4">
        <v>80000</v>
      </c>
      <c r="G232" t="str" s="8" cm="1">
        <f t="array" ref="G232">IF(F232="","Check","okay")</f>
        <v>okay</v>
      </c>
      <c r="H232" s="3">
        <v>4</v>
      </c>
      <c r="I232" t="s" s="2">
        <v>15</v>
      </c>
      <c r="J232" t="s" s="2">
        <v>31</v>
      </c>
      <c r="K232" t="s" s="2">
        <v>17</v>
      </c>
      <c r="L232" s="3">
        <v>0</v>
      </c>
      <c r="M232" t="s" s="2">
        <v>26</v>
      </c>
      <c r="N232" t="s" s="2">
        <v>35</v>
      </c>
      <c r="O232" s="3">
        <v>66</v>
      </c>
      <c r="P232" t="str" s="8" cm="1">
        <f t="array" ref="P232">IF(O232="","check","Okay")</f>
        <v>Okay</v>
      </c>
      <c r="Q232" t="str" s="8" cm="1">
        <f t="array" ref="Q232">IF(O232&lt;30,"UNDER 30",IF(O232&lt;=50,"30-50","Over 50"))</f>
        <v>Over 50</v>
      </c>
      <c r="R232" t="s" s="2">
        <v>17</v>
      </c>
      <c r="S232" s="3" cm="1">
        <f t="array" ref="S232">COUNTIF(A2:A1001,A232)</f>
        <v>1</v>
      </c>
      <c r="T232" t="str" s="8" cm="1">
        <f t="array" ref="T232">IF(ISNUMBER(F232),"Ok","check")</f>
        <v>Ok</v>
      </c>
      <c r="U232" t="str" s="8" cm="1">
        <f t="array" ref="U232">IF(ISNUMBER(O232),"ok","check")</f>
        <v>ok</v>
      </c>
    </row>
    <row r="233" ht="13.55" customHeight="1">
      <c r="A233" s="3">
        <v>17471</v>
      </c>
      <c r="B233" t="s" s="2">
        <v>25</v>
      </c>
      <c r="C233" t="str" s="8" cm="1">
        <f t="array" ref="C233">IF(B233="M","Married","Single")</f>
        <v>Single</v>
      </c>
      <c r="D233" t="s" s="2">
        <v>14</v>
      </c>
      <c r="E233" t="str" s="8" cm="1">
        <f t="array" ref="E233">IF(D233="M","Male",IF(D233="F","Female","Check"))</f>
        <v>Female</v>
      </c>
      <c r="F233" s="4">
        <v>80000</v>
      </c>
      <c r="G233" t="str" s="8" cm="1">
        <f t="array" ref="G233">IF(F233="","Check","okay")</f>
        <v>okay</v>
      </c>
      <c r="H233" s="3">
        <v>4</v>
      </c>
      <c r="I233" t="s" s="2">
        <v>34</v>
      </c>
      <c r="J233" t="s" s="2">
        <v>31</v>
      </c>
      <c r="K233" t="s" s="2">
        <v>17</v>
      </c>
      <c r="L233" s="3">
        <v>2</v>
      </c>
      <c r="M233" t="s" s="2">
        <v>26</v>
      </c>
      <c r="N233" t="s" s="2">
        <v>35</v>
      </c>
      <c r="O233" s="3">
        <v>67</v>
      </c>
      <c r="P233" t="str" s="8" cm="1">
        <f t="array" ref="P233">IF(O233="","check","Okay")</f>
        <v>Okay</v>
      </c>
      <c r="Q233" t="str" s="8" cm="1">
        <f t="array" ref="Q233">IF(O233&lt;30,"UNDER 30",IF(O233&lt;=50,"30-50","Over 50"))</f>
        <v>Over 50</v>
      </c>
      <c r="R233" t="s" s="2">
        <v>20</v>
      </c>
      <c r="S233" s="3" cm="1">
        <f t="array" ref="S233">COUNTIF(A2:A1001,A233)</f>
        <v>1</v>
      </c>
      <c r="T233" t="str" s="8" cm="1">
        <f t="array" ref="T233">IF(ISNUMBER(F233),"Ok","check")</f>
        <v>Ok</v>
      </c>
      <c r="U233" t="str" s="8" cm="1">
        <f t="array" ref="U233">IF(ISNUMBER(O233),"ok","check")</f>
        <v>ok</v>
      </c>
    </row>
    <row r="234" ht="13.55" customHeight="1">
      <c r="A234" s="3">
        <v>19731</v>
      </c>
      <c r="B234" t="s" s="2">
        <v>13</v>
      </c>
      <c r="C234" t="str" s="8" cm="1">
        <f t="array" ref="C234">IF(B234="M","Married","Single")</f>
        <v>Married</v>
      </c>
      <c r="D234" t="s" s="2">
        <v>13</v>
      </c>
      <c r="E234" t="str" s="8" cm="1">
        <f t="array" ref="E234">IF(D234="M","Male",IF(D234="F","Female","Check"))</f>
        <v>Male</v>
      </c>
      <c r="F234" s="4">
        <v>80000</v>
      </c>
      <c r="G234" t="str" s="8" cm="1">
        <f t="array" ref="G234">IF(F234="","Check","okay")</f>
        <v>okay</v>
      </c>
      <c r="H234" s="3">
        <v>4</v>
      </c>
      <c r="I234" t="s" s="2">
        <v>34</v>
      </c>
      <c r="J234" t="s" s="2">
        <v>31</v>
      </c>
      <c r="K234" t="s" s="2">
        <v>17</v>
      </c>
      <c r="L234" s="3">
        <v>2</v>
      </c>
      <c r="M234" t="s" s="2">
        <v>26</v>
      </c>
      <c r="N234" t="s" s="2">
        <v>35</v>
      </c>
      <c r="O234" s="3">
        <v>68</v>
      </c>
      <c r="P234" t="str" s="8" cm="1">
        <f t="array" ref="P234">IF(O234="","check","Okay")</f>
        <v>Okay</v>
      </c>
      <c r="Q234" t="str" s="8" cm="1">
        <f t="array" ref="Q234">IF(O234&lt;30,"UNDER 30",IF(O234&lt;=50,"30-50","Over 50"))</f>
        <v>Over 50</v>
      </c>
      <c r="R234" t="s" s="2">
        <v>20</v>
      </c>
      <c r="S234" s="3" cm="1">
        <f t="array" ref="S234">COUNTIF(A2:A1001,A234)</f>
        <v>1</v>
      </c>
      <c r="T234" t="str" s="8" cm="1">
        <f t="array" ref="T234">IF(ISNUMBER(F234),"Ok","check")</f>
        <v>Ok</v>
      </c>
      <c r="U234" t="str" s="8" cm="1">
        <f t="array" ref="U234">IF(ISNUMBER(O234),"ok","check")</f>
        <v>ok</v>
      </c>
    </row>
    <row r="235" ht="13.55" customHeight="1">
      <c r="A235" s="3">
        <v>27660</v>
      </c>
      <c r="B235" t="s" s="2">
        <v>13</v>
      </c>
      <c r="C235" t="str" s="8" cm="1">
        <f t="array" ref="C235">IF(B235="M","Married","Single")</f>
        <v>Married</v>
      </c>
      <c r="D235" t="s" s="2">
        <v>13</v>
      </c>
      <c r="E235" t="str" s="8" cm="1">
        <f t="array" ref="E235">IF(D235="M","Male",IF(D235="F","Female","Check"))</f>
        <v>Male</v>
      </c>
      <c r="F235" s="4">
        <v>80000</v>
      </c>
      <c r="G235" t="str" s="8" cm="1">
        <f t="array" ref="G235">IF(F235="","Check","okay")</f>
        <v>okay</v>
      </c>
      <c r="H235" s="3">
        <v>4</v>
      </c>
      <c r="I235" t="s" s="2">
        <v>34</v>
      </c>
      <c r="J235" t="s" s="2">
        <v>31</v>
      </c>
      <c r="K235" t="s" s="2">
        <v>17</v>
      </c>
      <c r="L235" s="3">
        <v>2</v>
      </c>
      <c r="M235" t="s" s="2">
        <v>26</v>
      </c>
      <c r="N235" t="s" s="2">
        <v>35</v>
      </c>
      <c r="O235" s="3">
        <v>70</v>
      </c>
      <c r="P235" t="str" s="8" cm="1">
        <f t="array" ref="P235">IF(O235="","check","Okay")</f>
        <v>Okay</v>
      </c>
      <c r="Q235" t="str" s="8" cm="1">
        <f t="array" ref="Q235">IF(O235&lt;30,"UNDER 30",IF(O235&lt;=50,"30-50","Over 50"))</f>
        <v>Over 50</v>
      </c>
      <c r="R235" t="s" s="2">
        <v>20</v>
      </c>
      <c r="S235" s="3" cm="1">
        <f t="array" ref="S235">COUNTIF(A2:A1001,A235)</f>
        <v>1</v>
      </c>
      <c r="T235" t="str" s="8" cm="1">
        <f t="array" ref="T235">IF(ISNUMBER(F235),"Ok","check")</f>
        <v>Ok</v>
      </c>
      <c r="U235" t="str" s="8" cm="1">
        <f t="array" ref="U235">IF(ISNUMBER(O235),"ok","check")</f>
        <v>ok</v>
      </c>
    </row>
    <row r="236" ht="13.55" customHeight="1">
      <c r="A236" s="3">
        <v>11275</v>
      </c>
      <c r="B236" t="s" s="2">
        <v>13</v>
      </c>
      <c r="C236" t="str" s="8" cm="1">
        <f t="array" ref="C236">IF(B236="M","Married","Single")</f>
        <v>Married</v>
      </c>
      <c r="D236" t="s" s="2">
        <v>14</v>
      </c>
      <c r="E236" t="str" s="8" cm="1">
        <f t="array" ref="E236">IF(D236="M","Male",IF(D236="F","Female","Check"))</f>
        <v>Female</v>
      </c>
      <c r="F236" s="4">
        <v>80000</v>
      </c>
      <c r="G236" t="str" s="8" cm="1">
        <f t="array" ref="G236">IF(F236="","Check","okay")</f>
        <v>okay</v>
      </c>
      <c r="H236" s="3">
        <v>4</v>
      </c>
      <c r="I236" t="s" s="2">
        <v>34</v>
      </c>
      <c r="J236" t="s" s="2">
        <v>31</v>
      </c>
      <c r="K236" t="s" s="2">
        <v>17</v>
      </c>
      <c r="L236" s="3">
        <v>2</v>
      </c>
      <c r="M236" t="s" s="2">
        <v>18</v>
      </c>
      <c r="N236" t="s" s="2">
        <v>35</v>
      </c>
      <c r="O236" s="3">
        <v>72</v>
      </c>
      <c r="P236" t="str" s="8" cm="1">
        <f t="array" ref="P236">IF(O236="","check","Okay")</f>
        <v>Okay</v>
      </c>
      <c r="Q236" t="str" s="8" cm="1">
        <f t="array" ref="Q236">IF(O236&lt;30,"UNDER 30",IF(O236&lt;=50,"30-50","Over 50"))</f>
        <v>Over 50</v>
      </c>
      <c r="R236" t="s" s="2">
        <v>17</v>
      </c>
      <c r="S236" s="3" cm="1">
        <f t="array" ref="S236">COUNTIF(A2:A1001,A236)</f>
        <v>1</v>
      </c>
      <c r="T236" t="str" s="8" cm="1">
        <f t="array" ref="T236">IF(ISNUMBER(F236),"Ok","check")</f>
        <v>Ok</v>
      </c>
      <c r="U236" t="str" s="8" cm="1">
        <f t="array" ref="U236">IF(ISNUMBER(O236),"ok","check")</f>
        <v>ok</v>
      </c>
    </row>
    <row r="237" ht="13.55" customHeight="1">
      <c r="A237" s="3">
        <v>25943</v>
      </c>
      <c r="B237" t="s" s="2">
        <v>25</v>
      </c>
      <c r="C237" t="str" s="8" cm="1">
        <f t="array" ref="C237">IF(B237="M","Married","Single")</f>
        <v>Single</v>
      </c>
      <c r="D237" t="s" s="2">
        <v>14</v>
      </c>
      <c r="E237" t="str" s="8" cm="1">
        <f t="array" ref="E237">IF(D237="M","Male",IF(D237="F","Female","Check"))</f>
        <v>Female</v>
      </c>
      <c r="F237" s="4">
        <v>70000</v>
      </c>
      <c r="G237" t="str" s="8" cm="1">
        <f t="array" ref="G237">IF(F237="","Check","okay")</f>
        <v>okay</v>
      </c>
      <c r="H237" s="3">
        <v>0</v>
      </c>
      <c r="I237" t="s" s="2">
        <v>21</v>
      </c>
      <c r="J237" t="s" s="2">
        <v>16</v>
      </c>
      <c r="K237" t="s" s="2">
        <v>20</v>
      </c>
      <c r="L237" s="3">
        <v>2</v>
      </c>
      <c r="M237" t="s" s="2">
        <v>18</v>
      </c>
      <c r="N237" t="s" s="2">
        <v>35</v>
      </c>
      <c r="O237" s="3">
        <v>27</v>
      </c>
      <c r="P237" t="str" s="8" cm="1">
        <f t="array" ref="P237">IF(O237="","check","Okay")</f>
        <v>Okay</v>
      </c>
      <c r="Q237" t="str" s="8" cm="1">
        <f t="array" ref="Q237">IF(O237&lt;30,"UNDER 30",IF(O237&lt;=50,"30-50","Over 50"))</f>
        <v>UNDER 30</v>
      </c>
      <c r="R237" t="s" s="2">
        <v>17</v>
      </c>
      <c r="S237" s="3" cm="1">
        <f t="array" ref="S237">COUNTIF(A2:A1001,A237)</f>
        <v>1</v>
      </c>
      <c r="T237" t="str" s="8" cm="1">
        <f t="array" ref="T237">IF(ISNUMBER(F237),"Ok","check")</f>
        <v>Ok</v>
      </c>
      <c r="U237" t="str" s="8" cm="1">
        <f t="array" ref="U237">IF(ISNUMBER(O237),"ok","check")</f>
        <v>ok</v>
      </c>
    </row>
    <row r="238" ht="13.55" customHeight="1">
      <c r="A238" s="3">
        <v>13620</v>
      </c>
      <c r="B238" t="s" s="2">
        <v>25</v>
      </c>
      <c r="C238" t="str" s="8" cm="1">
        <f t="array" ref="C238">IF(B238="M","Married","Single")</f>
        <v>Single</v>
      </c>
      <c r="D238" t="s" s="2">
        <v>13</v>
      </c>
      <c r="E238" t="str" s="8" cm="1">
        <f t="array" ref="E238">IF(D238="M","Male",IF(D238="F","Female","Check"))</f>
        <v>Male</v>
      </c>
      <c r="F238" s="4">
        <v>70000</v>
      </c>
      <c r="G238" t="str" s="8" cm="1">
        <f t="array" ref="G238">IF(F238="","Check","okay")</f>
        <v>okay</v>
      </c>
      <c r="H238" s="3">
        <v>0</v>
      </c>
      <c r="I238" t="s" s="2">
        <v>15</v>
      </c>
      <c r="J238" t="s" s="2">
        <v>23</v>
      </c>
      <c r="K238" t="s" s="2">
        <v>20</v>
      </c>
      <c r="L238" s="3">
        <v>3</v>
      </c>
      <c r="M238" t="s" s="2">
        <v>33</v>
      </c>
      <c r="N238" t="s" s="2">
        <v>27</v>
      </c>
      <c r="O238" s="3">
        <v>30</v>
      </c>
      <c r="P238" t="str" s="8" cm="1">
        <f t="array" ref="P238">IF(O238="","check","Okay")</f>
        <v>Okay</v>
      </c>
      <c r="Q238" t="str" s="8" cm="1">
        <f t="array" ref="Q238">IF(O238&lt;30,"UNDER 30",IF(O238&lt;=50,"30-50","Over 50"))</f>
        <v>30-50</v>
      </c>
      <c r="R238" t="s" s="2">
        <v>17</v>
      </c>
      <c r="S238" s="3" cm="1">
        <f t="array" ref="S238">COUNTIF(A2:A1001,A238)</f>
        <v>1</v>
      </c>
      <c r="T238" t="str" s="8" cm="1">
        <f t="array" ref="T238">IF(ISNUMBER(F238),"Ok","check")</f>
        <v>Ok</v>
      </c>
      <c r="U238" t="str" s="8" cm="1">
        <f t="array" ref="U238">IF(ISNUMBER(O238),"ok","check")</f>
        <v>ok</v>
      </c>
    </row>
    <row r="239" ht="13.55" customHeight="1">
      <c r="A239" s="3">
        <v>11451</v>
      </c>
      <c r="B239" t="s" s="2">
        <v>25</v>
      </c>
      <c r="C239" t="str" s="8" cm="1">
        <f t="array" ref="C239">IF(B239="M","Married","Single")</f>
        <v>Single</v>
      </c>
      <c r="D239" t="s" s="2">
        <v>13</v>
      </c>
      <c r="E239" t="str" s="8" cm="1">
        <f t="array" ref="E239">IF(D239="M","Male",IF(D239="F","Female","Check"))</f>
        <v>Male</v>
      </c>
      <c r="F239" s="4">
        <v>70000</v>
      </c>
      <c r="G239" t="str" s="8" cm="1">
        <f t="array" ref="G239">IF(F239="","Check","okay")</f>
        <v>okay</v>
      </c>
      <c r="H239" s="3">
        <v>0</v>
      </c>
      <c r="I239" t="s" s="2">
        <v>15</v>
      </c>
      <c r="J239" t="s" s="2">
        <v>23</v>
      </c>
      <c r="K239" t="s" s="2">
        <v>20</v>
      </c>
      <c r="L239" s="3">
        <v>4</v>
      </c>
      <c r="M239" t="s" s="2">
        <v>33</v>
      </c>
      <c r="N239" t="s" s="2">
        <v>27</v>
      </c>
      <c r="O239" s="3">
        <v>31</v>
      </c>
      <c r="P239" t="str" s="8" cm="1">
        <f t="array" ref="P239">IF(O239="","check","Okay")</f>
        <v>Okay</v>
      </c>
      <c r="Q239" t="str" s="8" cm="1">
        <f t="array" ref="Q239">IF(O239&lt;30,"UNDER 30",IF(O239&lt;=50,"30-50","Over 50"))</f>
        <v>30-50</v>
      </c>
      <c r="R239" t="s" s="2">
        <v>17</v>
      </c>
      <c r="S239" s="3" cm="1">
        <f t="array" ref="S239">COUNTIF(A2:A1001,A239)</f>
        <v>1</v>
      </c>
      <c r="T239" t="str" s="8" cm="1">
        <f t="array" ref="T239">IF(ISNUMBER(F239),"Ok","check")</f>
        <v>Ok</v>
      </c>
      <c r="U239" t="str" s="8" cm="1">
        <f t="array" ref="U239">IF(ISNUMBER(O239),"ok","check")</f>
        <v>ok</v>
      </c>
    </row>
    <row r="240" ht="13.55" customHeight="1">
      <c r="A240" s="3">
        <v>20606</v>
      </c>
      <c r="B240" t="s" s="2">
        <v>13</v>
      </c>
      <c r="C240" t="str" s="8" cm="1">
        <f t="array" ref="C240">IF(B240="M","Married","Single")</f>
        <v>Married</v>
      </c>
      <c r="D240" t="s" s="2">
        <v>14</v>
      </c>
      <c r="E240" t="str" s="8" cm="1">
        <f t="array" ref="E240">IF(D240="M","Male",IF(D240="F","Female","Check"))</f>
        <v>Female</v>
      </c>
      <c r="F240" s="4">
        <v>70000</v>
      </c>
      <c r="G240" t="str" s="8" cm="1">
        <f t="array" ref="G240">IF(F240="","Check","okay")</f>
        <v>okay</v>
      </c>
      <c r="H240" s="3">
        <v>0</v>
      </c>
      <c r="I240" t="s" s="2">
        <v>15</v>
      </c>
      <c r="J240" t="s" s="2">
        <v>23</v>
      </c>
      <c r="K240" t="s" s="2">
        <v>17</v>
      </c>
      <c r="L240" s="3">
        <v>4</v>
      </c>
      <c r="M240" t="s" s="2">
        <v>33</v>
      </c>
      <c r="N240" t="s" s="2">
        <v>27</v>
      </c>
      <c r="O240" s="3">
        <v>32</v>
      </c>
      <c r="P240" t="str" s="8" cm="1">
        <f t="array" ref="P240">IF(O240="","check","Okay")</f>
        <v>Okay</v>
      </c>
      <c r="Q240" t="str" s="8" cm="1">
        <f t="array" ref="Q240">IF(O240&lt;30,"UNDER 30",IF(O240&lt;=50,"30-50","Over 50"))</f>
        <v>30-50</v>
      </c>
      <c r="R240" t="s" s="2">
        <v>17</v>
      </c>
      <c r="S240" s="3" cm="1">
        <f t="array" ref="S240">COUNTIF(A2:A1001,A240)</f>
        <v>1</v>
      </c>
      <c r="T240" t="str" s="8" cm="1">
        <f t="array" ref="T240">IF(ISNUMBER(F240),"Ok","check")</f>
        <v>Ok</v>
      </c>
      <c r="U240" t="str" s="8" cm="1">
        <f t="array" ref="U240">IF(ISNUMBER(O240),"ok","check")</f>
        <v>ok</v>
      </c>
    </row>
    <row r="241" ht="13.55" customHeight="1">
      <c r="A241" s="3">
        <v>18560</v>
      </c>
      <c r="B241" t="s" s="2">
        <v>13</v>
      </c>
      <c r="C241" t="str" s="8" cm="1">
        <f t="array" ref="C241">IF(B241="M","Married","Single")</f>
        <v>Married</v>
      </c>
      <c r="D241" t="s" s="2">
        <v>14</v>
      </c>
      <c r="E241" t="str" s="8" cm="1">
        <f t="array" ref="E241">IF(D241="M","Male",IF(D241="F","Female","Check"))</f>
        <v>Female</v>
      </c>
      <c r="F241" s="4">
        <v>70000</v>
      </c>
      <c r="G241" t="str" s="8" cm="1">
        <f t="array" ref="G241">IF(F241="","Check","okay")</f>
        <v>okay</v>
      </c>
      <c r="H241" s="3">
        <v>2</v>
      </c>
      <c r="I241" t="s" s="2">
        <v>34</v>
      </c>
      <c r="J241" t="s" s="2">
        <v>23</v>
      </c>
      <c r="K241" t="s" s="2">
        <v>17</v>
      </c>
      <c r="L241" s="3">
        <v>0</v>
      </c>
      <c r="M241" t="s" s="2">
        <v>24</v>
      </c>
      <c r="N241" t="s" s="2">
        <v>35</v>
      </c>
      <c r="O241" s="3">
        <v>34</v>
      </c>
      <c r="P241" t="str" s="8" cm="1">
        <f t="array" ref="P241">IF(O241="","check","Okay")</f>
        <v>Okay</v>
      </c>
      <c r="Q241" t="str" s="8" cm="1">
        <f t="array" ref="Q241">IF(O241&lt;30,"UNDER 30",IF(O241&lt;=50,"30-50","Over 50"))</f>
        <v>30-50</v>
      </c>
      <c r="R241" t="s" s="2">
        <v>17</v>
      </c>
      <c r="S241" s="3" cm="1">
        <f t="array" ref="S241">COUNTIF(A2:A1001,A241)</f>
        <v>1</v>
      </c>
      <c r="T241" t="str" s="8" cm="1">
        <f t="array" ref="T241">IF(ISNUMBER(F241),"Ok","check")</f>
        <v>Ok</v>
      </c>
      <c r="U241" t="str" s="8" cm="1">
        <f t="array" ref="U241">IF(ISNUMBER(O241),"ok","check")</f>
        <v>ok</v>
      </c>
    </row>
    <row r="242" ht="13.55" customHeight="1">
      <c r="A242" s="3">
        <v>22042</v>
      </c>
      <c r="B242" t="s" s="2">
        <v>13</v>
      </c>
      <c r="C242" t="str" s="8" cm="1">
        <f t="array" ref="C242">IF(B242="M","Married","Single")</f>
        <v>Married</v>
      </c>
      <c r="D242" t="s" s="2">
        <v>14</v>
      </c>
      <c r="E242" t="str" s="8" cm="1">
        <f t="array" ref="E242">IF(D242="M","Male",IF(D242="F","Female","Check"))</f>
        <v>Female</v>
      </c>
      <c r="F242" s="4">
        <v>70000</v>
      </c>
      <c r="G242" t="str" s="8" cm="1">
        <f t="array" ref="G242">IF(F242="","Check","okay")</f>
        <v>okay</v>
      </c>
      <c r="H242" s="3">
        <v>0</v>
      </c>
      <c r="I242" t="s" s="2">
        <v>21</v>
      </c>
      <c r="J242" t="s" s="2">
        <v>16</v>
      </c>
      <c r="K242" t="s" s="2">
        <v>17</v>
      </c>
      <c r="L242" s="3">
        <v>2</v>
      </c>
      <c r="M242" t="s" s="2">
        <v>26</v>
      </c>
      <c r="N242" t="s" s="2">
        <v>35</v>
      </c>
      <c r="O242" s="3">
        <v>34</v>
      </c>
      <c r="P242" t="str" s="8" cm="1">
        <f t="array" ref="P242">IF(O242="","check","Okay")</f>
        <v>Okay</v>
      </c>
      <c r="Q242" t="str" s="8" cm="1">
        <f t="array" ref="Q242">IF(O242&lt;30,"UNDER 30",IF(O242&lt;=50,"30-50","Over 50"))</f>
        <v>30-50</v>
      </c>
      <c r="R242" t="s" s="2">
        <v>17</v>
      </c>
      <c r="S242" s="3" cm="1">
        <f t="array" ref="S242">COUNTIF(A2:A1001,A242)</f>
        <v>1</v>
      </c>
      <c r="T242" t="str" s="8" cm="1">
        <f t="array" ref="T242">IF(ISNUMBER(F242),"Ok","check")</f>
        <v>Ok</v>
      </c>
      <c r="U242" t="str" s="8" cm="1">
        <f t="array" ref="U242">IF(ISNUMBER(O242),"ok","check")</f>
        <v>ok</v>
      </c>
    </row>
    <row r="243" ht="13.55" customHeight="1">
      <c r="A243" s="3">
        <v>11788</v>
      </c>
      <c r="B243" t="s" s="2">
        <v>25</v>
      </c>
      <c r="C243" t="str" s="8" cm="1">
        <f t="array" ref="C243">IF(B243="M","Married","Single")</f>
        <v>Single</v>
      </c>
      <c r="D243" t="s" s="2">
        <v>14</v>
      </c>
      <c r="E243" t="str" s="8" cm="1">
        <f t="array" ref="E243">IF(D243="M","Male",IF(D243="F","Female","Check"))</f>
        <v>Female</v>
      </c>
      <c r="F243" s="4">
        <v>70000</v>
      </c>
      <c r="G243" t="str" s="8" cm="1">
        <f t="array" ref="G243">IF(F243="","Check","okay")</f>
        <v>okay</v>
      </c>
      <c r="H243" s="3">
        <v>1</v>
      </c>
      <c r="I243" t="s" s="2">
        <v>34</v>
      </c>
      <c r="J243" t="s" s="2">
        <v>23</v>
      </c>
      <c r="K243" t="s" s="2">
        <v>17</v>
      </c>
      <c r="L243" s="3">
        <v>0</v>
      </c>
      <c r="M243" t="s" s="2">
        <v>24</v>
      </c>
      <c r="N243" t="s" s="2">
        <v>35</v>
      </c>
      <c r="O243" s="3">
        <v>34</v>
      </c>
      <c r="P243" t="str" s="8" cm="1">
        <f t="array" ref="P243">IF(O243="","check","Okay")</f>
        <v>Okay</v>
      </c>
      <c r="Q243" t="str" s="8" cm="1">
        <f t="array" ref="Q243">IF(O243&lt;30,"UNDER 30",IF(O243&lt;=50,"30-50","Over 50"))</f>
        <v>30-50</v>
      </c>
      <c r="R243" t="s" s="2">
        <v>20</v>
      </c>
      <c r="S243" s="3" cm="1">
        <f t="array" ref="S243">COUNTIF(A2:A1001,A243)</f>
        <v>1</v>
      </c>
      <c r="T243" t="str" s="8" cm="1">
        <f t="array" ref="T243">IF(ISNUMBER(F243),"Ok","check")</f>
        <v>Ok</v>
      </c>
      <c r="U243" t="str" s="8" cm="1">
        <f t="array" ref="U243">IF(ISNUMBER(O243),"ok","check")</f>
        <v>ok</v>
      </c>
    </row>
    <row r="244" ht="13.55" customHeight="1">
      <c r="A244" s="3">
        <v>15302</v>
      </c>
      <c r="B244" t="s" s="2">
        <v>25</v>
      </c>
      <c r="C244" t="str" s="8" cm="1">
        <f t="array" ref="C244">IF(B244="M","Married","Single")</f>
        <v>Single</v>
      </c>
      <c r="D244" t="s" s="2">
        <v>14</v>
      </c>
      <c r="E244" t="str" s="8" cm="1">
        <f t="array" ref="E244">IF(D244="M","Male",IF(D244="F","Female","Check"))</f>
        <v>Female</v>
      </c>
      <c r="F244" s="4">
        <v>70000</v>
      </c>
      <c r="G244" t="str" s="8" cm="1">
        <f t="array" ref="G244">IF(F244="","Check","okay")</f>
        <v>okay</v>
      </c>
      <c r="H244" s="3">
        <v>1</v>
      </c>
      <c r="I244" t="s" s="2">
        <v>34</v>
      </c>
      <c r="J244" t="s" s="2">
        <v>23</v>
      </c>
      <c r="K244" t="s" s="2">
        <v>17</v>
      </c>
      <c r="L244" s="3">
        <v>0</v>
      </c>
      <c r="M244" t="s" s="2">
        <v>24</v>
      </c>
      <c r="N244" t="s" s="2">
        <v>35</v>
      </c>
      <c r="O244" s="3">
        <v>34</v>
      </c>
      <c r="P244" t="str" s="8" cm="1">
        <f t="array" ref="P244">IF(O244="","check","Okay")</f>
        <v>Okay</v>
      </c>
      <c r="Q244" t="str" s="8" cm="1">
        <f t="array" ref="Q244">IF(O244&lt;30,"UNDER 30",IF(O244&lt;=50,"30-50","Over 50"))</f>
        <v>30-50</v>
      </c>
      <c r="R244" t="s" s="2">
        <v>17</v>
      </c>
      <c r="S244" s="3" cm="1">
        <f t="array" ref="S244">COUNTIF(A2:A1001,A244)</f>
        <v>1</v>
      </c>
      <c r="T244" t="str" s="8" cm="1">
        <f t="array" ref="T244">IF(ISNUMBER(F244),"Ok","check")</f>
        <v>Ok</v>
      </c>
      <c r="U244" t="str" s="8" cm="1">
        <f t="array" ref="U244">IF(ISNUMBER(O244),"ok","check")</f>
        <v>ok</v>
      </c>
    </row>
    <row r="245" ht="13.55" customHeight="1">
      <c r="A245" s="3">
        <v>16753</v>
      </c>
      <c r="B245" t="s" s="2">
        <v>25</v>
      </c>
      <c r="C245" t="str" s="8" cm="1">
        <f t="array" ref="C245">IF(B245="M","Married","Single")</f>
        <v>Single</v>
      </c>
      <c r="D245" t="s" s="2">
        <v>14</v>
      </c>
      <c r="E245" t="str" s="8" cm="1">
        <f t="array" ref="E245">IF(D245="M","Male",IF(D245="F","Female","Check"))</f>
        <v>Female</v>
      </c>
      <c r="F245" s="4">
        <v>70000</v>
      </c>
      <c r="G245" t="str" s="8" cm="1">
        <f t="array" ref="G245">IF(F245="","Check","okay")</f>
        <v>okay</v>
      </c>
      <c r="H245" s="3">
        <v>0</v>
      </c>
      <c r="I245" t="s" s="2">
        <v>21</v>
      </c>
      <c r="J245" t="s" s="2">
        <v>16</v>
      </c>
      <c r="K245" t="s" s="2">
        <v>17</v>
      </c>
      <c r="L245" s="3">
        <v>2</v>
      </c>
      <c r="M245" t="s" s="2">
        <v>26</v>
      </c>
      <c r="N245" t="s" s="2">
        <v>35</v>
      </c>
      <c r="O245" s="3">
        <v>34</v>
      </c>
      <c r="P245" t="str" s="8" cm="1">
        <f t="array" ref="P245">IF(O245="","check","Okay")</f>
        <v>Okay</v>
      </c>
      <c r="Q245" t="str" s="8" cm="1">
        <f t="array" ref="Q245">IF(O245&lt;30,"UNDER 30",IF(O245&lt;=50,"30-50","Over 50"))</f>
        <v>30-50</v>
      </c>
      <c r="R245" t="s" s="2">
        <v>17</v>
      </c>
      <c r="S245" s="3" cm="1">
        <f t="array" ref="S245">COUNTIF(A2:A1001,A245)</f>
        <v>1</v>
      </c>
      <c r="T245" t="str" s="8" cm="1">
        <f t="array" ref="T245">IF(ISNUMBER(F245),"Ok","check")</f>
        <v>Ok</v>
      </c>
      <c r="U245" t="str" s="8" cm="1">
        <f t="array" ref="U245">IF(ISNUMBER(O245),"ok","check")</f>
        <v>ok</v>
      </c>
    </row>
    <row r="246" ht="13.55" customHeight="1">
      <c r="A246" s="3">
        <v>11807</v>
      </c>
      <c r="B246" t="s" s="2">
        <v>13</v>
      </c>
      <c r="C246" t="str" s="8" cm="1">
        <f t="array" ref="C246">IF(B246="M","Married","Single")</f>
        <v>Married</v>
      </c>
      <c r="D246" t="s" s="2">
        <v>13</v>
      </c>
      <c r="E246" t="str" s="8" cm="1">
        <f t="array" ref="E246">IF(D246="M","Male",IF(D246="F","Female","Check"))</f>
        <v>Male</v>
      </c>
      <c r="F246" s="4">
        <v>70000</v>
      </c>
      <c r="G246" t="str" s="8" cm="1">
        <f t="array" ref="G246">IF(F246="","Check","okay")</f>
        <v>okay</v>
      </c>
      <c r="H246" s="3">
        <v>3</v>
      </c>
      <c r="I246" t="s" s="2">
        <v>34</v>
      </c>
      <c r="J246" t="s" s="2">
        <v>23</v>
      </c>
      <c r="K246" t="s" s="2">
        <v>17</v>
      </c>
      <c r="L246" s="3">
        <v>0</v>
      </c>
      <c r="M246" t="s" s="2">
        <v>24</v>
      </c>
      <c r="N246" t="s" s="2">
        <v>35</v>
      </c>
      <c r="O246" s="3">
        <v>34</v>
      </c>
      <c r="P246" t="str" s="8" cm="1">
        <f t="array" ref="P246">IF(O246="","check","Okay")</f>
        <v>Okay</v>
      </c>
      <c r="Q246" t="str" s="8" cm="1">
        <f t="array" ref="Q246">IF(O246&lt;30,"UNDER 30",IF(O246&lt;=50,"30-50","Over 50"))</f>
        <v>30-50</v>
      </c>
      <c r="R246" t="s" s="2">
        <v>20</v>
      </c>
      <c r="S246" s="3" cm="1">
        <f t="array" ref="S246">COUNTIF(A2:A1001,A246)</f>
        <v>1</v>
      </c>
      <c r="T246" t="str" s="8" cm="1">
        <f t="array" ref="T246">IF(ISNUMBER(F246),"Ok","check")</f>
        <v>Ok</v>
      </c>
      <c r="U246" t="str" s="8" cm="1">
        <f t="array" ref="U246">IF(ISNUMBER(O246),"ok","check")</f>
        <v>ok</v>
      </c>
    </row>
    <row r="247" ht="13.55" customHeight="1">
      <c r="A247" s="3">
        <v>13886</v>
      </c>
      <c r="B247" t="s" s="2">
        <v>13</v>
      </c>
      <c r="C247" t="str" s="8" cm="1">
        <f t="array" ref="C247">IF(B247="M","Married","Single")</f>
        <v>Married</v>
      </c>
      <c r="D247" t="s" s="2">
        <v>14</v>
      </c>
      <c r="E247" t="str" s="8" cm="1">
        <f t="array" ref="E247">IF(D247="M","Male",IF(D247="F","Female","Check"))</f>
        <v>Female</v>
      </c>
      <c r="F247" s="4">
        <v>70000</v>
      </c>
      <c r="G247" t="str" s="8" cm="1">
        <f t="array" ref="G247">IF(F247="","Check","okay")</f>
        <v>okay</v>
      </c>
      <c r="H247" s="3">
        <v>4</v>
      </c>
      <c r="I247" t="s" s="2">
        <v>34</v>
      </c>
      <c r="J247" t="s" s="2">
        <v>23</v>
      </c>
      <c r="K247" t="s" s="2">
        <v>17</v>
      </c>
      <c r="L247" s="3">
        <v>0</v>
      </c>
      <c r="M247" t="s" s="2">
        <v>24</v>
      </c>
      <c r="N247" t="s" s="2">
        <v>35</v>
      </c>
      <c r="O247" s="3">
        <v>35</v>
      </c>
      <c r="P247" t="str" s="8" cm="1">
        <f t="array" ref="P247">IF(O247="","check","Okay")</f>
        <v>Okay</v>
      </c>
      <c r="Q247" t="str" s="8" cm="1">
        <f t="array" ref="Q247">IF(O247&lt;30,"UNDER 30",IF(O247&lt;=50,"30-50","Over 50"))</f>
        <v>30-50</v>
      </c>
      <c r="R247" t="s" s="2">
        <v>17</v>
      </c>
      <c r="S247" s="3" cm="1">
        <f t="array" ref="S247">COUNTIF(A2:A1001,A247)</f>
        <v>1</v>
      </c>
      <c r="T247" t="str" s="8" cm="1">
        <f t="array" ref="T247">IF(ISNUMBER(F247),"Ok","check")</f>
        <v>Ok</v>
      </c>
      <c r="U247" t="str" s="8" cm="1">
        <f t="array" ref="U247">IF(ISNUMBER(O247),"ok","check")</f>
        <v>ok</v>
      </c>
    </row>
    <row r="248" ht="13.55" customHeight="1">
      <c r="A248" s="3">
        <v>14572</v>
      </c>
      <c r="B248" t="s" s="2">
        <v>13</v>
      </c>
      <c r="C248" t="str" s="8" cm="1">
        <f t="array" ref="C248">IF(B248="M","Married","Single")</f>
        <v>Married</v>
      </c>
      <c r="D248" t="s" s="2">
        <v>14</v>
      </c>
      <c r="E248" t="str" s="8" cm="1">
        <f t="array" ref="E248">IF(D248="M","Male",IF(D248="F","Female","Check"))</f>
        <v>Female</v>
      </c>
      <c r="F248" s="4">
        <v>70000</v>
      </c>
      <c r="G248" t="str" s="8" cm="1">
        <f t="array" ref="G248">IF(F248="","Check","okay")</f>
        <v>okay</v>
      </c>
      <c r="H248" s="3">
        <v>3</v>
      </c>
      <c r="I248" t="s" s="2">
        <v>34</v>
      </c>
      <c r="J248" t="s" s="2">
        <v>23</v>
      </c>
      <c r="K248" t="s" s="2">
        <v>17</v>
      </c>
      <c r="L248" s="3">
        <v>0</v>
      </c>
      <c r="M248" t="s" s="2">
        <v>24</v>
      </c>
      <c r="N248" t="s" s="2">
        <v>35</v>
      </c>
      <c r="O248" s="3">
        <v>35</v>
      </c>
      <c r="P248" t="str" s="8" cm="1">
        <f t="array" ref="P248">IF(O248="","check","Okay")</f>
        <v>Okay</v>
      </c>
      <c r="Q248" t="str" s="8" cm="1">
        <f t="array" ref="Q248">IF(O248&lt;30,"UNDER 30",IF(O248&lt;=50,"30-50","Over 50"))</f>
        <v>30-50</v>
      </c>
      <c r="R248" t="s" s="2">
        <v>17</v>
      </c>
      <c r="S248" s="3" cm="1">
        <f t="array" ref="S248">COUNTIF(A2:A1001,A248)</f>
        <v>1</v>
      </c>
      <c r="T248" t="str" s="8" cm="1">
        <f t="array" ref="T248">IF(ISNUMBER(F248),"Ok","check")</f>
        <v>Ok</v>
      </c>
      <c r="U248" t="str" s="8" cm="1">
        <f t="array" ref="U248">IF(ISNUMBER(O248),"ok","check")</f>
        <v>ok</v>
      </c>
    </row>
    <row r="249" ht="13.55" customHeight="1">
      <c r="A249" s="3">
        <v>27074</v>
      </c>
      <c r="B249" t="s" s="2">
        <v>13</v>
      </c>
      <c r="C249" t="str" s="8" cm="1">
        <f t="array" ref="C249">IF(B249="M","Married","Single")</f>
        <v>Married</v>
      </c>
      <c r="D249" t="s" s="2">
        <v>14</v>
      </c>
      <c r="E249" t="str" s="8" cm="1">
        <f t="array" ref="E249">IF(D249="M","Male",IF(D249="F","Female","Check"))</f>
        <v>Female</v>
      </c>
      <c r="F249" s="4">
        <v>70000</v>
      </c>
      <c r="G249" t="str" s="8" cm="1">
        <f t="array" ref="G249">IF(F249="","Check","okay")</f>
        <v>okay</v>
      </c>
      <c r="H249" s="3">
        <v>1</v>
      </c>
      <c r="I249" t="s" s="2">
        <v>34</v>
      </c>
      <c r="J249" t="s" s="2">
        <v>16</v>
      </c>
      <c r="K249" t="s" s="2">
        <v>17</v>
      </c>
      <c r="L249" s="3">
        <v>0</v>
      </c>
      <c r="M249" t="s" s="2">
        <v>18</v>
      </c>
      <c r="N249" t="s" s="2">
        <v>35</v>
      </c>
      <c r="O249" s="3">
        <v>35</v>
      </c>
      <c r="P249" t="str" s="8" cm="1">
        <f t="array" ref="P249">IF(O249="","check","Okay")</f>
        <v>Okay</v>
      </c>
      <c r="Q249" t="str" s="8" cm="1">
        <f t="array" ref="Q249">IF(O249&lt;30,"UNDER 30",IF(O249&lt;=50,"30-50","Over 50"))</f>
        <v>30-50</v>
      </c>
      <c r="R249" t="s" s="2">
        <v>17</v>
      </c>
      <c r="S249" s="3" cm="1">
        <f t="array" ref="S249">COUNTIF(A2:A1001,A249)</f>
        <v>1</v>
      </c>
      <c r="T249" t="str" s="8" cm="1">
        <f t="array" ref="T249">IF(ISNUMBER(F249),"Ok","check")</f>
        <v>Ok</v>
      </c>
      <c r="U249" t="str" s="8" cm="1">
        <f t="array" ref="U249">IF(ISNUMBER(O249),"ok","check")</f>
        <v>ok</v>
      </c>
    </row>
    <row r="250" ht="13.55" customHeight="1">
      <c r="A250" s="3">
        <v>11817</v>
      </c>
      <c r="B250" t="s" s="2">
        <v>25</v>
      </c>
      <c r="C250" t="str" s="8" cm="1">
        <f t="array" ref="C250">IF(B250="M","Married","Single")</f>
        <v>Single</v>
      </c>
      <c r="D250" t="s" s="2">
        <v>14</v>
      </c>
      <c r="E250" t="str" s="8" cm="1">
        <f t="array" ref="E250">IF(D250="M","Male",IF(D250="F","Female","Check"))</f>
        <v>Female</v>
      </c>
      <c r="F250" s="4">
        <v>70000</v>
      </c>
      <c r="G250" t="str" s="8" cm="1">
        <f t="array" ref="G250">IF(F250="","Check","okay")</f>
        <v>okay</v>
      </c>
      <c r="H250" s="3">
        <v>4</v>
      </c>
      <c r="I250" t="s" s="2">
        <v>34</v>
      </c>
      <c r="J250" t="s" s="2">
        <v>23</v>
      </c>
      <c r="K250" t="s" s="2">
        <v>17</v>
      </c>
      <c r="L250" s="3">
        <v>0</v>
      </c>
      <c r="M250" t="s" s="2">
        <v>24</v>
      </c>
      <c r="N250" t="s" s="2">
        <v>35</v>
      </c>
      <c r="O250" s="3">
        <v>35</v>
      </c>
      <c r="P250" t="str" s="8" cm="1">
        <f t="array" ref="P250">IF(O250="","check","Okay")</f>
        <v>Okay</v>
      </c>
      <c r="Q250" t="str" s="8" cm="1">
        <f t="array" ref="Q250">IF(O250&lt;30,"UNDER 30",IF(O250&lt;=50,"30-50","Over 50"))</f>
        <v>30-50</v>
      </c>
      <c r="R250" t="s" s="2">
        <v>17</v>
      </c>
      <c r="S250" s="3" cm="1">
        <f t="array" ref="S250">COUNTIF(A2:A1001,A250)</f>
        <v>1</v>
      </c>
      <c r="T250" t="str" s="8" cm="1">
        <f t="array" ref="T250">IF(ISNUMBER(F250),"Ok","check")</f>
        <v>Ok</v>
      </c>
      <c r="U250" t="str" s="8" cm="1">
        <f t="array" ref="U250">IF(ISNUMBER(O250),"ok","check")</f>
        <v>ok</v>
      </c>
    </row>
    <row r="251" ht="13.55" customHeight="1">
      <c r="A251" s="3">
        <v>13873</v>
      </c>
      <c r="B251" t="s" s="2">
        <v>13</v>
      </c>
      <c r="C251" t="str" s="8" cm="1">
        <f t="array" ref="C251">IF(B251="M","Married","Single")</f>
        <v>Married</v>
      </c>
      <c r="D251" t="s" s="2">
        <v>13</v>
      </c>
      <c r="E251" t="str" s="8" cm="1">
        <f t="array" ref="E251">IF(D251="M","Male",IF(D251="F","Female","Check"))</f>
        <v>Male</v>
      </c>
      <c r="F251" s="4">
        <v>70000</v>
      </c>
      <c r="G251" t="str" s="8" cm="1">
        <f t="array" ref="G251">IF(F251="","Check","okay")</f>
        <v>okay</v>
      </c>
      <c r="H251" s="3">
        <v>3</v>
      </c>
      <c r="I251" t="s" s="2">
        <v>34</v>
      </c>
      <c r="J251" t="s" s="2">
        <v>23</v>
      </c>
      <c r="K251" t="s" s="2">
        <v>17</v>
      </c>
      <c r="L251" s="3">
        <v>0</v>
      </c>
      <c r="M251" t="s" s="2">
        <v>18</v>
      </c>
      <c r="N251" t="s" s="2">
        <v>35</v>
      </c>
      <c r="O251" s="3">
        <v>35</v>
      </c>
      <c r="P251" t="str" s="8" cm="1">
        <f t="array" ref="P251">IF(O251="","check","Okay")</f>
        <v>Okay</v>
      </c>
      <c r="Q251" t="str" s="8" cm="1">
        <f t="array" ref="Q251">IF(O251&lt;30,"UNDER 30",IF(O251&lt;=50,"30-50","Over 50"))</f>
        <v>30-50</v>
      </c>
      <c r="R251" t="s" s="2">
        <v>17</v>
      </c>
      <c r="S251" s="3" cm="1">
        <f t="array" ref="S251">COUNTIF(A2:A1001,A251)</f>
        <v>1</v>
      </c>
      <c r="T251" t="str" s="8" cm="1">
        <f t="array" ref="T251">IF(ISNUMBER(F251),"Ok","check")</f>
        <v>Ok</v>
      </c>
      <c r="U251" t="str" s="8" cm="1">
        <f t="array" ref="U251">IF(ISNUMBER(O251),"ok","check")</f>
        <v>ok</v>
      </c>
    </row>
    <row r="252" ht="13.55" customHeight="1">
      <c r="A252" s="3">
        <v>20659</v>
      </c>
      <c r="B252" t="s" s="2">
        <v>13</v>
      </c>
      <c r="C252" t="str" s="8" cm="1">
        <f t="array" ref="C252">IF(B252="M","Married","Single")</f>
        <v>Married</v>
      </c>
      <c r="D252" t="s" s="2">
        <v>13</v>
      </c>
      <c r="E252" t="str" s="8" cm="1">
        <f t="array" ref="E252">IF(D252="M","Male",IF(D252="F","Female","Check"))</f>
        <v>Male</v>
      </c>
      <c r="F252" s="4">
        <v>70000</v>
      </c>
      <c r="G252" t="str" s="8" cm="1">
        <f t="array" ref="G252">IF(F252="","Check","okay")</f>
        <v>okay</v>
      </c>
      <c r="H252" s="3">
        <v>3</v>
      </c>
      <c r="I252" t="s" s="2">
        <v>34</v>
      </c>
      <c r="J252" t="s" s="2">
        <v>23</v>
      </c>
      <c r="K252" t="s" s="2">
        <v>17</v>
      </c>
      <c r="L252" s="3">
        <v>0</v>
      </c>
      <c r="M252" t="s" s="2">
        <v>18</v>
      </c>
      <c r="N252" t="s" s="2">
        <v>35</v>
      </c>
      <c r="O252" s="3">
        <v>35</v>
      </c>
      <c r="P252" t="str" s="8" cm="1">
        <f t="array" ref="P252">IF(O252="","check","Okay")</f>
        <v>Okay</v>
      </c>
      <c r="Q252" t="str" s="8" cm="1">
        <f t="array" ref="Q252">IF(O252&lt;30,"UNDER 30",IF(O252&lt;=50,"30-50","Over 50"))</f>
        <v>30-50</v>
      </c>
      <c r="R252" t="s" s="2">
        <v>17</v>
      </c>
      <c r="S252" s="3" cm="1">
        <f t="array" ref="S252">COUNTIF(A2:A1001,A252)</f>
        <v>1</v>
      </c>
      <c r="T252" t="str" s="8" cm="1">
        <f t="array" ref="T252">IF(ISNUMBER(F252),"Ok","check")</f>
        <v>Ok</v>
      </c>
      <c r="U252" t="str" s="8" cm="1">
        <f t="array" ref="U252">IF(ISNUMBER(O252),"ok","check")</f>
        <v>ok</v>
      </c>
    </row>
    <row r="253" ht="13.55" customHeight="1">
      <c r="A253" s="3">
        <v>27273</v>
      </c>
      <c r="B253" t="s" s="2">
        <v>25</v>
      </c>
      <c r="C253" t="str" s="8" cm="1">
        <f t="array" ref="C253">IF(B253="M","Married","Single")</f>
        <v>Single</v>
      </c>
      <c r="D253" t="s" s="2">
        <v>13</v>
      </c>
      <c r="E253" t="str" s="8" cm="1">
        <f t="array" ref="E253">IF(D253="M","Male",IF(D253="F","Female","Check"))</f>
        <v>Male</v>
      </c>
      <c r="F253" s="4">
        <v>70000</v>
      </c>
      <c r="G253" t="str" s="8" cm="1">
        <f t="array" ref="G253">IF(F253="","Check","okay")</f>
        <v>okay</v>
      </c>
      <c r="H253" s="3">
        <v>3</v>
      </c>
      <c r="I253" t="s" s="2">
        <v>34</v>
      </c>
      <c r="J253" t="s" s="2">
        <v>23</v>
      </c>
      <c r="K253" t="s" s="2">
        <v>20</v>
      </c>
      <c r="L253" s="3">
        <v>0</v>
      </c>
      <c r="M253" t="s" s="2">
        <v>18</v>
      </c>
      <c r="N253" t="s" s="2">
        <v>35</v>
      </c>
      <c r="O253" s="3">
        <v>35</v>
      </c>
      <c r="P253" t="str" s="8" cm="1">
        <f t="array" ref="P253">IF(O253="","check","Okay")</f>
        <v>Okay</v>
      </c>
      <c r="Q253" t="str" s="8" cm="1">
        <f t="array" ref="Q253">IF(O253&lt;30,"UNDER 30",IF(O253&lt;=50,"30-50","Over 50"))</f>
        <v>30-50</v>
      </c>
      <c r="R253" t="s" s="2">
        <v>17</v>
      </c>
      <c r="S253" s="3" cm="1">
        <f t="array" ref="S253">COUNTIF(A2:A1001,A253)</f>
        <v>1</v>
      </c>
      <c r="T253" t="str" s="8" cm="1">
        <f t="array" ref="T253">IF(ISNUMBER(F253),"Ok","check")</f>
        <v>Ok</v>
      </c>
      <c r="U253" t="str" s="8" cm="1">
        <f t="array" ref="U253">IF(ISNUMBER(O253),"ok","check")</f>
        <v>ok</v>
      </c>
    </row>
    <row r="254" ht="13.55" customHeight="1">
      <c r="A254" s="3">
        <v>28672</v>
      </c>
      <c r="B254" t="s" s="2">
        <v>25</v>
      </c>
      <c r="C254" t="str" s="8" cm="1">
        <f t="array" ref="C254">IF(B254="M","Married","Single")</f>
        <v>Single</v>
      </c>
      <c r="D254" t="s" s="2">
        <v>13</v>
      </c>
      <c r="E254" t="str" s="8" cm="1">
        <f t="array" ref="E254">IF(D254="M","Male",IF(D254="F","Female","Check"))</f>
        <v>Male</v>
      </c>
      <c r="F254" s="4">
        <v>70000</v>
      </c>
      <c r="G254" t="str" s="8" cm="1">
        <f t="array" ref="G254">IF(F254="","Check","okay")</f>
        <v>okay</v>
      </c>
      <c r="H254" s="3">
        <v>4</v>
      </c>
      <c r="I254" t="s" s="2">
        <v>34</v>
      </c>
      <c r="J254" t="s" s="2">
        <v>23</v>
      </c>
      <c r="K254" t="s" s="2">
        <v>17</v>
      </c>
      <c r="L254" s="3">
        <v>0</v>
      </c>
      <c r="M254" t="s" s="2">
        <v>24</v>
      </c>
      <c r="N254" t="s" s="2">
        <v>35</v>
      </c>
      <c r="O254" s="3">
        <v>35</v>
      </c>
      <c r="P254" t="str" s="8" cm="1">
        <f t="array" ref="P254">IF(O254="","check","Okay")</f>
        <v>Okay</v>
      </c>
      <c r="Q254" t="str" s="8" cm="1">
        <f t="array" ref="Q254">IF(O254&lt;30,"UNDER 30",IF(O254&lt;=50,"30-50","Over 50"))</f>
        <v>30-50</v>
      </c>
      <c r="R254" t="s" s="2">
        <v>17</v>
      </c>
      <c r="S254" s="3" cm="1">
        <f t="array" ref="S254">COUNTIF(A2:A1001,A254)</f>
        <v>1</v>
      </c>
      <c r="T254" t="str" s="8" cm="1">
        <f t="array" ref="T254">IF(ISNUMBER(F254),"Ok","check")</f>
        <v>Ok</v>
      </c>
      <c r="U254" t="str" s="8" cm="1">
        <f t="array" ref="U254">IF(ISNUMBER(O254),"ok","check")</f>
        <v>ok</v>
      </c>
    </row>
    <row r="255" ht="13.55" customHeight="1">
      <c r="A255" s="3">
        <v>11663</v>
      </c>
      <c r="B255" t="s" s="2">
        <v>13</v>
      </c>
      <c r="C255" t="str" s="8" cm="1">
        <f t="array" ref="C255">IF(B255="M","Married","Single")</f>
        <v>Married</v>
      </c>
      <c r="D255" t="s" s="2">
        <v>13</v>
      </c>
      <c r="E255" t="str" s="8" cm="1">
        <f t="array" ref="E255">IF(D255="M","Male",IF(D255="F","Female","Check"))</f>
        <v>Male</v>
      </c>
      <c r="F255" s="4">
        <v>70000</v>
      </c>
      <c r="G255" t="str" s="8" cm="1">
        <f t="array" ref="G255">IF(F255="","Check","okay")</f>
        <v>okay</v>
      </c>
      <c r="H255" s="3">
        <v>4</v>
      </c>
      <c r="I255" t="s" s="2">
        <v>34</v>
      </c>
      <c r="J255" t="s" s="2">
        <v>23</v>
      </c>
      <c r="K255" t="s" s="2">
        <v>17</v>
      </c>
      <c r="L255" s="3">
        <v>0</v>
      </c>
      <c r="M255" t="s" s="2">
        <v>18</v>
      </c>
      <c r="N255" t="s" s="2">
        <v>35</v>
      </c>
      <c r="O255" s="3">
        <v>36</v>
      </c>
      <c r="P255" t="str" s="8" cm="1">
        <f t="array" ref="P255">IF(O255="","check","Okay")</f>
        <v>Okay</v>
      </c>
      <c r="Q255" t="str" s="8" cm="1">
        <f t="array" ref="Q255">IF(O255&lt;30,"UNDER 30",IF(O255&lt;=50,"30-50","Over 50"))</f>
        <v>30-50</v>
      </c>
      <c r="R255" t="s" s="2">
        <v>17</v>
      </c>
      <c r="S255" s="3" cm="1">
        <f t="array" ref="S255">COUNTIF(A2:A1001,A255)</f>
        <v>1</v>
      </c>
      <c r="T255" t="str" s="8" cm="1">
        <f t="array" ref="T255">IF(ISNUMBER(F255),"Ok","check")</f>
        <v>Ok</v>
      </c>
      <c r="U255" t="str" s="8" cm="1">
        <f t="array" ref="U255">IF(ISNUMBER(O255),"ok","check")</f>
        <v>ok</v>
      </c>
    </row>
    <row r="256" ht="13.55" customHeight="1">
      <c r="A256" s="3">
        <v>15501</v>
      </c>
      <c r="B256" t="s" s="2">
        <v>13</v>
      </c>
      <c r="C256" t="str" s="8" cm="1">
        <f t="array" ref="C256">IF(B256="M","Married","Single")</f>
        <v>Married</v>
      </c>
      <c r="D256" t="s" s="2">
        <v>13</v>
      </c>
      <c r="E256" t="str" s="8" cm="1">
        <f t="array" ref="E256">IF(D256="M","Male",IF(D256="F","Female","Check"))</f>
        <v>Male</v>
      </c>
      <c r="F256" s="4">
        <v>70000</v>
      </c>
      <c r="G256" t="str" s="8" cm="1">
        <f t="array" ref="G256">IF(F256="","Check","okay")</f>
        <v>okay</v>
      </c>
      <c r="H256" s="3">
        <v>4</v>
      </c>
      <c r="I256" t="s" s="2">
        <v>34</v>
      </c>
      <c r="J256" t="s" s="2">
        <v>23</v>
      </c>
      <c r="K256" t="s" s="2">
        <v>17</v>
      </c>
      <c r="L256" s="3">
        <v>0</v>
      </c>
      <c r="M256" t="s" s="2">
        <v>24</v>
      </c>
      <c r="N256" t="s" s="2">
        <v>35</v>
      </c>
      <c r="O256" s="3">
        <v>36</v>
      </c>
      <c r="P256" t="str" s="8" cm="1">
        <f t="array" ref="P256">IF(O256="","check","Okay")</f>
        <v>Okay</v>
      </c>
      <c r="Q256" t="str" s="8" cm="1">
        <f t="array" ref="Q256">IF(O256&lt;30,"UNDER 30",IF(O256&lt;=50,"30-50","Over 50"))</f>
        <v>30-50</v>
      </c>
      <c r="R256" t="s" s="2">
        <v>17</v>
      </c>
      <c r="S256" s="3" cm="1">
        <f t="array" ref="S256">COUNTIF(A2:A1001,A256)</f>
        <v>1</v>
      </c>
      <c r="T256" t="str" s="8" cm="1">
        <f t="array" ref="T256">IF(ISNUMBER(F256),"Ok","check")</f>
        <v>Ok</v>
      </c>
      <c r="U256" t="str" s="8" cm="1">
        <f t="array" ref="U256">IF(ISNUMBER(O256),"ok","check")</f>
        <v>ok</v>
      </c>
    </row>
    <row r="257" ht="13.55" customHeight="1">
      <c r="A257" s="3">
        <v>26327</v>
      </c>
      <c r="B257" t="s" s="2">
        <v>13</v>
      </c>
      <c r="C257" t="str" s="8" cm="1">
        <f t="array" ref="C257">IF(B257="M","Married","Single")</f>
        <v>Married</v>
      </c>
      <c r="D257" t="s" s="2">
        <v>13</v>
      </c>
      <c r="E257" t="str" s="8" cm="1">
        <f t="array" ref="E257">IF(D257="M","Male",IF(D257="F","Female","Check"))</f>
        <v>Male</v>
      </c>
      <c r="F257" s="4">
        <v>70000</v>
      </c>
      <c r="G257" t="str" s="8" cm="1">
        <f t="array" ref="G257">IF(F257="","Check","okay")</f>
        <v>okay</v>
      </c>
      <c r="H257" s="3">
        <v>4</v>
      </c>
      <c r="I257" t="s" s="2">
        <v>34</v>
      </c>
      <c r="J257" t="s" s="2">
        <v>23</v>
      </c>
      <c r="K257" t="s" s="2">
        <v>17</v>
      </c>
      <c r="L257" s="3">
        <v>0</v>
      </c>
      <c r="M257" t="s" s="2">
        <v>24</v>
      </c>
      <c r="N257" t="s" s="2">
        <v>35</v>
      </c>
      <c r="O257" s="3">
        <v>36</v>
      </c>
      <c r="P257" t="str" s="8" cm="1">
        <f t="array" ref="P257">IF(O257="","check","Okay")</f>
        <v>Okay</v>
      </c>
      <c r="Q257" t="str" s="8" cm="1">
        <f t="array" ref="Q257">IF(O257&lt;30,"UNDER 30",IF(O257&lt;=50,"30-50","Over 50"))</f>
        <v>30-50</v>
      </c>
      <c r="R257" t="s" s="2">
        <v>17</v>
      </c>
      <c r="S257" s="3" cm="1">
        <f t="array" ref="S257">COUNTIF(A2:A1001,A257)</f>
        <v>1</v>
      </c>
      <c r="T257" t="str" s="8" cm="1">
        <f t="array" ref="T257">IF(ISNUMBER(F257),"Ok","check")</f>
        <v>Ok</v>
      </c>
      <c r="U257" t="str" s="8" cm="1">
        <f t="array" ref="U257">IF(ISNUMBER(O257),"ok","check")</f>
        <v>ok</v>
      </c>
    </row>
    <row r="258" ht="13.55" customHeight="1">
      <c r="A258" s="3">
        <v>26341</v>
      </c>
      <c r="B258" t="s" s="2">
        <v>13</v>
      </c>
      <c r="C258" t="str" s="8" cm="1">
        <f t="array" ref="C258">IF(B258="M","Married","Single")</f>
        <v>Married</v>
      </c>
      <c r="D258" t="s" s="2">
        <v>14</v>
      </c>
      <c r="E258" t="str" s="8" cm="1">
        <f t="array" ref="E258">IF(D258="M","Male",IF(D258="F","Female","Check"))</f>
        <v>Female</v>
      </c>
      <c r="F258" s="4">
        <v>70000</v>
      </c>
      <c r="G258" t="str" s="8" cm="1">
        <f t="array" ref="G258">IF(F258="","Check","okay")</f>
        <v>okay</v>
      </c>
      <c r="H258" s="3">
        <v>5</v>
      </c>
      <c r="I258" t="s" s="2">
        <v>34</v>
      </c>
      <c r="J258" t="s" s="2">
        <v>23</v>
      </c>
      <c r="K258" t="s" s="2">
        <v>17</v>
      </c>
      <c r="L258" s="3">
        <v>2</v>
      </c>
      <c r="M258" t="s" s="2">
        <v>18</v>
      </c>
      <c r="N258" t="s" s="2">
        <v>35</v>
      </c>
      <c r="O258" s="3">
        <v>37</v>
      </c>
      <c r="P258" t="str" s="8" cm="1">
        <f t="array" ref="P258">IF(O258="","check","Okay")</f>
        <v>Okay</v>
      </c>
      <c r="Q258" t="str" s="8" cm="1">
        <f t="array" ref="Q258">IF(O258&lt;30,"UNDER 30",IF(O258&lt;=50,"30-50","Over 50"))</f>
        <v>30-50</v>
      </c>
      <c r="R258" t="s" s="2">
        <v>20</v>
      </c>
      <c r="S258" s="3" cm="1">
        <f t="array" ref="S258">COUNTIF(A2:A1001,A258)</f>
        <v>1</v>
      </c>
      <c r="T258" t="str" s="8" cm="1">
        <f t="array" ref="T258">IF(ISNUMBER(F258),"Ok","check")</f>
        <v>Ok</v>
      </c>
      <c r="U258" t="str" s="8" cm="1">
        <f t="array" ref="U258">IF(ISNUMBER(O258),"ok","check")</f>
        <v>ok</v>
      </c>
    </row>
    <row r="259" ht="13.55" customHeight="1">
      <c r="A259" s="3">
        <v>22294</v>
      </c>
      <c r="B259" t="s" s="2">
        <v>25</v>
      </c>
      <c r="C259" t="str" s="8" cm="1">
        <f t="array" ref="C259">IF(B259="M","Married","Single")</f>
        <v>Single</v>
      </c>
      <c r="D259" t="s" s="2">
        <v>14</v>
      </c>
      <c r="E259" t="str" s="8" cm="1">
        <f t="array" ref="E259">IF(D259="M","Male",IF(D259="F","Female","Check"))</f>
        <v>Female</v>
      </c>
      <c r="F259" s="4">
        <v>70000</v>
      </c>
      <c r="G259" t="str" s="8" cm="1">
        <f t="array" ref="G259">IF(F259="","Check","okay")</f>
        <v>okay</v>
      </c>
      <c r="H259" s="3">
        <v>0</v>
      </c>
      <c r="I259" t="s" s="2">
        <v>15</v>
      </c>
      <c r="J259" t="s" s="2">
        <v>23</v>
      </c>
      <c r="K259" t="s" s="2">
        <v>20</v>
      </c>
      <c r="L259" s="3">
        <v>1</v>
      </c>
      <c r="M259" t="s" s="2">
        <v>24</v>
      </c>
      <c r="N259" t="s" s="2">
        <v>35</v>
      </c>
      <c r="O259" s="3">
        <v>37</v>
      </c>
      <c r="P259" t="str" s="8" cm="1">
        <f t="array" ref="P259">IF(O259="","check","Okay")</f>
        <v>Okay</v>
      </c>
      <c r="Q259" t="str" s="8" cm="1">
        <f t="array" ref="Q259">IF(O259&lt;30,"UNDER 30",IF(O259&lt;=50,"30-50","Over 50"))</f>
        <v>30-50</v>
      </c>
      <c r="R259" t="s" s="2">
        <v>17</v>
      </c>
      <c r="S259" s="3" cm="1">
        <f t="array" ref="S259">COUNTIF(A2:A1001,A259)</f>
        <v>1</v>
      </c>
      <c r="T259" t="str" s="8" cm="1">
        <f t="array" ref="T259">IF(ISNUMBER(F259),"Ok","check")</f>
        <v>Ok</v>
      </c>
      <c r="U259" t="str" s="8" cm="1">
        <f t="array" ref="U259">IF(ISNUMBER(O259),"ok","check")</f>
        <v>ok</v>
      </c>
    </row>
    <row r="260" ht="13.55" customHeight="1">
      <c r="A260" s="3">
        <v>27540</v>
      </c>
      <c r="B260" t="s" s="2">
        <v>25</v>
      </c>
      <c r="C260" t="str" s="8" cm="1">
        <f t="array" ref="C260">IF(B260="M","Married","Single")</f>
        <v>Single</v>
      </c>
      <c r="D260" t="s" s="2">
        <v>14</v>
      </c>
      <c r="E260" t="str" s="8" cm="1">
        <f t="array" ref="E260">IF(D260="M","Male",IF(D260="F","Female","Check"))</f>
        <v>Female</v>
      </c>
      <c r="F260" s="4">
        <v>70000</v>
      </c>
      <c r="G260" t="str" s="8" cm="1">
        <f t="array" ref="G260">IF(F260="","Check","okay")</f>
        <v>okay</v>
      </c>
      <c r="H260" s="3">
        <v>0</v>
      </c>
      <c r="I260" t="s" s="2">
        <v>15</v>
      </c>
      <c r="J260" t="s" s="2">
        <v>23</v>
      </c>
      <c r="K260" t="s" s="2">
        <v>20</v>
      </c>
      <c r="L260" s="3">
        <v>1</v>
      </c>
      <c r="M260" t="s" s="2">
        <v>18</v>
      </c>
      <c r="N260" t="s" s="2">
        <v>35</v>
      </c>
      <c r="O260" s="3">
        <v>37</v>
      </c>
      <c r="P260" t="str" s="8" cm="1">
        <f t="array" ref="P260">IF(O260="","check","Okay")</f>
        <v>Okay</v>
      </c>
      <c r="Q260" t="str" s="8" cm="1">
        <f t="array" ref="Q260">IF(O260&lt;30,"UNDER 30",IF(O260&lt;=50,"30-50","Over 50"))</f>
        <v>30-50</v>
      </c>
      <c r="R260" t="s" s="2">
        <v>17</v>
      </c>
      <c r="S260" s="3" cm="1">
        <f t="array" ref="S260">COUNTIF(A2:A1001,A260)</f>
        <v>1</v>
      </c>
      <c r="T260" t="str" s="8" cm="1">
        <f t="array" ref="T260">IF(ISNUMBER(F260),"Ok","check")</f>
        <v>Ok</v>
      </c>
      <c r="U260" t="str" s="8" cm="1">
        <f t="array" ref="U260">IF(ISNUMBER(O260),"ok","check")</f>
        <v>ok</v>
      </c>
    </row>
    <row r="261" ht="13.55" customHeight="1">
      <c r="A261" s="3">
        <v>18613</v>
      </c>
      <c r="B261" t="s" s="2">
        <v>25</v>
      </c>
      <c r="C261" t="str" s="8" cm="1">
        <f t="array" ref="C261">IF(B261="M","Married","Single")</f>
        <v>Single</v>
      </c>
      <c r="D261" t="s" s="2">
        <v>13</v>
      </c>
      <c r="E261" t="str" s="8" cm="1">
        <f t="array" ref="E261">IF(D261="M","Male",IF(D261="F","Female","Check"))</f>
        <v>Male</v>
      </c>
      <c r="F261" s="4">
        <v>70000</v>
      </c>
      <c r="G261" t="str" s="8" cm="1">
        <f t="array" ref="G261">IF(F261="","Check","okay")</f>
        <v>okay</v>
      </c>
      <c r="H261" s="3">
        <v>0</v>
      </c>
      <c r="I261" t="s" s="2">
        <v>15</v>
      </c>
      <c r="J261" t="s" s="2">
        <v>23</v>
      </c>
      <c r="K261" t="s" s="2">
        <v>20</v>
      </c>
      <c r="L261" s="3">
        <v>1</v>
      </c>
      <c r="M261" t="s" s="2">
        <v>24</v>
      </c>
      <c r="N261" t="s" s="2">
        <v>35</v>
      </c>
      <c r="O261" s="3">
        <v>37</v>
      </c>
      <c r="P261" t="str" s="8" cm="1">
        <f t="array" ref="P261">IF(O261="","check","Okay")</f>
        <v>Okay</v>
      </c>
      <c r="Q261" t="str" s="8" cm="1">
        <f t="array" ref="Q261">IF(O261&lt;30,"UNDER 30",IF(O261&lt;=50,"30-50","Over 50"))</f>
        <v>30-50</v>
      </c>
      <c r="R261" t="s" s="2">
        <v>17</v>
      </c>
      <c r="S261" s="3" cm="1">
        <f t="array" ref="S261">COUNTIF(A2:A1001,A261)</f>
        <v>1</v>
      </c>
      <c r="T261" t="str" s="8" cm="1">
        <f t="array" ref="T261">IF(ISNUMBER(F261),"Ok","check")</f>
        <v>Ok</v>
      </c>
      <c r="U261" t="str" s="8" cm="1">
        <f t="array" ref="U261">IF(ISNUMBER(O261),"ok","check")</f>
        <v>ok</v>
      </c>
    </row>
    <row r="262" ht="13.55" customHeight="1">
      <c r="A262" s="3">
        <v>23432</v>
      </c>
      <c r="B262" t="s" s="2">
        <v>25</v>
      </c>
      <c r="C262" t="str" s="8" cm="1">
        <f t="array" ref="C262">IF(B262="M","Married","Single")</f>
        <v>Single</v>
      </c>
      <c r="D262" t="s" s="2">
        <v>13</v>
      </c>
      <c r="E262" t="str" s="8" cm="1">
        <f t="array" ref="E262">IF(D262="M","Male",IF(D262="F","Female","Check"))</f>
        <v>Male</v>
      </c>
      <c r="F262" s="4">
        <v>70000</v>
      </c>
      <c r="G262" t="str" s="8" cm="1">
        <f t="array" ref="G262">IF(F262="","Check","okay")</f>
        <v>okay</v>
      </c>
      <c r="H262" s="3">
        <v>0</v>
      </c>
      <c r="I262" t="s" s="2">
        <v>15</v>
      </c>
      <c r="J262" t="s" s="2">
        <v>23</v>
      </c>
      <c r="K262" t="s" s="2">
        <v>17</v>
      </c>
      <c r="L262" s="3">
        <v>1</v>
      </c>
      <c r="M262" t="s" s="2">
        <v>26</v>
      </c>
      <c r="N262" t="s" s="2">
        <v>27</v>
      </c>
      <c r="O262" s="3">
        <v>37</v>
      </c>
      <c r="P262" t="str" s="8" cm="1">
        <f t="array" ref="P262">IF(O262="","check","Okay")</f>
        <v>Okay</v>
      </c>
      <c r="Q262" t="str" s="8" cm="1">
        <f t="array" ref="Q262">IF(O262&lt;30,"UNDER 30",IF(O262&lt;=50,"30-50","Over 50"))</f>
        <v>30-50</v>
      </c>
      <c r="R262" t="s" s="2">
        <v>17</v>
      </c>
      <c r="S262" s="3" cm="1">
        <f t="array" ref="S262">COUNTIF(A2:A1001,A262)</f>
        <v>1</v>
      </c>
      <c r="T262" t="str" s="8" cm="1">
        <f t="array" ref="T262">IF(ISNUMBER(F262),"Ok","check")</f>
        <v>Ok</v>
      </c>
      <c r="U262" t="str" s="8" cm="1">
        <f t="array" ref="U262">IF(ISNUMBER(O262),"ok","check")</f>
        <v>ok</v>
      </c>
    </row>
    <row r="263" ht="13.55" customHeight="1">
      <c r="A263" s="3">
        <v>28667</v>
      </c>
      <c r="B263" t="s" s="2">
        <v>25</v>
      </c>
      <c r="C263" t="str" s="8" cm="1">
        <f t="array" ref="C263">IF(B263="M","Married","Single")</f>
        <v>Single</v>
      </c>
      <c r="D263" t="s" s="2">
        <v>13</v>
      </c>
      <c r="E263" t="str" s="8" cm="1">
        <f t="array" ref="E263">IF(D263="M","Male",IF(D263="F","Female","Check"))</f>
        <v>Male</v>
      </c>
      <c r="F263" s="4">
        <v>70000</v>
      </c>
      <c r="G263" t="str" s="8" cm="1">
        <f t="array" ref="G263">IF(F263="","Check","okay")</f>
        <v>okay</v>
      </c>
      <c r="H263" s="3">
        <v>2</v>
      </c>
      <c r="I263" t="s" s="2">
        <v>15</v>
      </c>
      <c r="J263" t="s" s="2">
        <v>16</v>
      </c>
      <c r="K263" t="s" s="2">
        <v>20</v>
      </c>
      <c r="L263" s="3">
        <v>1</v>
      </c>
      <c r="M263" t="s" s="2">
        <v>18</v>
      </c>
      <c r="N263" t="s" s="2">
        <v>35</v>
      </c>
      <c r="O263" s="3">
        <v>37</v>
      </c>
      <c r="P263" t="str" s="8" cm="1">
        <f t="array" ref="P263">IF(O263="","check","Okay")</f>
        <v>Okay</v>
      </c>
      <c r="Q263" t="str" s="8" cm="1">
        <f t="array" ref="Q263">IF(O263&lt;30,"UNDER 30",IF(O263&lt;=50,"30-50","Over 50"))</f>
        <v>30-50</v>
      </c>
      <c r="R263" t="s" s="2">
        <v>17</v>
      </c>
      <c r="S263" s="3" cm="1">
        <f t="array" ref="S263">COUNTIF(A2:A1001,A263)</f>
        <v>1</v>
      </c>
      <c r="T263" t="str" s="8" cm="1">
        <f t="array" ref="T263">IF(ISNUMBER(F263),"Ok","check")</f>
        <v>Ok</v>
      </c>
      <c r="U263" t="str" s="8" cm="1">
        <f t="array" ref="U263">IF(ISNUMBER(O263),"ok","check")</f>
        <v>ok</v>
      </c>
    </row>
    <row r="264" ht="13.55" customHeight="1">
      <c r="A264" s="3">
        <v>11669</v>
      </c>
      <c r="B264" t="s" s="2">
        <v>25</v>
      </c>
      <c r="C264" t="str" s="8" cm="1">
        <f t="array" ref="C264">IF(B264="M","Married","Single")</f>
        <v>Single</v>
      </c>
      <c r="D264" t="s" s="2">
        <v>14</v>
      </c>
      <c r="E264" t="str" s="8" cm="1">
        <f t="array" ref="E264">IF(D264="M","Male",IF(D264="F","Female","Check"))</f>
        <v>Female</v>
      </c>
      <c r="F264" s="4">
        <v>70000</v>
      </c>
      <c r="G264" t="str" s="8" cm="1">
        <f t="array" ref="G264">IF(F264="","Check","okay")</f>
        <v>okay</v>
      </c>
      <c r="H264" s="3">
        <v>2</v>
      </c>
      <c r="I264" t="s" s="2">
        <v>15</v>
      </c>
      <c r="J264" t="s" s="2">
        <v>16</v>
      </c>
      <c r="K264" t="s" s="2">
        <v>17</v>
      </c>
      <c r="L264" s="3">
        <v>1</v>
      </c>
      <c r="M264" t="s" s="2">
        <v>24</v>
      </c>
      <c r="N264" t="s" s="2">
        <v>35</v>
      </c>
      <c r="O264" s="3">
        <v>38</v>
      </c>
      <c r="P264" t="str" s="8" cm="1">
        <f t="array" ref="P264">IF(O264="","check","Okay")</f>
        <v>Okay</v>
      </c>
      <c r="Q264" t="str" s="8" cm="1">
        <f t="array" ref="Q264">IF(O264&lt;30,"UNDER 30",IF(O264&lt;=50,"30-50","Over 50"))</f>
        <v>30-50</v>
      </c>
      <c r="R264" t="s" s="2">
        <v>20</v>
      </c>
      <c r="S264" s="3" cm="1">
        <f t="array" ref="S264">COUNTIF(A2:A1001,A264)</f>
        <v>1</v>
      </c>
      <c r="T264" t="str" s="8" cm="1">
        <f t="array" ref="T264">IF(ISNUMBER(F264),"Ok","check")</f>
        <v>Ok</v>
      </c>
      <c r="U264" t="str" s="8" cm="1">
        <f t="array" ref="U264">IF(ISNUMBER(O264),"ok","check")</f>
        <v>ok</v>
      </c>
    </row>
    <row r="265" ht="13.55" customHeight="1">
      <c r="A265" s="3">
        <v>14682</v>
      </c>
      <c r="B265" t="s" s="2">
        <v>25</v>
      </c>
      <c r="C265" t="str" s="8" cm="1">
        <f t="array" ref="C265">IF(B265="M","Married","Single")</f>
        <v>Single</v>
      </c>
      <c r="D265" t="s" s="2">
        <v>14</v>
      </c>
      <c r="E265" t="str" s="8" cm="1">
        <f t="array" ref="E265">IF(D265="M","Male",IF(D265="F","Female","Check"))</f>
        <v>Female</v>
      </c>
      <c r="F265" s="4">
        <v>70000</v>
      </c>
      <c r="G265" t="str" s="8" cm="1">
        <f t="array" ref="G265">IF(F265="","Check","okay")</f>
        <v>okay</v>
      </c>
      <c r="H265" s="3">
        <v>0</v>
      </c>
      <c r="I265" t="s" s="2">
        <v>15</v>
      </c>
      <c r="J265" t="s" s="2">
        <v>23</v>
      </c>
      <c r="K265" t="s" s="2">
        <v>20</v>
      </c>
      <c r="L265" s="3">
        <v>1</v>
      </c>
      <c r="M265" t="s" s="2">
        <v>26</v>
      </c>
      <c r="N265" t="s" s="2">
        <v>27</v>
      </c>
      <c r="O265" s="3">
        <v>38</v>
      </c>
      <c r="P265" t="str" s="8" cm="1">
        <f t="array" ref="P265">IF(O265="","check","Okay")</f>
        <v>Okay</v>
      </c>
      <c r="Q265" t="str" s="8" cm="1">
        <f t="array" ref="Q265">IF(O265&lt;30,"UNDER 30",IF(O265&lt;=50,"30-50","Over 50"))</f>
        <v>30-50</v>
      </c>
      <c r="R265" t="s" s="2">
        <v>20</v>
      </c>
      <c r="S265" s="3" cm="1">
        <f t="array" ref="S265">COUNTIF(A2:A1001,A265)</f>
        <v>1</v>
      </c>
      <c r="T265" t="str" s="8" cm="1">
        <f t="array" ref="T265">IF(ISNUMBER(F265),"Ok","check")</f>
        <v>Ok</v>
      </c>
      <c r="U265" t="str" s="8" cm="1">
        <f t="array" ref="U265">IF(ISNUMBER(O265),"ok","check")</f>
        <v>ok</v>
      </c>
    </row>
    <row r="266" ht="13.55" customHeight="1">
      <c r="A266" s="3">
        <v>19164</v>
      </c>
      <c r="B266" t="s" s="2">
        <v>25</v>
      </c>
      <c r="C266" t="str" s="8" cm="1">
        <f t="array" ref="C266">IF(B266="M","Married","Single")</f>
        <v>Single</v>
      </c>
      <c r="D266" t="s" s="2">
        <v>14</v>
      </c>
      <c r="E266" t="str" s="8" cm="1">
        <f t="array" ref="E266">IF(D266="M","Male",IF(D266="F","Female","Check"))</f>
        <v>Female</v>
      </c>
      <c r="F266" s="4">
        <v>70000</v>
      </c>
      <c r="G266" t="str" s="8" cm="1">
        <f t="array" ref="G266">IF(F266="","Check","okay")</f>
        <v>okay</v>
      </c>
      <c r="H266" s="3">
        <v>0</v>
      </c>
      <c r="I266" t="s" s="2">
        <v>15</v>
      </c>
      <c r="J266" t="s" s="2">
        <v>23</v>
      </c>
      <c r="K266" t="s" s="2">
        <v>20</v>
      </c>
      <c r="L266" s="3">
        <v>1</v>
      </c>
      <c r="M266" t="s" s="2">
        <v>24</v>
      </c>
      <c r="N266" t="s" s="2">
        <v>35</v>
      </c>
      <c r="O266" s="3">
        <v>38</v>
      </c>
      <c r="P266" t="str" s="8" cm="1">
        <f t="array" ref="P266">IF(O266="","check","Okay")</f>
        <v>Okay</v>
      </c>
      <c r="Q266" t="str" s="8" cm="1">
        <f t="array" ref="Q266">IF(O266&lt;30,"UNDER 30",IF(O266&lt;=50,"30-50","Over 50"))</f>
        <v>30-50</v>
      </c>
      <c r="R266" t="s" s="2">
        <v>17</v>
      </c>
      <c r="S266" s="3" cm="1">
        <f t="array" ref="S266">COUNTIF(A2:A1001,A266)</f>
        <v>1</v>
      </c>
      <c r="T266" t="str" s="8" cm="1">
        <f t="array" ref="T266">IF(ISNUMBER(F266),"Ok","check")</f>
        <v>Ok</v>
      </c>
      <c r="U266" t="str" s="8" cm="1">
        <f t="array" ref="U266">IF(ISNUMBER(O266),"ok","check")</f>
        <v>ok</v>
      </c>
    </row>
    <row r="267" ht="13.55" customHeight="1">
      <c r="A267" s="3">
        <v>27279</v>
      </c>
      <c r="B267" t="s" s="2">
        <v>25</v>
      </c>
      <c r="C267" t="str" s="8" cm="1">
        <f t="array" ref="C267">IF(B267="M","Married","Single")</f>
        <v>Single</v>
      </c>
      <c r="D267" t="s" s="2">
        <v>14</v>
      </c>
      <c r="E267" t="str" s="8" cm="1">
        <f t="array" ref="E267">IF(D267="M","Male",IF(D267="F","Female","Check"))</f>
        <v>Female</v>
      </c>
      <c r="F267" s="4">
        <v>70000</v>
      </c>
      <c r="G267" t="str" s="8" cm="1">
        <f t="array" ref="G267">IF(F267="","Check","okay")</f>
        <v>okay</v>
      </c>
      <c r="H267" s="3">
        <v>2</v>
      </c>
      <c r="I267" t="s" s="2">
        <v>15</v>
      </c>
      <c r="J267" t="s" s="2">
        <v>16</v>
      </c>
      <c r="K267" t="s" s="2">
        <v>17</v>
      </c>
      <c r="L267" s="3">
        <v>0</v>
      </c>
      <c r="M267" t="s" s="2">
        <v>24</v>
      </c>
      <c r="N267" t="s" s="2">
        <v>35</v>
      </c>
      <c r="O267" s="3">
        <v>38</v>
      </c>
      <c r="P267" t="str" s="8" cm="1">
        <f t="array" ref="P267">IF(O267="","check","Okay")</f>
        <v>Okay</v>
      </c>
      <c r="Q267" t="str" s="8" cm="1">
        <f t="array" ref="Q267">IF(O267&lt;30,"UNDER 30",IF(O267&lt;=50,"30-50","Over 50"))</f>
        <v>30-50</v>
      </c>
      <c r="R267" t="s" s="2">
        <v>17</v>
      </c>
      <c r="S267" s="3" cm="1">
        <f t="array" ref="S267">COUNTIF(A2:A1001,A267)</f>
        <v>1</v>
      </c>
      <c r="T267" t="str" s="8" cm="1">
        <f t="array" ref="T267">IF(ISNUMBER(F267),"Ok","check")</f>
        <v>Ok</v>
      </c>
      <c r="U267" t="str" s="8" cm="1">
        <f t="array" ref="U267">IF(ISNUMBER(O267),"ok","check")</f>
        <v>ok</v>
      </c>
    </row>
    <row r="268" ht="13.55" customHeight="1">
      <c r="A268" s="3">
        <v>22296</v>
      </c>
      <c r="B268" t="s" s="2">
        <v>13</v>
      </c>
      <c r="C268" t="str" s="8" cm="1">
        <f t="array" ref="C268">IF(B268="M","Married","Single")</f>
        <v>Married</v>
      </c>
      <c r="D268" t="s" s="2">
        <v>13</v>
      </c>
      <c r="E268" t="str" s="8" cm="1">
        <f t="array" ref="E268">IF(D268="M","Male",IF(D268="F","Female","Check"))</f>
        <v>Male</v>
      </c>
      <c r="F268" s="4">
        <v>70000</v>
      </c>
      <c r="G268" t="str" s="8" cm="1">
        <f t="array" ref="G268">IF(F268="","Check","okay")</f>
        <v>okay</v>
      </c>
      <c r="H268" s="3">
        <v>0</v>
      </c>
      <c r="I268" t="s" s="2">
        <v>15</v>
      </c>
      <c r="J268" t="s" s="2">
        <v>23</v>
      </c>
      <c r="K268" t="s" s="2">
        <v>20</v>
      </c>
      <c r="L268" s="3">
        <v>1</v>
      </c>
      <c r="M268" t="s" s="2">
        <v>18</v>
      </c>
      <c r="N268" t="s" s="2">
        <v>35</v>
      </c>
      <c r="O268" s="3">
        <v>38</v>
      </c>
      <c r="P268" t="str" s="8" cm="1">
        <f t="array" ref="P268">IF(O268="","check","Okay")</f>
        <v>Okay</v>
      </c>
      <c r="Q268" t="str" s="8" cm="1">
        <f t="array" ref="Q268">IF(O268&lt;30,"UNDER 30",IF(O268&lt;=50,"30-50","Over 50"))</f>
        <v>30-50</v>
      </c>
      <c r="R268" t="s" s="2">
        <v>20</v>
      </c>
      <c r="S268" s="3" cm="1">
        <f t="array" ref="S268">COUNTIF(A2:A1001,A268)</f>
        <v>1</v>
      </c>
      <c r="T268" t="str" s="8" cm="1">
        <f t="array" ref="T268">IF(ISNUMBER(F268),"Ok","check")</f>
        <v>Ok</v>
      </c>
      <c r="U268" t="str" s="8" cm="1">
        <f t="array" ref="U268">IF(ISNUMBER(O268),"ok","check")</f>
        <v>ok</v>
      </c>
    </row>
    <row r="269" ht="13.55" customHeight="1">
      <c r="A269" s="3">
        <v>25405</v>
      </c>
      <c r="B269" t="s" s="2">
        <v>13</v>
      </c>
      <c r="C269" t="str" s="8" cm="1">
        <f t="array" ref="C269">IF(B269="M","Married","Single")</f>
        <v>Married</v>
      </c>
      <c r="D269" t="s" s="2">
        <v>13</v>
      </c>
      <c r="E269" t="str" s="8" cm="1">
        <f t="array" ref="E269">IF(D269="M","Male",IF(D269="F","Female","Check"))</f>
        <v>Male</v>
      </c>
      <c r="F269" s="4">
        <v>70000</v>
      </c>
      <c r="G269" t="str" s="8" cm="1">
        <f t="array" ref="G269">IF(F269="","Check","okay")</f>
        <v>okay</v>
      </c>
      <c r="H269" s="3">
        <v>2</v>
      </c>
      <c r="I269" t="s" s="2">
        <v>15</v>
      </c>
      <c r="J269" t="s" s="2">
        <v>16</v>
      </c>
      <c r="K269" t="s" s="2">
        <v>17</v>
      </c>
      <c r="L269" s="3">
        <v>1</v>
      </c>
      <c r="M269" t="s" s="2">
        <v>24</v>
      </c>
      <c r="N269" t="s" s="2">
        <v>35</v>
      </c>
      <c r="O269" s="3">
        <v>38</v>
      </c>
      <c r="P269" t="str" s="8" cm="1">
        <f t="array" ref="P269">IF(O269="","check","Okay")</f>
        <v>Okay</v>
      </c>
      <c r="Q269" t="str" s="8" cm="1">
        <f t="array" ref="Q269">IF(O269&lt;30,"UNDER 30",IF(O269&lt;=50,"30-50","Over 50"))</f>
        <v>30-50</v>
      </c>
      <c r="R269" t="s" s="2">
        <v>17</v>
      </c>
      <c r="S269" s="3" cm="1">
        <f t="array" ref="S269">COUNTIF(A2:A1001,A269)</f>
        <v>1</v>
      </c>
      <c r="T269" t="str" s="8" cm="1">
        <f t="array" ref="T269">IF(ISNUMBER(F269),"Ok","check")</f>
        <v>Ok</v>
      </c>
      <c r="U269" t="str" s="8" cm="1">
        <f t="array" ref="U269">IF(ISNUMBER(O269),"ok","check")</f>
        <v>ok</v>
      </c>
    </row>
    <row r="270" ht="13.55" customHeight="1">
      <c r="A270" s="3">
        <v>21184</v>
      </c>
      <c r="B270" t="s" s="2">
        <v>25</v>
      </c>
      <c r="C270" t="str" s="8" cm="1">
        <f t="array" ref="C270">IF(B270="M","Married","Single")</f>
        <v>Single</v>
      </c>
      <c r="D270" t="s" s="2">
        <v>13</v>
      </c>
      <c r="E270" t="str" s="8" cm="1">
        <f t="array" ref="E270">IF(D270="M","Male",IF(D270="F","Female","Check"))</f>
        <v>Male</v>
      </c>
      <c r="F270" s="4">
        <v>70000</v>
      </c>
      <c r="G270" t="str" s="8" cm="1">
        <f t="array" ref="G270">IF(F270="","Check","okay")</f>
        <v>okay</v>
      </c>
      <c r="H270" s="3">
        <v>0</v>
      </c>
      <c r="I270" t="s" s="2">
        <v>15</v>
      </c>
      <c r="J270" t="s" s="2">
        <v>23</v>
      </c>
      <c r="K270" t="s" s="2">
        <v>20</v>
      </c>
      <c r="L270" s="3">
        <v>1</v>
      </c>
      <c r="M270" t="s" s="2">
        <v>26</v>
      </c>
      <c r="N270" t="s" s="2">
        <v>27</v>
      </c>
      <c r="O270" s="3">
        <v>38</v>
      </c>
      <c r="P270" t="str" s="8" cm="1">
        <f t="array" ref="P270">IF(O270="","check","Okay")</f>
        <v>Okay</v>
      </c>
      <c r="Q270" t="str" s="8" cm="1">
        <f t="array" ref="Q270">IF(O270&lt;30,"UNDER 30",IF(O270&lt;=50,"30-50","Over 50"))</f>
        <v>30-50</v>
      </c>
      <c r="R270" t="s" s="2">
        <v>20</v>
      </c>
      <c r="S270" s="3" cm="1">
        <f t="array" ref="S270">COUNTIF(A2:A1001,A270)</f>
        <v>1</v>
      </c>
      <c r="T270" t="str" s="8" cm="1">
        <f t="array" ref="T270">IF(ISNUMBER(F270),"Ok","check")</f>
        <v>Ok</v>
      </c>
      <c r="U270" t="str" s="8" cm="1">
        <f t="array" ref="U270">IF(ISNUMBER(O270),"ok","check")</f>
        <v>ok</v>
      </c>
    </row>
    <row r="271" ht="13.55" customHeight="1">
      <c r="A271" s="3">
        <v>11823</v>
      </c>
      <c r="B271" t="s" s="2">
        <v>13</v>
      </c>
      <c r="C271" t="str" s="8" cm="1">
        <f t="array" ref="C271">IF(B271="M","Married","Single")</f>
        <v>Married</v>
      </c>
      <c r="D271" t="s" s="2">
        <v>14</v>
      </c>
      <c r="E271" t="str" s="8" cm="1">
        <f t="array" ref="E271">IF(D271="M","Male",IF(D271="F","Female","Check"))</f>
        <v>Female</v>
      </c>
      <c r="F271" s="4">
        <v>70000</v>
      </c>
      <c r="G271" t="str" s="8" cm="1">
        <f t="array" ref="G271">IF(F271="","Check","okay")</f>
        <v>okay</v>
      </c>
      <c r="H271" s="3">
        <v>0</v>
      </c>
      <c r="I271" t="s" s="2">
        <v>34</v>
      </c>
      <c r="J271" t="s" s="2">
        <v>23</v>
      </c>
      <c r="K271" t="s" s="2">
        <v>17</v>
      </c>
      <c r="L271" s="3">
        <v>0</v>
      </c>
      <c r="M271" t="s" s="2">
        <v>24</v>
      </c>
      <c r="N271" t="s" s="2">
        <v>35</v>
      </c>
      <c r="O271" s="3">
        <v>39</v>
      </c>
      <c r="P271" t="str" s="8" cm="1">
        <f t="array" ref="P271">IF(O271="","check","Okay")</f>
        <v>Okay</v>
      </c>
      <c r="Q271" t="str" s="8" cm="1">
        <f t="array" ref="Q271">IF(O271&lt;30,"UNDER 30",IF(O271&lt;=50,"30-50","Over 50"))</f>
        <v>30-50</v>
      </c>
      <c r="R271" t="s" s="2">
        <v>20</v>
      </c>
      <c r="S271" s="3" cm="1">
        <f t="array" ref="S271">COUNTIF(A2:A1001,A271)</f>
        <v>1</v>
      </c>
      <c r="T271" t="str" s="8" cm="1">
        <f t="array" ref="T271">IF(ISNUMBER(F271),"Ok","check")</f>
        <v>Ok</v>
      </c>
      <c r="U271" t="str" s="8" cm="1">
        <f t="array" ref="U271">IF(ISNUMBER(O271),"ok","check")</f>
        <v>ok</v>
      </c>
    </row>
    <row r="272" ht="13.55" customHeight="1">
      <c r="A272" s="3">
        <v>18711</v>
      </c>
      <c r="B272" t="s" s="2">
        <v>25</v>
      </c>
      <c r="C272" t="str" s="8" cm="1">
        <f t="array" ref="C272">IF(B272="M","Married","Single")</f>
        <v>Single</v>
      </c>
      <c r="D272" t="s" s="2">
        <v>14</v>
      </c>
      <c r="E272" t="str" s="8" cm="1">
        <f t="array" ref="E272">IF(D272="M","Male",IF(D272="F","Female","Check"))</f>
        <v>Female</v>
      </c>
      <c r="F272" s="4">
        <v>70000</v>
      </c>
      <c r="G272" t="str" s="8" cm="1">
        <f t="array" ref="G272">IF(F272="","Check","okay")</f>
        <v>okay</v>
      </c>
      <c r="H272" s="3">
        <v>5</v>
      </c>
      <c r="I272" t="s" s="2">
        <v>15</v>
      </c>
      <c r="J272" t="s" s="2">
        <v>23</v>
      </c>
      <c r="K272" t="s" s="2">
        <v>17</v>
      </c>
      <c r="L272" s="3">
        <v>4</v>
      </c>
      <c r="M272" t="s" s="2">
        <v>33</v>
      </c>
      <c r="N272" t="s" s="2">
        <v>27</v>
      </c>
      <c r="O272" s="3">
        <v>39</v>
      </c>
      <c r="P272" t="str" s="8" cm="1">
        <f t="array" ref="P272">IF(O272="","check","Okay")</f>
        <v>Okay</v>
      </c>
      <c r="Q272" t="str" s="8" cm="1">
        <f t="array" ref="Q272">IF(O272&lt;30,"UNDER 30",IF(O272&lt;=50,"30-50","Over 50"))</f>
        <v>30-50</v>
      </c>
      <c r="R272" t="s" s="2">
        <v>20</v>
      </c>
      <c r="S272" s="3" cm="1">
        <f t="array" ref="S272">COUNTIF(A2:A1001,A272)</f>
        <v>1</v>
      </c>
      <c r="T272" t="str" s="8" cm="1">
        <f t="array" ref="T272">IF(ISNUMBER(F272),"Ok","check")</f>
        <v>Ok</v>
      </c>
      <c r="U272" t="str" s="8" cm="1">
        <f t="array" ref="U272">IF(ISNUMBER(O272),"ok","check")</f>
        <v>ok</v>
      </c>
    </row>
    <row r="273" ht="13.55" customHeight="1">
      <c r="A273" s="3">
        <v>23419</v>
      </c>
      <c r="B273" t="s" s="2">
        <v>25</v>
      </c>
      <c r="C273" t="str" s="8" cm="1">
        <f t="array" ref="C273">IF(B273="M","Married","Single")</f>
        <v>Single</v>
      </c>
      <c r="D273" t="s" s="2">
        <v>14</v>
      </c>
      <c r="E273" t="str" s="8" cm="1">
        <f t="array" ref="E273">IF(D273="M","Male",IF(D273="F","Female","Check"))</f>
        <v>Female</v>
      </c>
      <c r="F273" s="4">
        <v>70000</v>
      </c>
      <c r="G273" t="str" s="8" cm="1">
        <f t="array" ref="G273">IF(F273="","Check","okay")</f>
        <v>okay</v>
      </c>
      <c r="H273" s="3">
        <v>5</v>
      </c>
      <c r="I273" t="s" s="2">
        <v>15</v>
      </c>
      <c r="J273" t="s" s="2">
        <v>23</v>
      </c>
      <c r="K273" t="s" s="2">
        <v>17</v>
      </c>
      <c r="L273" s="3">
        <v>3</v>
      </c>
      <c r="M273" t="s" s="2">
        <v>33</v>
      </c>
      <c r="N273" t="s" s="2">
        <v>27</v>
      </c>
      <c r="O273" s="3">
        <v>39</v>
      </c>
      <c r="P273" t="str" s="8" cm="1">
        <f t="array" ref="P273">IF(O273="","check","Okay")</f>
        <v>Okay</v>
      </c>
      <c r="Q273" t="str" s="8" cm="1">
        <f t="array" ref="Q273">IF(O273&lt;30,"UNDER 30",IF(O273&lt;=50,"30-50","Over 50"))</f>
        <v>30-50</v>
      </c>
      <c r="R273" t="s" s="2">
        <v>20</v>
      </c>
      <c r="S273" s="3" cm="1">
        <f t="array" ref="S273">COUNTIF(A2:A1001,A273)</f>
        <v>1</v>
      </c>
      <c r="T273" t="str" s="8" cm="1">
        <f t="array" ref="T273">IF(ISNUMBER(F273),"Ok","check")</f>
        <v>Ok</v>
      </c>
      <c r="U273" t="str" s="8" cm="1">
        <f t="array" ref="U273">IF(ISNUMBER(O273),"ok","check")</f>
        <v>ok</v>
      </c>
    </row>
    <row r="274" ht="13.55" customHeight="1">
      <c r="A274" s="3">
        <v>26032</v>
      </c>
      <c r="B274" t="s" s="2">
        <v>13</v>
      </c>
      <c r="C274" t="str" s="8" cm="1">
        <f t="array" ref="C274">IF(B274="M","Married","Single")</f>
        <v>Married</v>
      </c>
      <c r="D274" t="s" s="2">
        <v>14</v>
      </c>
      <c r="E274" t="str" s="8" cm="1">
        <f t="array" ref="E274">IF(D274="M","Male",IF(D274="F","Female","Check"))</f>
        <v>Female</v>
      </c>
      <c r="F274" s="4">
        <v>70000</v>
      </c>
      <c r="G274" t="str" s="8" cm="1">
        <f t="array" ref="G274">IF(F274="","Check","okay")</f>
        <v>okay</v>
      </c>
      <c r="H274" s="3">
        <v>5</v>
      </c>
      <c r="I274" t="s" s="2">
        <v>15</v>
      </c>
      <c r="J274" t="s" s="2">
        <v>23</v>
      </c>
      <c r="K274" t="s" s="2">
        <v>17</v>
      </c>
      <c r="L274" s="3">
        <v>4</v>
      </c>
      <c r="M274" t="s" s="2">
        <v>33</v>
      </c>
      <c r="N274" t="s" s="2">
        <v>27</v>
      </c>
      <c r="O274" s="3">
        <v>41</v>
      </c>
      <c r="P274" t="str" s="8" cm="1">
        <f t="array" ref="P274">IF(O274="","check","Okay")</f>
        <v>Okay</v>
      </c>
      <c r="Q274" t="str" s="8" cm="1">
        <f t="array" ref="Q274">IF(O274&lt;30,"UNDER 30",IF(O274&lt;=50,"30-50","Over 50"))</f>
        <v>30-50</v>
      </c>
      <c r="R274" t="s" s="2">
        <v>20</v>
      </c>
      <c r="S274" s="3" cm="1">
        <f t="array" ref="S274">COUNTIF(A2:A1001,A274)</f>
        <v>1</v>
      </c>
      <c r="T274" t="str" s="8" cm="1">
        <f t="array" ref="T274">IF(ISNUMBER(F274),"Ok","check")</f>
        <v>Ok</v>
      </c>
      <c r="U274" t="str" s="8" cm="1">
        <f t="array" ref="U274">IF(ISNUMBER(O274),"ok","check")</f>
        <v>ok</v>
      </c>
    </row>
    <row r="275" ht="13.55" customHeight="1">
      <c r="A275" s="3">
        <v>26150</v>
      </c>
      <c r="B275" t="s" s="2">
        <v>25</v>
      </c>
      <c r="C275" t="str" s="8" cm="1">
        <f t="array" ref="C275">IF(B275="M","Married","Single")</f>
        <v>Single</v>
      </c>
      <c r="D275" t="s" s="2">
        <v>14</v>
      </c>
      <c r="E275" t="str" s="8" cm="1">
        <f t="array" ref="E275">IF(D275="M","Male",IF(D275="F","Female","Check"))</f>
        <v>Female</v>
      </c>
      <c r="F275" s="4">
        <v>70000</v>
      </c>
      <c r="G275" t="str" s="8" cm="1">
        <f t="array" ref="G275">IF(F275="","Check","okay")</f>
        <v>okay</v>
      </c>
      <c r="H275" s="3">
        <v>0</v>
      </c>
      <c r="I275" t="s" s="2">
        <v>15</v>
      </c>
      <c r="J275" t="s" s="2">
        <v>23</v>
      </c>
      <c r="K275" t="s" s="2">
        <v>20</v>
      </c>
      <c r="L275" s="3">
        <v>1</v>
      </c>
      <c r="M275" t="s" s="2">
        <v>18</v>
      </c>
      <c r="N275" t="s" s="2">
        <v>27</v>
      </c>
      <c r="O275" s="3">
        <v>41</v>
      </c>
      <c r="P275" t="str" s="8" cm="1">
        <f t="array" ref="P275">IF(O275="","check","Okay")</f>
        <v>Okay</v>
      </c>
      <c r="Q275" t="str" s="8" cm="1">
        <f t="array" ref="Q275">IF(O275&lt;30,"UNDER 30",IF(O275&lt;=50,"30-50","Over 50"))</f>
        <v>30-50</v>
      </c>
      <c r="R275" t="s" s="2">
        <v>17</v>
      </c>
      <c r="S275" s="3" cm="1">
        <f t="array" ref="S275">COUNTIF(A2:A1001,A275)</f>
        <v>1</v>
      </c>
      <c r="T275" t="str" s="8" cm="1">
        <f t="array" ref="T275">IF(ISNUMBER(F275),"Ok","check")</f>
        <v>Ok</v>
      </c>
      <c r="U275" t="str" s="8" cm="1">
        <f t="array" ref="U275">IF(ISNUMBER(O275),"ok","check")</f>
        <v>ok</v>
      </c>
    </row>
    <row r="276" ht="13.55" customHeight="1">
      <c r="A276" s="3">
        <v>14058</v>
      </c>
      <c r="B276" t="s" s="2">
        <v>25</v>
      </c>
      <c r="C276" t="str" s="8" cm="1">
        <f t="array" ref="C276">IF(B276="M","Married","Single")</f>
        <v>Single</v>
      </c>
      <c r="D276" t="s" s="2">
        <v>13</v>
      </c>
      <c r="E276" t="str" s="8" cm="1">
        <f t="array" ref="E276">IF(D276="M","Male",IF(D276="F","Female","Check"))</f>
        <v>Male</v>
      </c>
      <c r="F276" s="4">
        <v>70000</v>
      </c>
      <c r="G276" t="str" s="8" cm="1">
        <f t="array" ref="G276">IF(F276="","Check","okay")</f>
        <v>okay</v>
      </c>
      <c r="H276" s="3">
        <v>0</v>
      </c>
      <c r="I276" t="s" s="2">
        <v>15</v>
      </c>
      <c r="J276" t="s" s="2">
        <v>23</v>
      </c>
      <c r="K276" t="s" s="2">
        <v>20</v>
      </c>
      <c r="L276" s="3">
        <v>1</v>
      </c>
      <c r="M276" t="s" s="2">
        <v>26</v>
      </c>
      <c r="N276" t="s" s="2">
        <v>27</v>
      </c>
      <c r="O276" s="3">
        <v>41</v>
      </c>
      <c r="P276" t="str" s="8" cm="1">
        <f t="array" ref="P276">IF(O276="","check","Okay")</f>
        <v>Okay</v>
      </c>
      <c r="Q276" t="str" s="8" cm="1">
        <f t="array" ref="Q276">IF(O276&lt;30,"UNDER 30",IF(O276&lt;=50,"30-50","Over 50"))</f>
        <v>30-50</v>
      </c>
      <c r="R276" t="s" s="2">
        <v>17</v>
      </c>
      <c r="S276" s="3" cm="1">
        <f t="array" ref="S276">COUNTIF(A2:A1001,A276)</f>
        <v>1</v>
      </c>
      <c r="T276" t="str" s="8" cm="1">
        <f t="array" ref="T276">IF(ISNUMBER(F276),"Ok","check")</f>
        <v>Ok</v>
      </c>
      <c r="U276" t="str" s="8" cm="1">
        <f t="array" ref="U276">IF(ISNUMBER(O276),"ok","check")</f>
        <v>ok</v>
      </c>
    </row>
    <row r="277" ht="13.55" customHeight="1">
      <c r="A277" s="3">
        <v>21213</v>
      </c>
      <c r="B277" t="s" s="2">
        <v>25</v>
      </c>
      <c r="C277" t="str" s="8" cm="1">
        <f t="array" ref="C277">IF(B277="M","Married","Single")</f>
        <v>Single</v>
      </c>
      <c r="D277" t="s" s="2">
        <v>13</v>
      </c>
      <c r="E277" t="str" s="8" cm="1">
        <f t="array" ref="E277">IF(D277="M","Male",IF(D277="F","Female","Check"))</f>
        <v>Male</v>
      </c>
      <c r="F277" s="4">
        <v>70000</v>
      </c>
      <c r="G277" t="str" s="8" cm="1">
        <f t="array" ref="G277">IF(F277="","Check","okay")</f>
        <v>okay</v>
      </c>
      <c r="H277" s="3">
        <v>0</v>
      </c>
      <c r="I277" t="s" s="2">
        <v>15</v>
      </c>
      <c r="J277" t="s" s="2">
        <v>23</v>
      </c>
      <c r="K277" t="s" s="2">
        <v>20</v>
      </c>
      <c r="L277" s="3">
        <v>1</v>
      </c>
      <c r="M277" t="s" s="2">
        <v>26</v>
      </c>
      <c r="N277" t="s" s="2">
        <v>27</v>
      </c>
      <c r="O277" s="3">
        <v>41</v>
      </c>
      <c r="P277" t="str" s="8" cm="1">
        <f t="array" ref="P277">IF(O277="","check","Okay")</f>
        <v>Okay</v>
      </c>
      <c r="Q277" t="str" s="8" cm="1">
        <f t="array" ref="Q277">IF(O277&lt;30,"UNDER 30",IF(O277&lt;=50,"30-50","Over 50"))</f>
        <v>30-50</v>
      </c>
      <c r="R277" t="s" s="2">
        <v>20</v>
      </c>
      <c r="S277" s="3" cm="1">
        <f t="array" ref="S277">COUNTIF(A2:A1001,A277)</f>
        <v>1</v>
      </c>
      <c r="T277" t="str" s="8" cm="1">
        <f t="array" ref="T277">IF(ISNUMBER(F277),"Ok","check")</f>
        <v>Ok</v>
      </c>
      <c r="U277" t="str" s="8" cm="1">
        <f t="array" ref="U277">IF(ISNUMBER(O277),"ok","check")</f>
        <v>ok</v>
      </c>
    </row>
    <row r="278" ht="13.55" customHeight="1">
      <c r="A278" s="3">
        <v>24381</v>
      </c>
      <c r="B278" t="s" s="2">
        <v>25</v>
      </c>
      <c r="C278" t="str" s="8" cm="1">
        <f t="array" ref="C278">IF(B278="M","Married","Single")</f>
        <v>Single</v>
      </c>
      <c r="D278" t="s" s="2">
        <v>13</v>
      </c>
      <c r="E278" t="str" s="8" cm="1">
        <f t="array" ref="E278">IF(D278="M","Male",IF(D278="F","Female","Check"))</f>
        <v>Male</v>
      </c>
      <c r="F278" s="4">
        <v>70000</v>
      </c>
      <c r="G278" t="str" s="8" cm="1">
        <f t="array" ref="G278">IF(F278="","Check","okay")</f>
        <v>okay</v>
      </c>
      <c r="H278" s="3">
        <v>0</v>
      </c>
      <c r="I278" t="s" s="2">
        <v>15</v>
      </c>
      <c r="J278" t="s" s="2">
        <v>23</v>
      </c>
      <c r="K278" t="s" s="2">
        <v>17</v>
      </c>
      <c r="L278" s="3">
        <v>1</v>
      </c>
      <c r="M278" t="s" s="2">
        <v>26</v>
      </c>
      <c r="N278" t="s" s="2">
        <v>27</v>
      </c>
      <c r="O278" s="3">
        <v>41</v>
      </c>
      <c r="P278" t="str" s="8" cm="1">
        <f t="array" ref="P278">IF(O278="","check","Okay")</f>
        <v>Okay</v>
      </c>
      <c r="Q278" t="str" s="8" cm="1">
        <f t="array" ref="Q278">IF(O278&lt;30,"UNDER 30",IF(O278&lt;=50,"30-50","Over 50"))</f>
        <v>30-50</v>
      </c>
      <c r="R278" t="s" s="2">
        <v>17</v>
      </c>
      <c r="S278" s="3" cm="1">
        <f t="array" ref="S278">COUNTIF(A2:A1001,A278)</f>
        <v>1</v>
      </c>
      <c r="T278" t="str" s="8" cm="1">
        <f t="array" ref="T278">IF(ISNUMBER(F278),"Ok","check")</f>
        <v>Ok</v>
      </c>
      <c r="U278" t="str" s="8" cm="1">
        <f t="array" ref="U278">IF(ISNUMBER(O278),"ok","check")</f>
        <v>ok</v>
      </c>
    </row>
    <row r="279" ht="13.55" customHeight="1">
      <c r="A279" s="3">
        <v>25074</v>
      </c>
      <c r="B279" t="s" s="2">
        <v>13</v>
      </c>
      <c r="C279" t="str" s="8" cm="1">
        <f t="array" ref="C279">IF(B279="M","Married","Single")</f>
        <v>Married</v>
      </c>
      <c r="D279" t="s" s="2">
        <v>14</v>
      </c>
      <c r="E279" t="str" s="8" cm="1">
        <f t="array" ref="E279">IF(D279="M","Male",IF(D279="F","Female","Check"))</f>
        <v>Female</v>
      </c>
      <c r="F279" s="4">
        <v>70000</v>
      </c>
      <c r="G279" t="str" s="8" cm="1">
        <f t="array" ref="G279">IF(F279="","Check","okay")</f>
        <v>okay</v>
      </c>
      <c r="H279" s="3">
        <v>4</v>
      </c>
      <c r="I279" t="s" s="2">
        <v>15</v>
      </c>
      <c r="J279" t="s" s="2">
        <v>23</v>
      </c>
      <c r="K279" t="s" s="2">
        <v>17</v>
      </c>
      <c r="L279" s="3">
        <v>2</v>
      </c>
      <c r="M279" t="s" s="2">
        <v>24</v>
      </c>
      <c r="N279" t="s" s="2">
        <v>35</v>
      </c>
      <c r="O279" s="3">
        <v>42</v>
      </c>
      <c r="P279" t="str" s="8" cm="1">
        <f t="array" ref="P279">IF(O279="","check","Okay")</f>
        <v>Okay</v>
      </c>
      <c r="Q279" t="str" s="8" cm="1">
        <f t="array" ref="Q279">IF(O279&lt;30,"UNDER 30",IF(O279&lt;=50,"30-50","Over 50"))</f>
        <v>30-50</v>
      </c>
      <c r="R279" t="s" s="2">
        <v>17</v>
      </c>
      <c r="S279" s="3" cm="1">
        <f t="array" ref="S279">COUNTIF(A2:A1001,A279)</f>
        <v>1</v>
      </c>
      <c r="T279" t="str" s="8" cm="1">
        <f t="array" ref="T279">IF(ISNUMBER(F279),"Ok","check")</f>
        <v>Ok</v>
      </c>
      <c r="U279" t="str" s="8" cm="1">
        <f t="array" ref="U279">IF(ISNUMBER(O279),"ok","check")</f>
        <v>ok</v>
      </c>
    </row>
    <row r="280" ht="13.55" customHeight="1">
      <c r="A280" s="3">
        <v>14063</v>
      </c>
      <c r="B280" t="s" s="2">
        <v>25</v>
      </c>
      <c r="C280" t="str" s="8" cm="1">
        <f t="array" ref="C280">IF(B280="M","Married","Single")</f>
        <v>Single</v>
      </c>
      <c r="D280" t="s" s="2">
        <v>14</v>
      </c>
      <c r="E280" t="str" s="8" cm="1">
        <f t="array" ref="E280">IF(D280="M","Male",IF(D280="F","Female","Check"))</f>
        <v>Female</v>
      </c>
      <c r="F280" s="4">
        <v>70000</v>
      </c>
      <c r="G280" t="str" s="8" cm="1">
        <f t="array" ref="G280">IF(F280="","Check","okay")</f>
        <v>okay</v>
      </c>
      <c r="H280" s="3">
        <v>0</v>
      </c>
      <c r="I280" t="s" s="2">
        <v>15</v>
      </c>
      <c r="J280" t="s" s="2">
        <v>23</v>
      </c>
      <c r="K280" t="s" s="2">
        <v>20</v>
      </c>
      <c r="L280" s="3">
        <v>1</v>
      </c>
      <c r="M280" t="s" s="2">
        <v>18</v>
      </c>
      <c r="N280" t="s" s="2">
        <v>27</v>
      </c>
      <c r="O280" s="3">
        <v>42</v>
      </c>
      <c r="P280" t="str" s="8" cm="1">
        <f t="array" ref="P280">IF(O280="","check","Okay")</f>
        <v>Okay</v>
      </c>
      <c r="Q280" t="str" s="8" cm="1">
        <f t="array" ref="Q280">IF(O280&lt;30,"UNDER 30",IF(O280&lt;=50,"30-50","Over 50"))</f>
        <v>30-50</v>
      </c>
      <c r="R280" t="s" s="2">
        <v>17</v>
      </c>
      <c r="S280" s="3" cm="1">
        <f t="array" ref="S280">COUNTIF(A2:A1001,A280)</f>
        <v>1</v>
      </c>
      <c r="T280" t="str" s="8" cm="1">
        <f t="array" ref="T280">IF(ISNUMBER(F280),"Ok","check")</f>
        <v>Ok</v>
      </c>
      <c r="U280" t="str" s="8" cm="1">
        <f t="array" ref="U280">IF(ISNUMBER(O280),"ok","check")</f>
        <v>ok</v>
      </c>
    </row>
    <row r="281" ht="13.55" customHeight="1">
      <c r="A281" s="3">
        <v>17319</v>
      </c>
      <c r="B281" t="s" s="2">
        <v>25</v>
      </c>
      <c r="C281" t="str" s="8" cm="1">
        <f t="array" ref="C281">IF(B281="M","Married","Single")</f>
        <v>Single</v>
      </c>
      <c r="D281" t="s" s="2">
        <v>14</v>
      </c>
      <c r="E281" t="str" s="8" cm="1">
        <f t="array" ref="E281">IF(D281="M","Male",IF(D281="F","Female","Check"))</f>
        <v>Female</v>
      </c>
      <c r="F281" s="4">
        <v>70000</v>
      </c>
      <c r="G281" t="str" s="8" cm="1">
        <f t="array" ref="G281">IF(F281="","Check","okay")</f>
        <v>okay</v>
      </c>
      <c r="H281" s="3">
        <v>0</v>
      </c>
      <c r="I281" t="s" s="2">
        <v>15</v>
      </c>
      <c r="J281" t="s" s="2">
        <v>23</v>
      </c>
      <c r="K281" t="s" s="2">
        <v>20</v>
      </c>
      <c r="L281" s="3">
        <v>1</v>
      </c>
      <c r="M281" t="s" s="2">
        <v>26</v>
      </c>
      <c r="N281" t="s" s="2">
        <v>27</v>
      </c>
      <c r="O281" s="3">
        <v>42</v>
      </c>
      <c r="P281" t="str" s="8" cm="1">
        <f t="array" ref="P281">IF(O281="","check","Okay")</f>
        <v>Okay</v>
      </c>
      <c r="Q281" t="str" s="8" cm="1">
        <f t="array" ref="Q281">IF(O281&lt;30,"UNDER 30",IF(O281&lt;=50,"30-50","Over 50"))</f>
        <v>30-50</v>
      </c>
      <c r="R281" t="s" s="2">
        <v>20</v>
      </c>
      <c r="S281" s="3" cm="1">
        <f t="array" ref="S281">COUNTIF(A2:A1001,A281)</f>
        <v>1</v>
      </c>
      <c r="T281" t="str" s="8" cm="1">
        <f t="array" ref="T281">IF(ISNUMBER(F281),"Ok","check")</f>
        <v>Ok</v>
      </c>
      <c r="U281" t="str" s="8" cm="1">
        <f t="array" ref="U281">IF(ISNUMBER(O281),"ok","check")</f>
        <v>ok</v>
      </c>
    </row>
    <row r="282" ht="13.55" customHeight="1">
      <c r="A282" s="3">
        <v>21974</v>
      </c>
      <c r="B282" t="s" s="2">
        <v>25</v>
      </c>
      <c r="C282" t="str" s="8" cm="1">
        <f t="array" ref="C282">IF(B282="M","Married","Single")</f>
        <v>Single</v>
      </c>
      <c r="D282" t="s" s="2">
        <v>14</v>
      </c>
      <c r="E282" t="str" s="8" cm="1">
        <f t="array" ref="E282">IF(D282="M","Male",IF(D282="F","Female","Check"))</f>
        <v>Female</v>
      </c>
      <c r="F282" s="4">
        <v>70000</v>
      </c>
      <c r="G282" t="str" s="8" cm="1">
        <f t="array" ref="G282">IF(F282="","Check","okay")</f>
        <v>okay</v>
      </c>
      <c r="H282" s="3">
        <v>0</v>
      </c>
      <c r="I282" t="s" s="2">
        <v>15</v>
      </c>
      <c r="J282" t="s" s="2">
        <v>23</v>
      </c>
      <c r="K282" t="s" s="2">
        <v>17</v>
      </c>
      <c r="L282" s="3">
        <v>1</v>
      </c>
      <c r="M282" t="s" s="2">
        <v>26</v>
      </c>
      <c r="N282" t="s" s="2">
        <v>27</v>
      </c>
      <c r="O282" s="3">
        <v>42</v>
      </c>
      <c r="P282" t="str" s="8" cm="1">
        <f t="array" ref="P282">IF(O282="","check","Okay")</f>
        <v>Okay</v>
      </c>
      <c r="Q282" t="str" s="8" cm="1">
        <f t="array" ref="Q282">IF(O282&lt;30,"UNDER 30",IF(O282&lt;=50,"30-50","Over 50"))</f>
        <v>30-50</v>
      </c>
      <c r="R282" t="s" s="2">
        <v>17</v>
      </c>
      <c r="S282" s="3" cm="1">
        <f t="array" ref="S282">COUNTIF(A2:A1001,A282)</f>
        <v>1</v>
      </c>
      <c r="T282" t="str" s="8" cm="1">
        <f t="array" ref="T282">IF(ISNUMBER(F282),"Ok","check")</f>
        <v>Ok</v>
      </c>
      <c r="U282" t="str" s="8" cm="1">
        <f t="array" ref="U282">IF(ISNUMBER(O282),"ok","check")</f>
        <v>ok</v>
      </c>
    </row>
    <row r="283" ht="13.55" customHeight="1">
      <c r="A283" s="3">
        <v>19163</v>
      </c>
      <c r="B283" t="s" s="2">
        <v>13</v>
      </c>
      <c r="C283" t="str" s="8" cm="1">
        <f t="array" ref="C283">IF(B283="M","Married","Single")</f>
        <v>Married</v>
      </c>
      <c r="D283" t="s" s="2">
        <v>14</v>
      </c>
      <c r="E283" t="str" s="8" cm="1">
        <f t="array" ref="E283">IF(D283="M","Male",IF(D283="F","Female","Check"))</f>
        <v>Female</v>
      </c>
      <c r="F283" s="4">
        <v>70000</v>
      </c>
      <c r="G283" t="str" s="8" cm="1">
        <f t="array" ref="G283">IF(F283="","Check","okay")</f>
        <v>okay</v>
      </c>
      <c r="H283" s="3">
        <v>4</v>
      </c>
      <c r="I283" t="s" s="2">
        <v>15</v>
      </c>
      <c r="J283" t="s" s="2">
        <v>23</v>
      </c>
      <c r="K283" t="s" s="2">
        <v>17</v>
      </c>
      <c r="L283" s="3">
        <v>2</v>
      </c>
      <c r="M283" t="s" s="2">
        <v>18</v>
      </c>
      <c r="N283" t="s" s="2">
        <v>35</v>
      </c>
      <c r="O283" s="3">
        <v>43</v>
      </c>
      <c r="P283" t="str" s="8" cm="1">
        <f t="array" ref="P283">IF(O283="","check","Okay")</f>
        <v>Okay</v>
      </c>
      <c r="Q283" t="str" s="8" cm="1">
        <f t="array" ref="Q283">IF(O283&lt;30,"UNDER 30",IF(O283&lt;=50,"30-50","Over 50"))</f>
        <v>30-50</v>
      </c>
      <c r="R283" t="s" s="2">
        <v>17</v>
      </c>
      <c r="S283" s="3" cm="1">
        <f t="array" ref="S283">COUNTIF(A2:A1001,A283)</f>
        <v>1</v>
      </c>
      <c r="T283" t="str" s="8" cm="1">
        <f t="array" ref="T283">IF(ISNUMBER(F283),"Ok","check")</f>
        <v>Ok</v>
      </c>
      <c r="U283" t="str" s="8" cm="1">
        <f t="array" ref="U283">IF(ISNUMBER(O283),"ok","check")</f>
        <v>ok</v>
      </c>
    </row>
    <row r="284" ht="13.55" customHeight="1">
      <c r="A284" s="3">
        <v>17000</v>
      </c>
      <c r="B284" t="s" s="2">
        <v>25</v>
      </c>
      <c r="C284" t="str" s="8" cm="1">
        <f t="array" ref="C284">IF(B284="M","Married","Single")</f>
        <v>Single</v>
      </c>
      <c r="D284" t="s" s="2">
        <v>14</v>
      </c>
      <c r="E284" t="str" s="8" cm="1">
        <f t="array" ref="E284">IF(D284="M","Male",IF(D284="F","Female","Check"))</f>
        <v>Female</v>
      </c>
      <c r="F284" s="4">
        <v>70000</v>
      </c>
      <c r="G284" t="str" s="8" cm="1">
        <f t="array" ref="G284">IF(F284="","Check","okay")</f>
        <v>okay</v>
      </c>
      <c r="H284" s="3">
        <v>4</v>
      </c>
      <c r="I284" t="s" s="2">
        <v>15</v>
      </c>
      <c r="J284" t="s" s="2">
        <v>16</v>
      </c>
      <c r="K284" t="s" s="2">
        <v>17</v>
      </c>
      <c r="L284" s="3">
        <v>2</v>
      </c>
      <c r="M284" t="s" s="2">
        <v>24</v>
      </c>
      <c r="N284" t="s" s="2">
        <v>35</v>
      </c>
      <c r="O284" s="3">
        <v>43</v>
      </c>
      <c r="P284" t="str" s="8" cm="1">
        <f t="array" ref="P284">IF(O284="","check","Okay")</f>
        <v>Okay</v>
      </c>
      <c r="Q284" t="str" s="8" cm="1">
        <f t="array" ref="Q284">IF(O284&lt;30,"UNDER 30",IF(O284&lt;=50,"30-50","Over 50"))</f>
        <v>30-50</v>
      </c>
      <c r="R284" t="s" s="2">
        <v>17</v>
      </c>
      <c r="S284" s="3" cm="1">
        <f t="array" ref="S284">COUNTIF(A2:A1001,A284)</f>
        <v>1</v>
      </c>
      <c r="T284" t="str" s="8" cm="1">
        <f t="array" ref="T284">IF(ISNUMBER(F284),"Ok","check")</f>
        <v>Ok</v>
      </c>
      <c r="U284" t="str" s="8" cm="1">
        <f t="array" ref="U284">IF(ISNUMBER(O284),"ok","check")</f>
        <v>ok</v>
      </c>
    </row>
    <row r="285" ht="13.55" customHeight="1">
      <c r="A285" s="3">
        <v>11116</v>
      </c>
      <c r="B285" t="s" s="2">
        <v>13</v>
      </c>
      <c r="C285" t="str" s="8" cm="1">
        <f t="array" ref="C285">IF(B285="M","Married","Single")</f>
        <v>Married</v>
      </c>
      <c r="D285" t="s" s="2">
        <v>13</v>
      </c>
      <c r="E285" t="str" s="8" cm="1">
        <f t="array" ref="E285">IF(D285="M","Male",IF(D285="F","Female","Check"))</f>
        <v>Male</v>
      </c>
      <c r="F285" s="4">
        <v>70000</v>
      </c>
      <c r="G285" t="str" s="8" cm="1">
        <f t="array" ref="G285">IF(F285="","Check","okay")</f>
        <v>okay</v>
      </c>
      <c r="H285" s="3">
        <v>5</v>
      </c>
      <c r="I285" t="s" s="2">
        <v>21</v>
      </c>
      <c r="J285" t="s" s="2">
        <v>16</v>
      </c>
      <c r="K285" t="s" s="2">
        <v>17</v>
      </c>
      <c r="L285" s="3">
        <v>2</v>
      </c>
      <c r="M285" t="s" s="2">
        <v>26</v>
      </c>
      <c r="N285" t="s" s="2">
        <v>27</v>
      </c>
      <c r="O285" s="3">
        <v>43</v>
      </c>
      <c r="P285" t="str" s="8" cm="1">
        <f t="array" ref="P285">IF(O285="","check","Okay")</f>
        <v>Okay</v>
      </c>
      <c r="Q285" t="str" s="8" cm="1">
        <f t="array" ref="Q285">IF(O285&lt;30,"UNDER 30",IF(O285&lt;=50,"30-50","Over 50"))</f>
        <v>30-50</v>
      </c>
      <c r="R285" t="s" s="2">
        <v>20</v>
      </c>
      <c r="S285" s="3" cm="1">
        <f t="array" ref="S285">COUNTIF(A2:A1001,A285)</f>
        <v>1</v>
      </c>
      <c r="T285" t="str" s="8" cm="1">
        <f t="array" ref="T285">IF(ISNUMBER(F285),"Ok","check")</f>
        <v>Ok</v>
      </c>
      <c r="U285" t="str" s="8" cm="1">
        <f t="array" ref="U285">IF(ISNUMBER(O285),"ok","check")</f>
        <v>ok</v>
      </c>
    </row>
    <row r="286" ht="13.55" customHeight="1">
      <c r="A286" s="3">
        <v>25983</v>
      </c>
      <c r="B286" t="s" s="2">
        <v>13</v>
      </c>
      <c r="C286" t="str" s="8" cm="1">
        <f t="array" ref="C286">IF(B286="M","Married","Single")</f>
        <v>Married</v>
      </c>
      <c r="D286" t="s" s="2">
        <v>13</v>
      </c>
      <c r="E286" t="str" s="8" cm="1">
        <f t="array" ref="E286">IF(D286="M","Male",IF(D286="F","Female","Check"))</f>
        <v>Male</v>
      </c>
      <c r="F286" s="4">
        <v>70000</v>
      </c>
      <c r="G286" t="str" s="8" cm="1">
        <f t="array" ref="G286">IF(F286="","Check","okay")</f>
        <v>okay</v>
      </c>
      <c r="H286" s="3">
        <v>0</v>
      </c>
      <c r="I286" t="s" s="2">
        <v>15</v>
      </c>
      <c r="J286" t="s" s="2">
        <v>23</v>
      </c>
      <c r="K286" t="s" s="2">
        <v>20</v>
      </c>
      <c r="L286" s="3">
        <v>1</v>
      </c>
      <c r="M286" t="s" s="2">
        <v>18</v>
      </c>
      <c r="N286" t="s" s="2">
        <v>35</v>
      </c>
      <c r="O286" s="3">
        <v>43</v>
      </c>
      <c r="P286" t="str" s="8" cm="1">
        <f t="array" ref="P286">IF(O286="","check","Okay")</f>
        <v>Okay</v>
      </c>
      <c r="Q286" t="str" s="8" cm="1">
        <f t="array" ref="Q286">IF(O286&lt;30,"UNDER 30",IF(O286&lt;=50,"30-50","Over 50"))</f>
        <v>30-50</v>
      </c>
      <c r="R286" t="s" s="2">
        <v>20</v>
      </c>
      <c r="S286" s="3" cm="1">
        <f t="array" ref="S286">COUNTIF(A2:A1001,A286)</f>
        <v>1</v>
      </c>
      <c r="T286" t="str" s="8" cm="1">
        <f t="array" ref="T286">IF(ISNUMBER(F286),"Ok","check")</f>
        <v>Ok</v>
      </c>
      <c r="U286" t="str" s="8" cm="1">
        <f t="array" ref="U286">IF(ISNUMBER(O286),"ok","check")</f>
        <v>ok</v>
      </c>
    </row>
    <row r="287" ht="13.55" customHeight="1">
      <c r="A287" s="3">
        <v>16112</v>
      </c>
      <c r="B287" t="s" s="2">
        <v>25</v>
      </c>
      <c r="C287" t="str" s="8" cm="1">
        <f t="array" ref="C287">IF(B287="M","Married","Single")</f>
        <v>Single</v>
      </c>
      <c r="D287" t="s" s="2">
        <v>13</v>
      </c>
      <c r="E287" t="str" s="8" cm="1">
        <f t="array" ref="E287">IF(D287="M","Male",IF(D287="F","Female","Check"))</f>
        <v>Male</v>
      </c>
      <c r="F287" s="4">
        <v>70000</v>
      </c>
      <c r="G287" t="str" s="8" cm="1">
        <f t="array" ref="G287">IF(F287="","Check","okay")</f>
        <v>okay</v>
      </c>
      <c r="H287" s="3">
        <v>4</v>
      </c>
      <c r="I287" t="s" s="2">
        <v>15</v>
      </c>
      <c r="J287" t="s" s="2">
        <v>23</v>
      </c>
      <c r="K287" t="s" s="2">
        <v>17</v>
      </c>
      <c r="L287" s="3">
        <v>2</v>
      </c>
      <c r="M287" t="s" s="2">
        <v>24</v>
      </c>
      <c r="N287" t="s" s="2">
        <v>35</v>
      </c>
      <c r="O287" s="3">
        <v>43</v>
      </c>
      <c r="P287" t="str" s="8" cm="1">
        <f t="array" ref="P287">IF(O287="","check","Okay")</f>
        <v>Okay</v>
      </c>
      <c r="Q287" t="str" s="8" cm="1">
        <f t="array" ref="Q287">IF(O287&lt;30,"UNDER 30",IF(O287&lt;=50,"30-50","Over 50"))</f>
        <v>30-50</v>
      </c>
      <c r="R287" t="s" s="2">
        <v>17</v>
      </c>
      <c r="S287" s="3" cm="1">
        <f t="array" ref="S287">COUNTIF(A2:A1001,A287)</f>
        <v>1</v>
      </c>
      <c r="T287" t="str" s="8" cm="1">
        <f t="array" ref="T287">IF(ISNUMBER(F287),"Ok","check")</f>
        <v>Ok</v>
      </c>
      <c r="U287" t="str" s="8" cm="1">
        <f t="array" ref="U287">IF(ISNUMBER(O287),"ok","check")</f>
        <v>ok</v>
      </c>
    </row>
    <row r="288" ht="13.55" customHeight="1">
      <c r="A288" s="3">
        <v>28323</v>
      </c>
      <c r="B288" t="s" s="2">
        <v>25</v>
      </c>
      <c r="C288" t="str" s="8" cm="1">
        <f t="array" ref="C288">IF(B288="M","Married","Single")</f>
        <v>Single</v>
      </c>
      <c r="D288" t="s" s="2">
        <v>13</v>
      </c>
      <c r="E288" t="str" s="8" cm="1">
        <f t="array" ref="E288">IF(D288="M","Male",IF(D288="F","Female","Check"))</f>
        <v>Male</v>
      </c>
      <c r="F288" s="4">
        <v>70000</v>
      </c>
      <c r="G288" t="str" s="8" cm="1">
        <f t="array" ref="G288">IF(F288="","Check","okay")</f>
        <v>okay</v>
      </c>
      <c r="H288" s="3">
        <v>0</v>
      </c>
      <c r="I288" t="s" s="2">
        <v>15</v>
      </c>
      <c r="J288" t="s" s="2">
        <v>23</v>
      </c>
      <c r="K288" t="s" s="2">
        <v>20</v>
      </c>
      <c r="L288" s="3">
        <v>2</v>
      </c>
      <c r="M288" t="s" s="2">
        <v>26</v>
      </c>
      <c r="N288" t="s" s="2">
        <v>27</v>
      </c>
      <c r="O288" s="3">
        <v>43</v>
      </c>
      <c r="P288" t="str" s="8" cm="1">
        <f t="array" ref="P288">IF(O288="","check","Okay")</f>
        <v>Okay</v>
      </c>
      <c r="Q288" t="str" s="8" cm="1">
        <f t="array" ref="Q288">IF(O288&lt;30,"UNDER 30",IF(O288&lt;=50,"30-50","Over 50"))</f>
        <v>30-50</v>
      </c>
      <c r="R288" t="s" s="2">
        <v>17</v>
      </c>
      <c r="S288" s="3" cm="1">
        <f t="array" ref="S288">COUNTIF(A2:A1001,A288)</f>
        <v>1</v>
      </c>
      <c r="T288" t="str" s="8" cm="1">
        <f t="array" ref="T288">IF(ISNUMBER(F288),"Ok","check")</f>
        <v>Ok</v>
      </c>
      <c r="U288" t="str" s="8" cm="1">
        <f t="array" ref="U288">IF(ISNUMBER(O288),"ok","check")</f>
        <v>ok</v>
      </c>
    </row>
    <row r="289" ht="13.55" customHeight="1">
      <c r="A289" s="3">
        <v>17546</v>
      </c>
      <c r="B289" t="s" s="2">
        <v>13</v>
      </c>
      <c r="C289" t="str" s="8" cm="1">
        <f t="array" ref="C289">IF(B289="M","Married","Single")</f>
        <v>Married</v>
      </c>
      <c r="D289" t="s" s="2">
        <v>14</v>
      </c>
      <c r="E289" t="str" s="8" cm="1">
        <f t="array" ref="E289">IF(D289="M","Male",IF(D289="F","Female","Check"))</f>
        <v>Female</v>
      </c>
      <c r="F289" s="4">
        <v>70000</v>
      </c>
      <c r="G289" t="str" s="8" cm="1">
        <f t="array" ref="G289">IF(F289="","Check","okay")</f>
        <v>okay</v>
      </c>
      <c r="H289" s="3">
        <v>1</v>
      </c>
      <c r="I289" t="s" s="2">
        <v>21</v>
      </c>
      <c r="J289" t="s" s="2">
        <v>16</v>
      </c>
      <c r="K289" t="s" s="2">
        <v>17</v>
      </c>
      <c r="L289" s="3">
        <v>1</v>
      </c>
      <c r="M289" t="s" s="2">
        <v>18</v>
      </c>
      <c r="N289" t="s" s="2">
        <v>35</v>
      </c>
      <c r="O289" s="3">
        <v>44</v>
      </c>
      <c r="P289" t="str" s="8" cm="1">
        <f t="array" ref="P289">IF(O289="","check","Okay")</f>
        <v>Okay</v>
      </c>
      <c r="Q289" t="str" s="8" cm="1">
        <f t="array" ref="Q289">IF(O289&lt;30,"UNDER 30",IF(O289&lt;=50,"30-50","Over 50"))</f>
        <v>30-50</v>
      </c>
      <c r="R289" t="s" s="2">
        <v>17</v>
      </c>
      <c r="S289" s="3" cm="1">
        <f t="array" ref="S289">COUNTIF(A2:A1001,A289)</f>
        <v>1</v>
      </c>
      <c r="T289" t="str" s="8" cm="1">
        <f t="array" ref="T289">IF(ISNUMBER(F289),"Ok","check")</f>
        <v>Ok</v>
      </c>
      <c r="U289" t="str" s="8" cm="1">
        <f t="array" ref="U289">IF(ISNUMBER(O289),"ok","check")</f>
        <v>ok</v>
      </c>
    </row>
    <row r="290" ht="13.55" customHeight="1">
      <c r="A290" s="3">
        <v>12957</v>
      </c>
      <c r="B290" t="s" s="2">
        <v>25</v>
      </c>
      <c r="C290" t="str" s="8" cm="1">
        <f t="array" ref="C290">IF(B290="M","Married","Single")</f>
        <v>Single</v>
      </c>
      <c r="D290" t="s" s="2">
        <v>14</v>
      </c>
      <c r="E290" t="str" s="8" cm="1">
        <f t="array" ref="E290">IF(D290="M","Male",IF(D290="F","Female","Check"))</f>
        <v>Female</v>
      </c>
      <c r="F290" s="4">
        <v>70000</v>
      </c>
      <c r="G290" t="str" s="8" cm="1">
        <f t="array" ref="G290">IF(F290="","Check","okay")</f>
        <v>okay</v>
      </c>
      <c r="H290" s="3">
        <v>1</v>
      </c>
      <c r="I290" t="s" s="2">
        <v>15</v>
      </c>
      <c r="J290" t="s" s="2">
        <v>23</v>
      </c>
      <c r="K290" t="s" s="2">
        <v>20</v>
      </c>
      <c r="L290" s="3">
        <v>1</v>
      </c>
      <c r="M290" t="s" s="2">
        <v>18</v>
      </c>
      <c r="N290" t="s" s="2">
        <v>35</v>
      </c>
      <c r="O290" s="3">
        <v>44</v>
      </c>
      <c r="P290" t="str" s="8" cm="1">
        <f t="array" ref="P290">IF(O290="","check","Okay")</f>
        <v>Okay</v>
      </c>
      <c r="Q290" t="str" s="8" cm="1">
        <f t="array" ref="Q290">IF(O290&lt;30,"UNDER 30",IF(O290&lt;=50,"30-50","Over 50"))</f>
        <v>30-50</v>
      </c>
      <c r="R290" t="s" s="2">
        <v>20</v>
      </c>
      <c r="S290" s="3" cm="1">
        <f t="array" ref="S290">COUNTIF(A2:A1001,A290)</f>
        <v>1</v>
      </c>
      <c r="T290" t="str" s="8" cm="1">
        <f t="array" ref="T290">IF(ISNUMBER(F290),"Ok","check")</f>
        <v>Ok</v>
      </c>
      <c r="U290" t="str" s="8" cm="1">
        <f t="array" ref="U290">IF(ISNUMBER(O290),"ok","check")</f>
        <v>ok</v>
      </c>
    </row>
    <row r="291" ht="13.55" customHeight="1">
      <c r="A291" s="3">
        <v>18299</v>
      </c>
      <c r="B291" t="s" s="2">
        <v>13</v>
      </c>
      <c r="C291" t="str" s="8" cm="1">
        <f t="array" ref="C291">IF(B291="M","Married","Single")</f>
        <v>Married</v>
      </c>
      <c r="D291" t="s" s="2">
        <v>13</v>
      </c>
      <c r="E291" t="str" s="8" cm="1">
        <f t="array" ref="E291">IF(D291="M","Male",IF(D291="F","Female","Check"))</f>
        <v>Male</v>
      </c>
      <c r="F291" s="4">
        <v>70000</v>
      </c>
      <c r="G291" t="str" s="8" cm="1">
        <f t="array" ref="G291">IF(F291="","Check","okay")</f>
        <v>okay</v>
      </c>
      <c r="H291" s="3">
        <v>5</v>
      </c>
      <c r="I291" t="s" s="2">
        <v>21</v>
      </c>
      <c r="J291" t="s" s="2">
        <v>16</v>
      </c>
      <c r="K291" t="s" s="2">
        <v>17</v>
      </c>
      <c r="L291" s="3">
        <v>2</v>
      </c>
      <c r="M291" t="s" s="2">
        <v>26</v>
      </c>
      <c r="N291" t="s" s="2">
        <v>27</v>
      </c>
      <c r="O291" s="3">
        <v>44</v>
      </c>
      <c r="P291" t="str" s="8" cm="1">
        <f t="array" ref="P291">IF(O291="","check","Okay")</f>
        <v>Okay</v>
      </c>
      <c r="Q291" t="str" s="8" cm="1">
        <f t="array" ref="Q291">IF(O291&lt;30,"UNDER 30",IF(O291&lt;=50,"30-50","Over 50"))</f>
        <v>30-50</v>
      </c>
      <c r="R291" t="s" s="2">
        <v>20</v>
      </c>
      <c r="S291" s="3" cm="1">
        <f t="array" ref="S291">COUNTIF(A2:A1001,A291)</f>
        <v>1</v>
      </c>
      <c r="T291" t="str" s="8" cm="1">
        <f t="array" ref="T291">IF(ISNUMBER(F291),"Ok","check")</f>
        <v>Ok</v>
      </c>
      <c r="U291" t="str" s="8" cm="1">
        <f t="array" ref="U291">IF(ISNUMBER(O291),"ok","check")</f>
        <v>ok</v>
      </c>
    </row>
    <row r="292" ht="13.55" customHeight="1">
      <c r="A292" s="3">
        <v>12964</v>
      </c>
      <c r="B292" t="s" s="2">
        <v>13</v>
      </c>
      <c r="C292" t="str" s="8" cm="1">
        <f t="array" ref="C292">IF(B292="M","Married","Single")</f>
        <v>Married</v>
      </c>
      <c r="D292" t="s" s="2">
        <v>13</v>
      </c>
      <c r="E292" t="str" s="8" cm="1">
        <f t="array" ref="E292">IF(D292="M","Male",IF(D292="F","Female","Check"))</f>
        <v>Male</v>
      </c>
      <c r="F292" s="4">
        <v>70000</v>
      </c>
      <c r="G292" t="str" s="8" cm="1">
        <f t="array" ref="G292">IF(F292="","Check","okay")</f>
        <v>okay</v>
      </c>
      <c r="H292" s="3">
        <v>1</v>
      </c>
      <c r="I292" t="s" s="2">
        <v>21</v>
      </c>
      <c r="J292" t="s" s="2">
        <v>16</v>
      </c>
      <c r="K292" t="s" s="2">
        <v>17</v>
      </c>
      <c r="L292" s="3">
        <v>1</v>
      </c>
      <c r="M292" t="s" s="2">
        <v>18</v>
      </c>
      <c r="N292" t="s" s="2">
        <v>35</v>
      </c>
      <c r="O292" s="3">
        <v>44</v>
      </c>
      <c r="P292" t="str" s="8" cm="1">
        <f t="array" ref="P292">IF(O292="","check","Okay")</f>
        <v>Okay</v>
      </c>
      <c r="Q292" t="str" s="8" cm="1">
        <f t="array" ref="Q292">IF(O292&lt;30,"UNDER 30",IF(O292&lt;=50,"30-50","Over 50"))</f>
        <v>30-50</v>
      </c>
      <c r="R292" t="s" s="2">
        <v>20</v>
      </c>
      <c r="S292" s="3" cm="1">
        <f t="array" ref="S292">COUNTIF(A2:A1001,A292)</f>
        <v>1</v>
      </c>
      <c r="T292" t="str" s="8" cm="1">
        <f t="array" ref="T292">IF(ISNUMBER(F292),"Ok","check")</f>
        <v>Ok</v>
      </c>
      <c r="U292" t="str" s="8" cm="1">
        <f t="array" ref="U292">IF(ISNUMBER(O292),"ok","check")</f>
        <v>ok</v>
      </c>
    </row>
    <row r="293" ht="13.55" customHeight="1">
      <c r="A293" s="3">
        <v>19618</v>
      </c>
      <c r="B293" t="s" s="2">
        <v>13</v>
      </c>
      <c r="C293" t="str" s="8" cm="1">
        <f t="array" ref="C293">IF(B293="M","Married","Single")</f>
        <v>Married</v>
      </c>
      <c r="D293" t="s" s="2">
        <v>13</v>
      </c>
      <c r="E293" t="str" s="8" cm="1">
        <f t="array" ref="E293">IF(D293="M","Male",IF(D293="F","Female","Check"))</f>
        <v>Male</v>
      </c>
      <c r="F293" s="4">
        <v>70000</v>
      </c>
      <c r="G293" t="str" s="8" cm="1">
        <f t="array" ref="G293">IF(F293="","Check","okay")</f>
        <v>okay</v>
      </c>
      <c r="H293" s="3">
        <v>5</v>
      </c>
      <c r="I293" t="s" s="2">
        <v>21</v>
      </c>
      <c r="J293" t="s" s="2">
        <v>16</v>
      </c>
      <c r="K293" t="s" s="2">
        <v>17</v>
      </c>
      <c r="L293" s="3">
        <v>2</v>
      </c>
      <c r="M293" t="s" s="2">
        <v>18</v>
      </c>
      <c r="N293" t="s" s="2">
        <v>27</v>
      </c>
      <c r="O293" s="3">
        <v>44</v>
      </c>
      <c r="P293" t="str" s="8" cm="1">
        <f t="array" ref="P293">IF(O293="","check","Okay")</f>
        <v>Okay</v>
      </c>
      <c r="Q293" t="str" s="8" cm="1">
        <f t="array" ref="Q293">IF(O293&lt;30,"UNDER 30",IF(O293&lt;=50,"30-50","Over 50"))</f>
        <v>30-50</v>
      </c>
      <c r="R293" t="s" s="2">
        <v>20</v>
      </c>
      <c r="S293" s="3" cm="1">
        <f t="array" ref="S293">COUNTIF(A2:A1001,A293)</f>
        <v>1</v>
      </c>
      <c r="T293" t="str" s="8" cm="1">
        <f t="array" ref="T293">IF(ISNUMBER(F293),"Ok","check")</f>
        <v>Ok</v>
      </c>
      <c r="U293" t="str" s="8" cm="1">
        <f t="array" ref="U293">IF(ISNUMBER(O293),"ok","check")</f>
        <v>ok</v>
      </c>
    </row>
    <row r="294" ht="13.55" customHeight="1">
      <c r="A294" s="3">
        <v>23376</v>
      </c>
      <c r="B294" t="s" s="2">
        <v>13</v>
      </c>
      <c r="C294" t="str" s="8" cm="1">
        <f t="array" ref="C294">IF(B294="M","Married","Single")</f>
        <v>Married</v>
      </c>
      <c r="D294" t="s" s="2">
        <v>13</v>
      </c>
      <c r="E294" t="str" s="8" cm="1">
        <f t="array" ref="E294">IF(D294="M","Male",IF(D294="F","Female","Check"))</f>
        <v>Male</v>
      </c>
      <c r="F294" s="4">
        <v>70000</v>
      </c>
      <c r="G294" t="str" s="8" cm="1">
        <f t="array" ref="G294">IF(F294="","Check","okay")</f>
        <v>okay</v>
      </c>
      <c r="H294" s="3">
        <v>1</v>
      </c>
      <c r="I294" t="s" s="2">
        <v>15</v>
      </c>
      <c r="J294" t="s" s="2">
        <v>23</v>
      </c>
      <c r="K294" t="s" s="2">
        <v>17</v>
      </c>
      <c r="L294" s="3">
        <v>1</v>
      </c>
      <c r="M294" t="s" s="2">
        <v>24</v>
      </c>
      <c r="N294" t="s" s="2">
        <v>35</v>
      </c>
      <c r="O294" s="3">
        <v>44</v>
      </c>
      <c r="P294" t="str" s="8" cm="1">
        <f t="array" ref="P294">IF(O294="","check","Okay")</f>
        <v>Okay</v>
      </c>
      <c r="Q294" t="str" s="8" cm="1">
        <f t="array" ref="Q294">IF(O294&lt;30,"UNDER 30",IF(O294&lt;=50,"30-50","Over 50"))</f>
        <v>30-50</v>
      </c>
      <c r="R294" t="s" s="2">
        <v>17</v>
      </c>
      <c r="S294" s="3" cm="1">
        <f t="array" ref="S294">COUNTIF(A2:A1001,A294)</f>
        <v>1</v>
      </c>
      <c r="T294" t="str" s="8" cm="1">
        <f t="array" ref="T294">IF(ISNUMBER(F294),"Ok","check")</f>
        <v>Ok</v>
      </c>
      <c r="U294" t="str" s="8" cm="1">
        <f t="array" ref="U294">IF(ISNUMBER(O294),"ok","check")</f>
        <v>ok</v>
      </c>
    </row>
    <row r="295" ht="13.55" customHeight="1">
      <c r="A295" s="3">
        <v>23378</v>
      </c>
      <c r="B295" t="s" s="2">
        <v>13</v>
      </c>
      <c r="C295" t="str" s="8" cm="1">
        <f t="array" ref="C295">IF(B295="M","Married","Single")</f>
        <v>Married</v>
      </c>
      <c r="D295" t="s" s="2">
        <v>13</v>
      </c>
      <c r="E295" t="str" s="8" cm="1">
        <f t="array" ref="E295">IF(D295="M","Male",IF(D295="F","Female","Check"))</f>
        <v>Male</v>
      </c>
      <c r="F295" s="4">
        <v>70000</v>
      </c>
      <c r="G295" t="str" s="8" cm="1">
        <f t="array" ref="G295">IF(F295="","Check","okay")</f>
        <v>okay</v>
      </c>
      <c r="H295" s="3">
        <v>1</v>
      </c>
      <c r="I295" t="s" s="2">
        <v>21</v>
      </c>
      <c r="J295" t="s" s="2">
        <v>16</v>
      </c>
      <c r="K295" t="s" s="2">
        <v>17</v>
      </c>
      <c r="L295" s="3">
        <v>1</v>
      </c>
      <c r="M295" t="s" s="2">
        <v>24</v>
      </c>
      <c r="N295" t="s" s="2">
        <v>35</v>
      </c>
      <c r="O295" s="3">
        <v>44</v>
      </c>
      <c r="P295" t="str" s="8" cm="1">
        <f t="array" ref="P295">IF(O295="","check","Okay")</f>
        <v>Okay</v>
      </c>
      <c r="Q295" t="str" s="8" cm="1">
        <f t="array" ref="Q295">IF(O295&lt;30,"UNDER 30",IF(O295&lt;=50,"30-50","Over 50"))</f>
        <v>30-50</v>
      </c>
      <c r="R295" t="s" s="2">
        <v>17</v>
      </c>
      <c r="S295" s="3" cm="1">
        <f t="array" ref="S295">COUNTIF(A2:A1001,A295)</f>
        <v>1</v>
      </c>
      <c r="T295" t="str" s="8" cm="1">
        <f t="array" ref="T295">IF(ISNUMBER(F295),"Ok","check")</f>
        <v>Ok</v>
      </c>
      <c r="U295" t="str" s="8" cm="1">
        <f t="array" ref="U295">IF(ISNUMBER(O295),"ok","check")</f>
        <v>ok</v>
      </c>
    </row>
    <row r="296" ht="13.55" customHeight="1">
      <c r="A296" s="3">
        <v>27643</v>
      </c>
      <c r="B296" t="s" s="2">
        <v>25</v>
      </c>
      <c r="C296" t="str" s="8" cm="1">
        <f t="array" ref="C296">IF(B296="M","Married","Single")</f>
        <v>Single</v>
      </c>
      <c r="D296" t="s" s="2">
        <v>13</v>
      </c>
      <c r="E296" t="str" s="8" cm="1">
        <f t="array" ref="E296">IF(D296="M","Male",IF(D296="F","Female","Check"))</f>
        <v>Male</v>
      </c>
      <c r="F296" s="4">
        <v>70000</v>
      </c>
      <c r="G296" t="str" s="8" cm="1">
        <f t="array" ref="G296">IF(F296="","Check","okay")</f>
        <v>okay</v>
      </c>
      <c r="H296" s="3">
        <v>5</v>
      </c>
      <c r="I296" t="s" s="2">
        <v>21</v>
      </c>
      <c r="J296" t="s" s="2">
        <v>23</v>
      </c>
      <c r="K296" t="s" s="2">
        <v>17</v>
      </c>
      <c r="L296" s="3">
        <v>3</v>
      </c>
      <c r="M296" t="s" s="2">
        <v>24</v>
      </c>
      <c r="N296" t="s" s="2">
        <v>35</v>
      </c>
      <c r="O296" s="3">
        <v>44</v>
      </c>
      <c r="P296" t="str" s="8" cm="1">
        <f t="array" ref="P296">IF(O296="","check","Okay")</f>
        <v>Okay</v>
      </c>
      <c r="Q296" t="str" s="8" cm="1">
        <f t="array" ref="Q296">IF(O296&lt;30,"UNDER 30",IF(O296&lt;=50,"30-50","Over 50"))</f>
        <v>30-50</v>
      </c>
      <c r="R296" t="s" s="2">
        <v>20</v>
      </c>
      <c r="S296" s="3" cm="1">
        <f t="array" ref="S296">COUNTIF(A2:A1001,A296)</f>
        <v>1</v>
      </c>
      <c r="T296" t="str" s="8" cm="1">
        <f t="array" ref="T296">IF(ISNUMBER(F296),"Ok","check")</f>
        <v>Ok</v>
      </c>
      <c r="U296" t="str" s="8" cm="1">
        <f t="array" ref="U296">IF(ISNUMBER(O296),"ok","check")</f>
        <v>ok</v>
      </c>
    </row>
    <row r="297" ht="13.55" customHeight="1">
      <c r="A297" s="3">
        <v>26765</v>
      </c>
      <c r="B297" t="s" s="2">
        <v>25</v>
      </c>
      <c r="C297" t="str" s="8" cm="1">
        <f t="array" ref="C297">IF(B297="M","Married","Single")</f>
        <v>Single</v>
      </c>
      <c r="D297" t="s" s="2">
        <v>14</v>
      </c>
      <c r="E297" t="str" s="8" cm="1">
        <f t="array" ref="E297">IF(D297="M","Male",IF(D297="F","Female","Check"))</f>
        <v>Female</v>
      </c>
      <c r="F297" s="4">
        <v>70000</v>
      </c>
      <c r="G297" t="str" s="8" cm="1">
        <f t="array" ref="G297">IF(F297="","Check","okay")</f>
        <v>okay</v>
      </c>
      <c r="H297" s="3">
        <v>5</v>
      </c>
      <c r="I297" t="s" s="2">
        <v>21</v>
      </c>
      <c r="J297" t="s" s="2">
        <v>16</v>
      </c>
      <c r="K297" t="s" s="2">
        <v>17</v>
      </c>
      <c r="L297" s="3">
        <v>2</v>
      </c>
      <c r="M297" t="s" s="2">
        <v>26</v>
      </c>
      <c r="N297" t="s" s="2">
        <v>27</v>
      </c>
      <c r="O297" s="3">
        <v>45</v>
      </c>
      <c r="P297" t="str" s="8" cm="1">
        <f t="array" ref="P297">IF(O297="","check","Okay")</f>
        <v>Okay</v>
      </c>
      <c r="Q297" t="str" s="8" cm="1">
        <f t="array" ref="Q297">IF(O297&lt;30,"UNDER 30",IF(O297&lt;=50,"30-50","Over 50"))</f>
        <v>30-50</v>
      </c>
      <c r="R297" t="s" s="2">
        <v>20</v>
      </c>
      <c r="S297" s="3" cm="1">
        <f t="array" ref="S297">COUNTIF(A2:A1001,A297)</f>
        <v>1</v>
      </c>
      <c r="T297" t="str" s="8" cm="1">
        <f t="array" ref="T297">IF(ISNUMBER(F297),"Ok","check")</f>
        <v>Ok</v>
      </c>
      <c r="U297" t="str" s="8" cm="1">
        <f t="array" ref="U297">IF(ISNUMBER(O297),"ok","check")</f>
        <v>ok</v>
      </c>
    </row>
    <row r="298" ht="13.55" customHeight="1">
      <c r="A298" s="3">
        <v>11287</v>
      </c>
      <c r="B298" t="s" s="2">
        <v>13</v>
      </c>
      <c r="C298" t="str" s="8" cm="1">
        <f t="array" ref="C298">IF(B298="M","Married","Single")</f>
        <v>Married</v>
      </c>
      <c r="D298" t="s" s="2">
        <v>13</v>
      </c>
      <c r="E298" t="str" s="8" cm="1">
        <f t="array" ref="E298">IF(D298="M","Male",IF(D298="F","Female","Check"))</f>
        <v>Male</v>
      </c>
      <c r="F298" s="4">
        <v>70000</v>
      </c>
      <c r="G298" t="str" s="8" cm="1">
        <f t="array" ref="G298">IF(F298="","Check","okay")</f>
        <v>okay</v>
      </c>
      <c r="H298" s="3">
        <v>5</v>
      </c>
      <c r="I298" t="s" s="2">
        <v>21</v>
      </c>
      <c r="J298" t="s" s="2">
        <v>23</v>
      </c>
      <c r="K298" t="s" s="2">
        <v>20</v>
      </c>
      <c r="L298" s="3">
        <v>3</v>
      </c>
      <c r="M298" t="s" s="2">
        <v>26</v>
      </c>
      <c r="N298" t="s" s="2">
        <v>35</v>
      </c>
      <c r="O298" s="3">
        <v>45</v>
      </c>
      <c r="P298" t="str" s="8" cm="1">
        <f t="array" ref="P298">IF(O298="","check","Okay")</f>
        <v>Okay</v>
      </c>
      <c r="Q298" t="str" s="8" cm="1">
        <f t="array" ref="Q298">IF(O298&lt;30,"UNDER 30",IF(O298&lt;=50,"30-50","Over 50"))</f>
        <v>30-50</v>
      </c>
      <c r="R298" t="s" s="2">
        <v>20</v>
      </c>
      <c r="S298" s="3" cm="1">
        <f t="array" ref="S298">COUNTIF(A2:A1001,A298)</f>
        <v>1</v>
      </c>
      <c r="T298" t="str" s="8" cm="1">
        <f t="array" ref="T298">IF(ISNUMBER(F298),"Ok","check")</f>
        <v>Ok</v>
      </c>
      <c r="U298" t="str" s="8" cm="1">
        <f t="array" ref="U298">IF(ISNUMBER(O298),"ok","check")</f>
        <v>ok</v>
      </c>
    </row>
    <row r="299" ht="13.55" customHeight="1">
      <c r="A299" s="3">
        <v>19626</v>
      </c>
      <c r="B299" t="s" s="2">
        <v>13</v>
      </c>
      <c r="C299" t="str" s="8" cm="1">
        <f t="array" ref="C299">IF(B299="M","Married","Single")</f>
        <v>Married</v>
      </c>
      <c r="D299" t="s" s="2">
        <v>13</v>
      </c>
      <c r="E299" t="str" s="8" cm="1">
        <f t="array" ref="E299">IF(D299="M","Male",IF(D299="F","Female","Check"))</f>
        <v>Male</v>
      </c>
      <c r="F299" s="4">
        <v>70000</v>
      </c>
      <c r="G299" t="str" s="8" cm="1">
        <f t="array" ref="G299">IF(F299="","Check","okay")</f>
        <v>okay</v>
      </c>
      <c r="H299" s="3">
        <v>5</v>
      </c>
      <c r="I299" t="s" s="2">
        <v>21</v>
      </c>
      <c r="J299" t="s" s="2">
        <v>16</v>
      </c>
      <c r="K299" t="s" s="2">
        <v>17</v>
      </c>
      <c r="L299" s="3">
        <v>3</v>
      </c>
      <c r="M299" t="s" s="2">
        <v>26</v>
      </c>
      <c r="N299" t="s" s="2">
        <v>27</v>
      </c>
      <c r="O299" s="3">
        <v>45</v>
      </c>
      <c r="P299" t="str" s="8" cm="1">
        <f t="array" ref="P299">IF(O299="","check","Okay")</f>
        <v>Okay</v>
      </c>
      <c r="Q299" t="str" s="8" cm="1">
        <f t="array" ref="Q299">IF(O299&lt;30,"UNDER 30",IF(O299&lt;=50,"30-50","Over 50"))</f>
        <v>30-50</v>
      </c>
      <c r="R299" t="s" s="2">
        <v>20</v>
      </c>
      <c r="S299" s="3" cm="1">
        <f t="array" ref="S299">COUNTIF(A2:A1001,A299)</f>
        <v>1</v>
      </c>
      <c r="T299" t="str" s="8" cm="1">
        <f t="array" ref="T299">IF(ISNUMBER(F299),"Ok","check")</f>
        <v>Ok</v>
      </c>
      <c r="U299" t="str" s="8" cm="1">
        <f t="array" ref="U299">IF(ISNUMBER(O299),"ok","check")</f>
        <v>ok</v>
      </c>
    </row>
    <row r="300" ht="13.55" customHeight="1">
      <c r="A300" s="3">
        <v>22005</v>
      </c>
      <c r="B300" t="s" s="2">
        <v>13</v>
      </c>
      <c r="C300" t="str" s="8" cm="1">
        <f t="array" ref="C300">IF(B300="M","Married","Single")</f>
        <v>Married</v>
      </c>
      <c r="D300" t="s" s="2">
        <v>14</v>
      </c>
      <c r="E300" t="str" s="8" cm="1">
        <f t="array" ref="E300">IF(D300="M","Male",IF(D300="F","Female","Check"))</f>
        <v>Female</v>
      </c>
      <c r="F300" s="4">
        <v>70000</v>
      </c>
      <c r="G300" t="str" s="8" cm="1">
        <f t="array" ref="G300">IF(F300="","Check","okay")</f>
        <v>okay</v>
      </c>
      <c r="H300" s="3">
        <v>5</v>
      </c>
      <c r="I300" t="s" s="2">
        <v>21</v>
      </c>
      <c r="J300" t="s" s="2">
        <v>16</v>
      </c>
      <c r="K300" t="s" s="2">
        <v>20</v>
      </c>
      <c r="L300" s="3">
        <v>3</v>
      </c>
      <c r="M300" t="s" s="2">
        <v>26</v>
      </c>
      <c r="N300" t="s" s="2">
        <v>27</v>
      </c>
      <c r="O300" s="3">
        <v>46</v>
      </c>
      <c r="P300" t="str" s="8" cm="1">
        <f t="array" ref="P300">IF(O300="","check","Okay")</f>
        <v>Okay</v>
      </c>
      <c r="Q300" t="str" s="8" cm="1">
        <f t="array" ref="Q300">IF(O300&lt;30,"UNDER 30",IF(O300&lt;=50,"30-50","Over 50"))</f>
        <v>30-50</v>
      </c>
      <c r="R300" t="s" s="2">
        <v>20</v>
      </c>
      <c r="S300" s="3" cm="1">
        <f t="array" ref="S300">COUNTIF(A2:A1001,A300)</f>
        <v>1</v>
      </c>
      <c r="T300" t="str" s="8" cm="1">
        <f t="array" ref="T300">IF(ISNUMBER(F300),"Ok","check")</f>
        <v>Ok</v>
      </c>
      <c r="U300" t="str" s="8" cm="1">
        <f t="array" ref="U300">IF(ISNUMBER(O300),"ok","check")</f>
        <v>ok</v>
      </c>
    </row>
    <row r="301" ht="13.55" customHeight="1">
      <c r="A301" s="3">
        <v>28192</v>
      </c>
      <c r="B301" t="s" s="2">
        <v>13</v>
      </c>
      <c r="C301" t="str" s="8" cm="1">
        <f t="array" ref="C301">IF(B301="M","Married","Single")</f>
        <v>Married</v>
      </c>
      <c r="D301" t="s" s="2">
        <v>14</v>
      </c>
      <c r="E301" t="str" s="8" cm="1">
        <f t="array" ref="E301">IF(D301="M","Male",IF(D301="F","Female","Check"))</f>
        <v>Female</v>
      </c>
      <c r="F301" s="4">
        <v>70000</v>
      </c>
      <c r="G301" t="str" s="8" cm="1">
        <f t="array" ref="G301">IF(F301="","Check","okay")</f>
        <v>okay</v>
      </c>
      <c r="H301" s="3">
        <v>5</v>
      </c>
      <c r="I301" t="s" s="2">
        <v>34</v>
      </c>
      <c r="J301" t="s" s="2">
        <v>23</v>
      </c>
      <c r="K301" t="s" s="2">
        <v>17</v>
      </c>
      <c r="L301" s="3">
        <v>3</v>
      </c>
      <c r="M301" t="s" s="2">
        <v>33</v>
      </c>
      <c r="N301" t="s" s="2">
        <v>35</v>
      </c>
      <c r="O301" s="3">
        <v>46</v>
      </c>
      <c r="P301" t="str" s="8" cm="1">
        <f t="array" ref="P301">IF(O301="","check","Okay")</f>
        <v>Okay</v>
      </c>
      <c r="Q301" t="str" s="8" cm="1">
        <f t="array" ref="Q301">IF(O301&lt;30,"UNDER 30",IF(O301&lt;=50,"30-50","Over 50"))</f>
        <v>30-50</v>
      </c>
      <c r="R301" t="s" s="2">
        <v>20</v>
      </c>
      <c r="S301" s="3" cm="1">
        <f t="array" ref="S301">COUNTIF(A2:A1001,A301)</f>
        <v>1</v>
      </c>
      <c r="T301" t="str" s="8" cm="1">
        <f t="array" ref="T301">IF(ISNUMBER(F301),"Ok","check")</f>
        <v>Ok</v>
      </c>
      <c r="U301" t="str" s="8" cm="1">
        <f t="array" ref="U301">IF(ISNUMBER(O301),"ok","check")</f>
        <v>ok</v>
      </c>
    </row>
    <row r="302" ht="13.55" customHeight="1">
      <c r="A302" s="3">
        <v>16145</v>
      </c>
      <c r="B302" t="s" s="2">
        <v>25</v>
      </c>
      <c r="C302" t="str" s="8" cm="1">
        <f t="array" ref="C302">IF(B302="M","Married","Single")</f>
        <v>Single</v>
      </c>
      <c r="D302" t="s" s="2">
        <v>14</v>
      </c>
      <c r="E302" t="str" s="8" cm="1">
        <f t="array" ref="E302">IF(D302="M","Male",IF(D302="F","Female","Check"))</f>
        <v>Female</v>
      </c>
      <c r="F302" s="4">
        <v>70000</v>
      </c>
      <c r="G302" t="str" s="8" cm="1">
        <f t="array" ref="G302">IF(F302="","Check","okay")</f>
        <v>okay</v>
      </c>
      <c r="H302" s="3">
        <v>5</v>
      </c>
      <c r="I302" t="s" s="2">
        <v>34</v>
      </c>
      <c r="J302" t="s" s="2">
        <v>23</v>
      </c>
      <c r="K302" t="s" s="2">
        <v>17</v>
      </c>
      <c r="L302" s="3">
        <v>3</v>
      </c>
      <c r="M302" t="s" s="2">
        <v>33</v>
      </c>
      <c r="N302" t="s" s="2">
        <v>35</v>
      </c>
      <c r="O302" s="3">
        <v>46</v>
      </c>
      <c r="P302" t="str" s="8" cm="1">
        <f t="array" ref="P302">IF(O302="","check","Okay")</f>
        <v>Okay</v>
      </c>
      <c r="Q302" t="str" s="8" cm="1">
        <f t="array" ref="Q302">IF(O302&lt;30,"UNDER 30",IF(O302&lt;=50,"30-50","Over 50"))</f>
        <v>30-50</v>
      </c>
      <c r="R302" t="s" s="2">
        <v>17</v>
      </c>
      <c r="S302" s="3" cm="1">
        <f t="array" ref="S302">COUNTIF(A2:A1001,A302)</f>
        <v>1</v>
      </c>
      <c r="T302" t="str" s="8" cm="1">
        <f t="array" ref="T302">IF(ISNUMBER(F302),"Ok","check")</f>
        <v>Ok</v>
      </c>
      <c r="U302" t="str" s="8" cm="1">
        <f t="array" ref="U302">IF(ISNUMBER(O302),"ok","check")</f>
        <v>ok</v>
      </c>
    </row>
    <row r="303" ht="13.55" customHeight="1">
      <c r="A303" s="3">
        <v>16144</v>
      </c>
      <c r="B303" t="s" s="2">
        <v>13</v>
      </c>
      <c r="C303" t="str" s="8" cm="1">
        <f t="array" ref="C303">IF(B303="M","Married","Single")</f>
        <v>Married</v>
      </c>
      <c r="D303" t="s" s="2">
        <v>13</v>
      </c>
      <c r="E303" t="str" s="8" cm="1">
        <f t="array" ref="E303">IF(D303="M","Male",IF(D303="F","Female","Check"))</f>
        <v>Male</v>
      </c>
      <c r="F303" s="4">
        <v>70000</v>
      </c>
      <c r="G303" t="str" s="8" cm="1">
        <f t="array" ref="G303">IF(F303="","Check","okay")</f>
        <v>okay</v>
      </c>
      <c r="H303" s="3">
        <v>1</v>
      </c>
      <c r="I303" t="s" s="2">
        <v>34</v>
      </c>
      <c r="J303" t="s" s="2">
        <v>23</v>
      </c>
      <c r="K303" t="s" s="2">
        <v>17</v>
      </c>
      <c r="L303" s="3">
        <v>1</v>
      </c>
      <c r="M303" t="s" s="2">
        <v>18</v>
      </c>
      <c r="N303" t="s" s="2">
        <v>35</v>
      </c>
      <c r="O303" s="3">
        <v>46</v>
      </c>
      <c r="P303" t="str" s="8" cm="1">
        <f t="array" ref="P303">IF(O303="","check","Okay")</f>
        <v>Okay</v>
      </c>
      <c r="Q303" t="str" s="8" cm="1">
        <f t="array" ref="Q303">IF(O303&lt;30,"UNDER 30",IF(O303&lt;=50,"30-50","Over 50"))</f>
        <v>30-50</v>
      </c>
      <c r="R303" t="s" s="2">
        <v>17</v>
      </c>
      <c r="S303" s="3" cm="1">
        <f t="array" ref="S303">COUNTIF(A2:A1001,A303)</f>
        <v>1</v>
      </c>
      <c r="T303" t="str" s="8" cm="1">
        <f t="array" ref="T303">IF(ISNUMBER(F303),"Ok","check")</f>
        <v>Ok</v>
      </c>
      <c r="U303" t="str" s="8" cm="1">
        <f t="array" ref="U303">IF(ISNUMBER(O303),"ok","check")</f>
        <v>ok</v>
      </c>
    </row>
    <row r="304" ht="13.55" customHeight="1">
      <c r="A304" s="3">
        <v>22006</v>
      </c>
      <c r="B304" t="s" s="2">
        <v>13</v>
      </c>
      <c r="C304" t="str" s="8" cm="1">
        <f t="array" ref="C304">IF(B304="M","Married","Single")</f>
        <v>Married</v>
      </c>
      <c r="D304" t="s" s="2">
        <v>13</v>
      </c>
      <c r="E304" t="str" s="8" cm="1">
        <f t="array" ref="E304">IF(D304="M","Male",IF(D304="F","Female","Check"))</f>
        <v>Male</v>
      </c>
      <c r="F304" s="4">
        <v>70000</v>
      </c>
      <c r="G304" t="str" s="8" cm="1">
        <f t="array" ref="G304">IF(F304="","Check","okay")</f>
        <v>okay</v>
      </c>
      <c r="H304" s="3">
        <v>5</v>
      </c>
      <c r="I304" t="s" s="2">
        <v>21</v>
      </c>
      <c r="J304" t="s" s="2">
        <v>16</v>
      </c>
      <c r="K304" t="s" s="2">
        <v>17</v>
      </c>
      <c r="L304" s="3">
        <v>3</v>
      </c>
      <c r="M304" t="s" s="2">
        <v>26</v>
      </c>
      <c r="N304" t="s" s="2">
        <v>27</v>
      </c>
      <c r="O304" s="3">
        <v>46</v>
      </c>
      <c r="P304" t="str" s="8" cm="1">
        <f t="array" ref="P304">IF(O304="","check","Okay")</f>
        <v>Okay</v>
      </c>
      <c r="Q304" t="str" s="8" cm="1">
        <f t="array" ref="Q304">IF(O304&lt;30,"UNDER 30",IF(O304&lt;=50,"30-50","Over 50"))</f>
        <v>30-50</v>
      </c>
      <c r="R304" t="s" s="2">
        <v>20</v>
      </c>
      <c r="S304" s="3" cm="1">
        <f t="array" ref="S304">COUNTIF(A2:A1001,A304)</f>
        <v>1</v>
      </c>
      <c r="T304" t="str" s="8" cm="1">
        <f t="array" ref="T304">IF(ISNUMBER(F304),"Ok","check")</f>
        <v>Ok</v>
      </c>
      <c r="U304" t="str" s="8" cm="1">
        <f t="array" ref="U304">IF(ISNUMBER(O304),"ok","check")</f>
        <v>ok</v>
      </c>
    </row>
    <row r="305" ht="13.55" customHeight="1">
      <c r="A305" s="3">
        <v>11890</v>
      </c>
      <c r="B305" t="s" s="2">
        <v>13</v>
      </c>
      <c r="C305" t="str" s="8" cm="1">
        <f t="array" ref="C305">IF(B305="M","Married","Single")</f>
        <v>Married</v>
      </c>
      <c r="D305" t="s" s="2">
        <v>14</v>
      </c>
      <c r="E305" t="str" s="8" cm="1">
        <f t="array" ref="E305">IF(D305="M","Male",IF(D305="F","Female","Check"))</f>
        <v>Female</v>
      </c>
      <c r="F305" s="4">
        <v>70000</v>
      </c>
      <c r="G305" t="str" s="8" cm="1">
        <f t="array" ref="G305">IF(F305="","Check","okay")</f>
        <v>okay</v>
      </c>
      <c r="H305" s="3">
        <v>5</v>
      </c>
      <c r="I305" t="s" s="2">
        <v>34</v>
      </c>
      <c r="J305" t="s" s="2">
        <v>23</v>
      </c>
      <c r="K305" t="s" s="2">
        <v>17</v>
      </c>
      <c r="L305" s="3">
        <v>1</v>
      </c>
      <c r="M305" t="s" s="2">
        <v>18</v>
      </c>
      <c r="N305" t="s" s="2">
        <v>35</v>
      </c>
      <c r="O305" s="3">
        <v>47</v>
      </c>
      <c r="P305" t="str" s="8" cm="1">
        <f t="array" ref="P305">IF(O305="","check","Okay")</f>
        <v>Okay</v>
      </c>
      <c r="Q305" t="str" s="8" cm="1">
        <f t="array" ref="Q305">IF(O305&lt;30,"UNDER 30",IF(O305&lt;=50,"30-50","Over 50"))</f>
        <v>30-50</v>
      </c>
      <c r="R305" t="s" s="2">
        <v>20</v>
      </c>
      <c r="S305" s="3" cm="1">
        <f t="array" ref="S305">COUNTIF(A2:A1001,A305)</f>
        <v>1</v>
      </c>
      <c r="T305" t="str" s="8" cm="1">
        <f t="array" ref="T305">IF(ISNUMBER(F305),"Ok","check")</f>
        <v>Ok</v>
      </c>
      <c r="U305" t="str" s="8" cm="1">
        <f t="array" ref="U305">IF(ISNUMBER(O305),"ok","check")</f>
        <v>ok</v>
      </c>
    </row>
    <row r="306" ht="13.55" customHeight="1">
      <c r="A306" s="3">
        <v>16154</v>
      </c>
      <c r="B306" t="s" s="2">
        <v>13</v>
      </c>
      <c r="C306" t="str" s="8" cm="1">
        <f t="array" ref="C306">IF(B306="M","Married","Single")</f>
        <v>Married</v>
      </c>
      <c r="D306" t="s" s="2">
        <v>14</v>
      </c>
      <c r="E306" t="str" s="8" cm="1">
        <f t="array" ref="E306">IF(D306="M","Male",IF(D306="F","Female","Check"))</f>
        <v>Female</v>
      </c>
      <c r="F306" s="4">
        <v>70000</v>
      </c>
      <c r="G306" t="str" s="8" cm="1">
        <f t="array" ref="G306">IF(F306="","Check","okay")</f>
        <v>okay</v>
      </c>
      <c r="H306" s="3">
        <v>5</v>
      </c>
      <c r="I306" t="s" s="2">
        <v>15</v>
      </c>
      <c r="J306" t="s" s="2">
        <v>23</v>
      </c>
      <c r="K306" t="s" s="2">
        <v>17</v>
      </c>
      <c r="L306" s="3">
        <v>2</v>
      </c>
      <c r="M306" t="s" s="2">
        <v>24</v>
      </c>
      <c r="N306" t="s" s="2">
        <v>35</v>
      </c>
      <c r="O306" s="3">
        <v>47</v>
      </c>
      <c r="P306" t="str" s="8" cm="1">
        <f t="array" ref="P306">IF(O306="","check","Okay")</f>
        <v>Okay</v>
      </c>
      <c r="Q306" t="str" s="8" cm="1">
        <f t="array" ref="Q306">IF(O306&lt;30,"UNDER 30",IF(O306&lt;=50,"30-50","Over 50"))</f>
        <v>30-50</v>
      </c>
      <c r="R306" t="s" s="2">
        <v>20</v>
      </c>
      <c r="S306" s="3" cm="1">
        <f t="array" ref="S306">COUNTIF(A2:A1001,A306)</f>
        <v>1</v>
      </c>
      <c r="T306" t="str" s="8" cm="1">
        <f t="array" ref="T306">IF(ISNUMBER(F306),"Ok","check")</f>
        <v>Ok</v>
      </c>
      <c r="U306" t="str" s="8" cm="1">
        <f t="array" ref="U306">IF(ISNUMBER(O306),"ok","check")</f>
        <v>ok</v>
      </c>
    </row>
    <row r="307" ht="13.55" customHeight="1">
      <c r="A307" s="3">
        <v>19543</v>
      </c>
      <c r="B307" t="s" s="2">
        <v>13</v>
      </c>
      <c r="C307" t="str" s="8" cm="1">
        <f t="array" ref="C307">IF(B307="M","Married","Single")</f>
        <v>Married</v>
      </c>
      <c r="D307" t="s" s="2">
        <v>13</v>
      </c>
      <c r="E307" t="str" s="8" cm="1">
        <f t="array" ref="E307">IF(D307="M","Male",IF(D307="F","Female","Check"))</f>
        <v>Male</v>
      </c>
      <c r="F307" s="4">
        <v>70000</v>
      </c>
      <c r="G307" t="str" s="8" cm="1">
        <f t="array" ref="G307">IF(F307="","Check","okay")</f>
        <v>okay</v>
      </c>
      <c r="H307" s="3">
        <v>5</v>
      </c>
      <c r="I307" t="s" s="2">
        <v>34</v>
      </c>
      <c r="J307" t="s" s="2">
        <v>23</v>
      </c>
      <c r="K307" t="s" s="2">
        <v>20</v>
      </c>
      <c r="L307" s="3">
        <v>3</v>
      </c>
      <c r="M307" t="s" s="2">
        <v>33</v>
      </c>
      <c r="N307" t="s" s="2">
        <v>35</v>
      </c>
      <c r="O307" s="3">
        <v>47</v>
      </c>
      <c r="P307" t="str" s="8" cm="1">
        <f t="array" ref="P307">IF(O307="","check","Okay")</f>
        <v>Okay</v>
      </c>
      <c r="Q307" t="str" s="8" cm="1">
        <f t="array" ref="Q307">IF(O307&lt;30,"UNDER 30",IF(O307&lt;=50,"30-50","Over 50"))</f>
        <v>30-50</v>
      </c>
      <c r="R307" t="s" s="2">
        <v>20</v>
      </c>
      <c r="S307" s="3" cm="1">
        <f t="array" ref="S307">COUNTIF(A2:A1001,A307)</f>
        <v>1</v>
      </c>
      <c r="T307" t="str" s="8" cm="1">
        <f t="array" ref="T307">IF(ISNUMBER(F307),"Ok","check")</f>
        <v>Ok</v>
      </c>
      <c r="U307" t="str" s="8" cm="1">
        <f t="array" ref="U307">IF(ISNUMBER(O307),"ok","check")</f>
        <v>ok</v>
      </c>
    </row>
    <row r="308" ht="13.55" customHeight="1">
      <c r="A308" s="3">
        <v>25065</v>
      </c>
      <c r="B308" t="s" s="2">
        <v>13</v>
      </c>
      <c r="C308" t="str" s="8" cm="1">
        <f t="array" ref="C308">IF(B308="M","Married","Single")</f>
        <v>Married</v>
      </c>
      <c r="D308" t="s" s="2">
        <v>13</v>
      </c>
      <c r="E308" t="str" s="8" cm="1">
        <f t="array" ref="E308">IF(D308="M","Male",IF(D308="F","Female","Check"))</f>
        <v>Male</v>
      </c>
      <c r="F308" s="4">
        <v>70000</v>
      </c>
      <c r="G308" t="str" s="8" cm="1">
        <f t="array" ref="G308">IF(F308="","Check","okay")</f>
        <v>okay</v>
      </c>
      <c r="H308" s="3">
        <v>2</v>
      </c>
      <c r="I308" t="s" s="2">
        <v>32</v>
      </c>
      <c r="J308" t="s" s="2">
        <v>16</v>
      </c>
      <c r="K308" t="s" s="2">
        <v>17</v>
      </c>
      <c r="L308" s="3">
        <v>2</v>
      </c>
      <c r="M308" t="s" s="2">
        <v>26</v>
      </c>
      <c r="N308" t="s" s="2">
        <v>35</v>
      </c>
      <c r="O308" s="3">
        <v>48</v>
      </c>
      <c r="P308" t="str" s="8" cm="1">
        <f t="array" ref="P308">IF(O308="","check","Okay")</f>
        <v>Okay</v>
      </c>
      <c r="Q308" t="str" s="8" cm="1">
        <f t="array" ref="Q308">IF(O308&lt;30,"UNDER 30",IF(O308&lt;=50,"30-50","Over 50"))</f>
        <v>30-50</v>
      </c>
      <c r="R308" t="s" s="2">
        <v>20</v>
      </c>
      <c r="S308" s="3" cm="1">
        <f t="array" ref="S308">COUNTIF(A2:A1001,A308)</f>
        <v>1</v>
      </c>
      <c r="T308" t="str" s="8" cm="1">
        <f t="array" ref="T308">IF(ISNUMBER(F308),"Ok","check")</f>
        <v>Ok</v>
      </c>
      <c r="U308" t="str" s="8" cm="1">
        <f t="array" ref="U308">IF(ISNUMBER(O308),"ok","check")</f>
        <v>ok</v>
      </c>
    </row>
    <row r="309" ht="13.55" customHeight="1">
      <c r="A309" s="3">
        <v>12153</v>
      </c>
      <c r="B309" t="s" s="2">
        <v>25</v>
      </c>
      <c r="C309" t="str" s="8" cm="1">
        <f t="array" ref="C309">IF(B309="M","Married","Single")</f>
        <v>Single</v>
      </c>
      <c r="D309" t="s" s="2">
        <v>14</v>
      </c>
      <c r="E309" t="str" s="8" cm="1">
        <f t="array" ref="E309">IF(D309="M","Male",IF(D309="F","Female","Check"))</f>
        <v>Female</v>
      </c>
      <c r="F309" s="4">
        <v>70000</v>
      </c>
      <c r="G309" t="str" s="8" cm="1">
        <f t="array" ref="G309">IF(F309="","Check","okay")</f>
        <v>okay</v>
      </c>
      <c r="H309" s="3">
        <v>3</v>
      </c>
      <c r="I309" t="s" s="2">
        <v>21</v>
      </c>
      <c r="J309" t="s" s="2">
        <v>23</v>
      </c>
      <c r="K309" t="s" s="2">
        <v>17</v>
      </c>
      <c r="L309" s="3">
        <v>1</v>
      </c>
      <c r="M309" t="s" s="2">
        <v>26</v>
      </c>
      <c r="N309" t="s" s="2">
        <v>35</v>
      </c>
      <c r="O309" s="3">
        <v>49</v>
      </c>
      <c r="P309" t="str" s="8" cm="1">
        <f t="array" ref="P309">IF(O309="","check","Okay")</f>
        <v>Okay</v>
      </c>
      <c r="Q309" t="str" s="8" cm="1">
        <f t="array" ref="Q309">IF(O309&lt;30,"UNDER 30",IF(O309&lt;=50,"30-50","Over 50"))</f>
        <v>30-50</v>
      </c>
      <c r="R309" t="s" s="2">
        <v>17</v>
      </c>
      <c r="S309" s="3" cm="1">
        <f t="array" ref="S309">COUNTIF(A2:A1001,A309)</f>
        <v>1</v>
      </c>
      <c r="T309" t="str" s="8" cm="1">
        <f t="array" ref="T309">IF(ISNUMBER(F309),"Ok","check")</f>
        <v>Ok</v>
      </c>
      <c r="U309" t="str" s="8" cm="1">
        <f t="array" ref="U309">IF(ISNUMBER(O309),"ok","check")</f>
        <v>ok</v>
      </c>
    </row>
    <row r="310" ht="13.55" customHeight="1">
      <c r="A310" s="3">
        <v>18491</v>
      </c>
      <c r="B310" t="s" s="2">
        <v>25</v>
      </c>
      <c r="C310" t="str" s="8" cm="1">
        <f t="array" ref="C310">IF(B310="M","Married","Single")</f>
        <v>Single</v>
      </c>
      <c r="D310" t="s" s="2">
        <v>14</v>
      </c>
      <c r="E310" t="str" s="8" cm="1">
        <f t="array" ref="E310">IF(D310="M","Male",IF(D310="F","Female","Check"))</f>
        <v>Female</v>
      </c>
      <c r="F310" s="4">
        <v>70000</v>
      </c>
      <c r="G310" t="str" s="8" cm="1">
        <f t="array" ref="G310">IF(F310="","Check","okay")</f>
        <v>okay</v>
      </c>
      <c r="H310" s="3">
        <v>2</v>
      </c>
      <c r="I310" t="s" s="2">
        <v>30</v>
      </c>
      <c r="J310" t="s" s="2">
        <v>23</v>
      </c>
      <c r="K310" t="s" s="2">
        <v>17</v>
      </c>
      <c r="L310" s="3">
        <v>2</v>
      </c>
      <c r="M310" t="s" s="2">
        <v>26</v>
      </c>
      <c r="N310" t="s" s="2">
        <v>27</v>
      </c>
      <c r="O310" s="3">
        <v>49</v>
      </c>
      <c r="P310" t="str" s="8" cm="1">
        <f t="array" ref="P310">IF(O310="","check","Okay")</f>
        <v>Okay</v>
      </c>
      <c r="Q310" t="str" s="8" cm="1">
        <f t="array" ref="Q310">IF(O310&lt;30,"UNDER 30",IF(O310&lt;=50,"30-50","Over 50"))</f>
        <v>30-50</v>
      </c>
      <c r="R310" t="s" s="2">
        <v>17</v>
      </c>
      <c r="S310" s="3" cm="1">
        <f t="array" ref="S310">COUNTIF(A2:A1001,A310)</f>
        <v>1</v>
      </c>
      <c r="T310" t="str" s="8" cm="1">
        <f t="array" ref="T310">IF(ISNUMBER(F310),"Ok","check")</f>
        <v>Ok</v>
      </c>
      <c r="U310" t="str" s="8" cm="1">
        <f t="array" ref="U310">IF(ISNUMBER(O310),"ok","check")</f>
        <v>ok</v>
      </c>
    </row>
    <row r="311" ht="13.55" customHeight="1">
      <c r="A311" s="3">
        <v>19812</v>
      </c>
      <c r="B311" t="s" s="2">
        <v>25</v>
      </c>
      <c r="C311" t="str" s="8" cm="1">
        <f t="array" ref="C311">IF(B311="M","Married","Single")</f>
        <v>Single</v>
      </c>
      <c r="D311" t="s" s="2">
        <v>14</v>
      </c>
      <c r="E311" t="str" s="8" cm="1">
        <f t="array" ref="E311">IF(D311="M","Male",IF(D311="F","Female","Check"))</f>
        <v>Female</v>
      </c>
      <c r="F311" s="4">
        <v>70000</v>
      </c>
      <c r="G311" t="str" s="8" cm="1">
        <f t="array" ref="G311">IF(F311="","Check","okay")</f>
        <v>okay</v>
      </c>
      <c r="H311" s="3">
        <v>2</v>
      </c>
      <c r="I311" t="s" s="2">
        <v>21</v>
      </c>
      <c r="J311" t="s" s="2">
        <v>23</v>
      </c>
      <c r="K311" t="s" s="2">
        <v>17</v>
      </c>
      <c r="L311" s="3">
        <v>0</v>
      </c>
      <c r="M311" t="s" s="2">
        <v>26</v>
      </c>
      <c r="N311" t="s" s="2">
        <v>35</v>
      </c>
      <c r="O311" s="3">
        <v>49</v>
      </c>
      <c r="P311" t="str" s="8" cm="1">
        <f t="array" ref="P311">IF(O311="","check","Okay")</f>
        <v>Okay</v>
      </c>
      <c r="Q311" t="str" s="8" cm="1">
        <f t="array" ref="Q311">IF(O311&lt;30,"UNDER 30",IF(O311&lt;=50,"30-50","Over 50"))</f>
        <v>30-50</v>
      </c>
      <c r="R311" t="s" s="2">
        <v>17</v>
      </c>
      <c r="S311" s="3" cm="1">
        <f t="array" ref="S311">COUNTIF(A2:A1001,A311)</f>
        <v>1</v>
      </c>
      <c r="T311" t="str" s="8" cm="1">
        <f t="array" ref="T311">IF(ISNUMBER(F311),"Ok","check")</f>
        <v>Ok</v>
      </c>
      <c r="U311" t="str" s="8" cm="1">
        <f t="array" ref="U311">IF(ISNUMBER(O311),"ok","check")</f>
        <v>ok</v>
      </c>
    </row>
    <row r="312" ht="13.55" customHeight="1">
      <c r="A312" s="3">
        <v>18504</v>
      </c>
      <c r="B312" t="s" s="2">
        <v>13</v>
      </c>
      <c r="C312" t="str" s="8" cm="1">
        <f t="array" ref="C312">IF(B312="M","Married","Single")</f>
        <v>Married</v>
      </c>
      <c r="D312" t="s" s="2">
        <v>13</v>
      </c>
      <c r="E312" t="str" s="8" cm="1">
        <f t="array" ref="E312">IF(D312="M","Male",IF(D312="F","Female","Check"))</f>
        <v>Male</v>
      </c>
      <c r="F312" s="4">
        <v>70000</v>
      </c>
      <c r="G312" t="str" s="8" cm="1">
        <f t="array" ref="G312">IF(F312="","Check","okay")</f>
        <v>okay</v>
      </c>
      <c r="H312" s="3">
        <v>2</v>
      </c>
      <c r="I312" t="s" s="2">
        <v>32</v>
      </c>
      <c r="J312" t="s" s="2">
        <v>16</v>
      </c>
      <c r="K312" t="s" s="2">
        <v>20</v>
      </c>
      <c r="L312" s="3">
        <v>2</v>
      </c>
      <c r="M312" t="s" s="2">
        <v>29</v>
      </c>
      <c r="N312" t="s" s="2">
        <v>35</v>
      </c>
      <c r="O312" s="3">
        <v>49</v>
      </c>
      <c r="P312" t="str" s="8" cm="1">
        <f t="array" ref="P312">IF(O312="","check","Okay")</f>
        <v>Okay</v>
      </c>
      <c r="Q312" t="str" s="8" cm="1">
        <f t="array" ref="Q312">IF(O312&lt;30,"UNDER 30",IF(O312&lt;=50,"30-50","Over 50"))</f>
        <v>30-50</v>
      </c>
      <c r="R312" t="s" s="2">
        <v>20</v>
      </c>
      <c r="S312" s="3" cm="1">
        <f t="array" ref="S312">COUNTIF(A2:A1001,A312)</f>
        <v>1</v>
      </c>
      <c r="T312" t="str" s="8" cm="1">
        <f t="array" ref="T312">IF(ISNUMBER(F312),"Ok","check")</f>
        <v>Ok</v>
      </c>
      <c r="U312" t="str" s="8" cm="1">
        <f t="array" ref="U312">IF(ISNUMBER(O312),"ok","check")</f>
        <v>ok</v>
      </c>
    </row>
    <row r="313" ht="13.55" customHeight="1">
      <c r="A313" s="3">
        <v>26693</v>
      </c>
      <c r="B313" t="s" s="2">
        <v>13</v>
      </c>
      <c r="C313" t="str" s="8" cm="1">
        <f t="array" ref="C313">IF(B313="M","Married","Single")</f>
        <v>Married</v>
      </c>
      <c r="D313" t="s" s="2">
        <v>13</v>
      </c>
      <c r="E313" t="str" s="8" cm="1">
        <f t="array" ref="E313">IF(D313="M","Male",IF(D313="F","Female","Check"))</f>
        <v>Male</v>
      </c>
      <c r="F313" s="4">
        <v>70000</v>
      </c>
      <c r="G313" t="str" s="8" cm="1">
        <f t="array" ref="G313">IF(F313="","Check","okay")</f>
        <v>okay</v>
      </c>
      <c r="H313" s="3">
        <v>3</v>
      </c>
      <c r="I313" t="s" s="2">
        <v>21</v>
      </c>
      <c r="J313" t="s" s="2">
        <v>23</v>
      </c>
      <c r="K313" t="s" s="2">
        <v>17</v>
      </c>
      <c r="L313" s="3">
        <v>1</v>
      </c>
      <c r="M313" t="s" s="2">
        <v>26</v>
      </c>
      <c r="N313" t="s" s="2">
        <v>35</v>
      </c>
      <c r="O313" s="3">
        <v>49</v>
      </c>
      <c r="P313" t="str" s="8" cm="1">
        <f t="array" ref="P313">IF(O313="","check","Okay")</f>
        <v>Okay</v>
      </c>
      <c r="Q313" t="str" s="8" cm="1">
        <f t="array" ref="Q313">IF(O313&lt;30,"UNDER 30",IF(O313&lt;=50,"30-50","Over 50"))</f>
        <v>30-50</v>
      </c>
      <c r="R313" t="s" s="2">
        <v>20</v>
      </c>
      <c r="S313" s="3" cm="1">
        <f t="array" ref="S313">COUNTIF(A2:A1001,A313)</f>
        <v>1</v>
      </c>
      <c r="T313" t="str" s="8" cm="1">
        <f t="array" ref="T313">IF(ISNUMBER(F313),"Ok","check")</f>
        <v>Ok</v>
      </c>
      <c r="U313" t="str" s="8" cm="1">
        <f t="array" ref="U313">IF(ISNUMBER(O313),"ok","check")</f>
        <v>ok</v>
      </c>
    </row>
    <row r="314" ht="13.55" customHeight="1">
      <c r="A314" s="3">
        <v>21741</v>
      </c>
      <c r="B314" t="s" s="2">
        <v>13</v>
      </c>
      <c r="C314" t="str" s="8" cm="1">
        <f t="array" ref="C314">IF(B314="M","Married","Single")</f>
        <v>Married</v>
      </c>
      <c r="D314" t="s" s="2">
        <v>14</v>
      </c>
      <c r="E314" t="str" s="8" cm="1">
        <f t="array" ref="E314">IF(D314="M","Male",IF(D314="F","Female","Check"))</f>
        <v>Female</v>
      </c>
      <c r="F314" s="4">
        <v>70000</v>
      </c>
      <c r="G314" t="str" s="8" cm="1">
        <f t="array" ref="G314">IF(F314="","Check","okay")</f>
        <v>okay</v>
      </c>
      <c r="H314" s="3">
        <v>3</v>
      </c>
      <c r="I314" t="s" s="2">
        <v>21</v>
      </c>
      <c r="J314" t="s" s="2">
        <v>23</v>
      </c>
      <c r="K314" t="s" s="2">
        <v>17</v>
      </c>
      <c r="L314" s="3">
        <v>2</v>
      </c>
      <c r="M314" t="s" s="2">
        <v>26</v>
      </c>
      <c r="N314" t="s" s="2">
        <v>35</v>
      </c>
      <c r="O314" s="3">
        <v>50</v>
      </c>
      <c r="P314" t="str" s="8" cm="1">
        <f t="array" ref="P314">IF(O314="","check","Okay")</f>
        <v>Okay</v>
      </c>
      <c r="Q314" t="str" s="8" cm="1">
        <f t="array" ref="Q314">IF(O314&lt;30,"UNDER 30",IF(O314&lt;=50,"30-50","Over 50"))</f>
        <v>30-50</v>
      </c>
      <c r="R314" t="s" s="2">
        <v>17</v>
      </c>
      <c r="S314" s="3" cm="1">
        <f t="array" ref="S314">COUNTIF(A2:A1001,A314)</f>
        <v>1</v>
      </c>
      <c r="T314" t="str" s="8" cm="1">
        <f t="array" ref="T314">IF(ISNUMBER(F314),"Ok","check")</f>
        <v>Ok</v>
      </c>
      <c r="U314" t="str" s="8" cm="1">
        <f t="array" ref="U314">IF(ISNUMBER(O314),"ok","check")</f>
        <v>ok</v>
      </c>
    </row>
    <row r="315" ht="13.55" customHeight="1">
      <c r="A315" s="3">
        <v>23041</v>
      </c>
      <c r="B315" t="s" s="2">
        <v>25</v>
      </c>
      <c r="C315" t="str" s="8" cm="1">
        <f t="array" ref="C315">IF(B315="M","Married","Single")</f>
        <v>Single</v>
      </c>
      <c r="D315" t="s" s="2">
        <v>14</v>
      </c>
      <c r="E315" t="str" s="8" cm="1">
        <f t="array" ref="E315">IF(D315="M","Male",IF(D315="F","Female","Check"))</f>
        <v>Female</v>
      </c>
      <c r="F315" s="4">
        <v>70000</v>
      </c>
      <c r="G315" t="str" s="8" cm="1">
        <f t="array" ref="G315">IF(F315="","Check","okay")</f>
        <v>okay</v>
      </c>
      <c r="H315" s="3">
        <v>4</v>
      </c>
      <c r="I315" t="s" s="2">
        <v>30</v>
      </c>
      <c r="J315" t="s" s="2">
        <v>23</v>
      </c>
      <c r="K315" t="s" s="2">
        <v>17</v>
      </c>
      <c r="L315" s="3">
        <v>0</v>
      </c>
      <c r="M315" t="s" s="2">
        <v>26</v>
      </c>
      <c r="N315" t="s" s="2">
        <v>35</v>
      </c>
      <c r="O315" s="3">
        <v>50</v>
      </c>
      <c r="P315" t="str" s="8" cm="1">
        <f t="array" ref="P315">IF(O315="","check","Okay")</f>
        <v>Okay</v>
      </c>
      <c r="Q315" t="str" s="8" cm="1">
        <f t="array" ref="Q315">IF(O315&lt;30,"UNDER 30",IF(O315&lt;=50,"30-50","Over 50"))</f>
        <v>30-50</v>
      </c>
      <c r="R315" t="s" s="2">
        <v>17</v>
      </c>
      <c r="S315" s="3" cm="1">
        <f t="array" ref="S315">COUNTIF(A2:A1001,A315)</f>
        <v>1</v>
      </c>
      <c r="T315" t="str" s="8" cm="1">
        <f t="array" ref="T315">IF(ISNUMBER(F315),"Ok","check")</f>
        <v>Ok</v>
      </c>
      <c r="U315" t="str" s="8" cm="1">
        <f t="array" ref="U315">IF(ISNUMBER(O315),"ok","check")</f>
        <v>ok</v>
      </c>
    </row>
    <row r="316" ht="13.55" customHeight="1">
      <c r="A316" s="3">
        <v>14032</v>
      </c>
      <c r="B316" t="s" s="2">
        <v>13</v>
      </c>
      <c r="C316" t="str" s="8" cm="1">
        <f t="array" ref="C316">IF(B316="M","Married","Single")</f>
        <v>Married</v>
      </c>
      <c r="D316" t="s" s="2">
        <v>13</v>
      </c>
      <c r="E316" t="str" s="8" cm="1">
        <f t="array" ref="E316">IF(D316="M","Male",IF(D316="F","Female","Check"))</f>
        <v>Male</v>
      </c>
      <c r="F316" s="4">
        <v>70000</v>
      </c>
      <c r="G316" t="str" s="8" cm="1">
        <f t="array" ref="G316">IF(F316="","Check","okay")</f>
        <v>okay</v>
      </c>
      <c r="H316" s="3">
        <v>2</v>
      </c>
      <c r="I316" t="s" s="2">
        <v>30</v>
      </c>
      <c r="J316" t="s" s="2">
        <v>16</v>
      </c>
      <c r="K316" t="s" s="2">
        <v>20</v>
      </c>
      <c r="L316" s="3">
        <v>2</v>
      </c>
      <c r="M316" t="s" s="2">
        <v>29</v>
      </c>
      <c r="N316" t="s" s="2">
        <v>27</v>
      </c>
      <c r="O316" s="3">
        <v>50</v>
      </c>
      <c r="P316" t="str" s="8" cm="1">
        <f t="array" ref="P316">IF(O316="","check","Okay")</f>
        <v>Okay</v>
      </c>
      <c r="Q316" t="str" s="8" cm="1">
        <f t="array" ref="Q316">IF(O316&lt;30,"UNDER 30",IF(O316&lt;=50,"30-50","Over 50"))</f>
        <v>30-50</v>
      </c>
      <c r="R316" t="s" s="2">
        <v>17</v>
      </c>
      <c r="S316" s="3" cm="1">
        <f t="array" ref="S316">COUNTIF(A2:A1001,A316)</f>
        <v>1</v>
      </c>
      <c r="T316" t="str" s="8" cm="1">
        <f t="array" ref="T316">IF(ISNUMBER(F316),"Ok","check")</f>
        <v>Ok</v>
      </c>
      <c r="U316" t="str" s="8" cm="1">
        <f t="array" ref="U316">IF(ISNUMBER(O316),"ok","check")</f>
        <v>ok</v>
      </c>
    </row>
    <row r="317" ht="13.55" customHeight="1">
      <c r="A317" s="3">
        <v>27650</v>
      </c>
      <c r="B317" t="s" s="2">
        <v>13</v>
      </c>
      <c r="C317" t="str" s="8" cm="1">
        <f t="array" ref="C317">IF(B317="M","Married","Single")</f>
        <v>Married</v>
      </c>
      <c r="D317" t="s" s="2">
        <v>13</v>
      </c>
      <c r="E317" t="str" s="8" cm="1">
        <f t="array" ref="E317">IF(D317="M","Male",IF(D317="F","Female","Check"))</f>
        <v>Male</v>
      </c>
      <c r="F317" s="4">
        <v>70000</v>
      </c>
      <c r="G317" t="str" s="8" cm="1">
        <f t="array" ref="G317">IF(F317="","Check","okay")</f>
        <v>okay</v>
      </c>
      <c r="H317" s="3">
        <v>4</v>
      </c>
      <c r="I317" t="s" s="2">
        <v>30</v>
      </c>
      <c r="J317" t="s" s="2">
        <v>23</v>
      </c>
      <c r="K317" t="s" s="2">
        <v>17</v>
      </c>
      <c r="L317" s="3">
        <v>0</v>
      </c>
      <c r="M317" t="s" s="2">
        <v>26</v>
      </c>
      <c r="N317" t="s" s="2">
        <v>35</v>
      </c>
      <c r="O317" s="3">
        <v>51</v>
      </c>
      <c r="P317" t="str" s="8" cm="1">
        <f t="array" ref="P317">IF(O317="","check","Okay")</f>
        <v>Okay</v>
      </c>
      <c r="Q317" t="str" s="8" cm="1">
        <f t="array" ref="Q317">IF(O317&lt;30,"UNDER 30",IF(O317&lt;=50,"30-50","Over 50"))</f>
        <v>Over 50</v>
      </c>
      <c r="R317" t="s" s="2">
        <v>20</v>
      </c>
      <c r="S317" s="3" cm="1">
        <f t="array" ref="S317">COUNTIF(A2:A1001,A317)</f>
        <v>1</v>
      </c>
      <c r="T317" t="str" s="8" cm="1">
        <f t="array" ref="T317">IF(ISNUMBER(F317),"Ok","check")</f>
        <v>Ok</v>
      </c>
      <c r="U317" t="str" s="8" cm="1">
        <f t="array" ref="U317">IF(ISNUMBER(O317),"ok","check")</f>
        <v>ok</v>
      </c>
    </row>
    <row r="318" ht="13.55" customHeight="1">
      <c r="A318" s="3">
        <v>12195</v>
      </c>
      <c r="B318" t="s" s="2">
        <v>25</v>
      </c>
      <c r="C318" t="str" s="8" cm="1">
        <f t="array" ref="C318">IF(B318="M","Married","Single")</f>
        <v>Single</v>
      </c>
      <c r="D318" t="s" s="2">
        <v>14</v>
      </c>
      <c r="E318" t="str" s="8" cm="1">
        <f t="array" ref="E318">IF(D318="M","Male",IF(D318="F","Female","Check"))</f>
        <v>Female</v>
      </c>
      <c r="F318" s="4">
        <v>70000</v>
      </c>
      <c r="G318" t="str" s="8" cm="1">
        <f t="array" ref="G318">IF(F318="","Check","okay")</f>
        <v>okay</v>
      </c>
      <c r="H318" s="3">
        <v>3</v>
      </c>
      <c r="I318" t="s" s="2">
        <v>34</v>
      </c>
      <c r="J318" t="s" s="2">
        <v>31</v>
      </c>
      <c r="K318" t="s" s="2">
        <v>17</v>
      </c>
      <c r="L318" s="3">
        <v>2</v>
      </c>
      <c r="M318" t="s" s="2">
        <v>29</v>
      </c>
      <c r="N318" t="s" s="2">
        <v>35</v>
      </c>
      <c r="O318" s="3">
        <v>52</v>
      </c>
      <c r="P318" t="str" s="8" cm="1">
        <f t="array" ref="P318">IF(O318="","check","Okay")</f>
        <v>Okay</v>
      </c>
      <c r="Q318" t="str" s="8" cm="1">
        <f t="array" ref="Q318">IF(O318&lt;30,"UNDER 30",IF(O318&lt;=50,"30-50","Over 50"))</f>
        <v>Over 50</v>
      </c>
      <c r="R318" t="s" s="2">
        <v>20</v>
      </c>
      <c r="S318" s="3" cm="1">
        <f t="array" ref="S318">COUNTIF(A2:A1001,A318)</f>
        <v>1</v>
      </c>
      <c r="T318" t="str" s="8" cm="1">
        <f t="array" ref="T318">IF(ISNUMBER(F318),"Ok","check")</f>
        <v>Ok</v>
      </c>
      <c r="U318" t="str" s="8" cm="1">
        <f t="array" ref="U318">IF(ISNUMBER(O318),"ok","check")</f>
        <v>ok</v>
      </c>
    </row>
    <row r="319" ht="13.55" customHeight="1">
      <c r="A319" s="3">
        <v>20376</v>
      </c>
      <c r="B319" t="s" s="2">
        <v>25</v>
      </c>
      <c r="C319" t="str" s="8" cm="1">
        <f t="array" ref="C319">IF(B319="M","Married","Single")</f>
        <v>Single</v>
      </c>
      <c r="D319" t="s" s="2">
        <v>14</v>
      </c>
      <c r="E319" t="str" s="8" cm="1">
        <f t="array" ref="E319">IF(D319="M","Male",IF(D319="F","Female","Check"))</f>
        <v>Female</v>
      </c>
      <c r="F319" s="4">
        <v>70000</v>
      </c>
      <c r="G319" t="str" s="8" cm="1">
        <f t="array" ref="G319">IF(F319="","Check","okay")</f>
        <v>okay</v>
      </c>
      <c r="H319" s="3">
        <v>3</v>
      </c>
      <c r="I319" t="s" s="2">
        <v>34</v>
      </c>
      <c r="J319" t="s" s="2">
        <v>31</v>
      </c>
      <c r="K319" t="s" s="2">
        <v>17</v>
      </c>
      <c r="L319" s="3">
        <v>2</v>
      </c>
      <c r="M319" t="s" s="2">
        <v>26</v>
      </c>
      <c r="N319" t="s" s="2">
        <v>35</v>
      </c>
      <c r="O319" s="3">
        <v>52</v>
      </c>
      <c r="P319" t="str" s="8" cm="1">
        <f t="array" ref="P319">IF(O319="","check","Okay")</f>
        <v>Okay</v>
      </c>
      <c r="Q319" t="str" s="8" cm="1">
        <f t="array" ref="Q319">IF(O319&lt;30,"UNDER 30",IF(O319&lt;=50,"30-50","Over 50"))</f>
        <v>Over 50</v>
      </c>
      <c r="R319" t="s" s="2">
        <v>17</v>
      </c>
      <c r="S319" s="3" cm="1">
        <f t="array" ref="S319">COUNTIF(A2:A1001,A319)</f>
        <v>1</v>
      </c>
      <c r="T319" t="str" s="8" cm="1">
        <f t="array" ref="T319">IF(ISNUMBER(F319),"Ok","check")</f>
        <v>Ok</v>
      </c>
      <c r="U319" t="str" s="8" cm="1">
        <f t="array" ref="U319">IF(ISNUMBER(O319),"ok","check")</f>
        <v>ok</v>
      </c>
    </row>
    <row r="320" ht="13.55" customHeight="1">
      <c r="A320" s="3">
        <v>11061</v>
      </c>
      <c r="B320" t="s" s="2">
        <v>13</v>
      </c>
      <c r="C320" t="str" s="8" cm="1">
        <f t="array" ref="C320">IF(B320="M","Married","Single")</f>
        <v>Married</v>
      </c>
      <c r="D320" t="s" s="2">
        <v>13</v>
      </c>
      <c r="E320" t="str" s="8" cm="1">
        <f t="array" ref="E320">IF(D320="M","Male",IF(D320="F","Female","Check"))</f>
        <v>Male</v>
      </c>
      <c r="F320" s="4">
        <v>70000</v>
      </c>
      <c r="G320" t="str" s="8" cm="1">
        <f t="array" ref="G320">IF(F320="","Check","okay")</f>
        <v>okay</v>
      </c>
      <c r="H320" s="3">
        <v>2</v>
      </c>
      <c r="I320" t="s" s="2">
        <v>21</v>
      </c>
      <c r="J320" t="s" s="2">
        <v>16</v>
      </c>
      <c r="K320" t="s" s="2">
        <v>17</v>
      </c>
      <c r="L320" s="3">
        <v>2</v>
      </c>
      <c r="M320" t="s" s="2">
        <v>26</v>
      </c>
      <c r="N320" t="s" s="2">
        <v>27</v>
      </c>
      <c r="O320" s="3">
        <v>52</v>
      </c>
      <c r="P320" t="str" s="8" cm="1">
        <f t="array" ref="P320">IF(O320="","check","Okay")</f>
        <v>Okay</v>
      </c>
      <c r="Q320" t="str" s="8" cm="1">
        <f t="array" ref="Q320">IF(O320&lt;30,"UNDER 30",IF(O320&lt;=50,"30-50","Over 50"))</f>
        <v>Over 50</v>
      </c>
      <c r="R320" t="s" s="2">
        <v>17</v>
      </c>
      <c r="S320" s="3" cm="1">
        <f t="array" ref="S320">COUNTIF(A2:A1001,A320)</f>
        <v>1</v>
      </c>
      <c r="T320" t="str" s="8" cm="1">
        <f t="array" ref="T320">IF(ISNUMBER(F320),"Ok","check")</f>
        <v>Ok</v>
      </c>
      <c r="U320" t="str" s="8" cm="1">
        <f t="array" ref="U320">IF(ISNUMBER(O320),"ok","check")</f>
        <v>ok</v>
      </c>
    </row>
    <row r="321" ht="13.55" customHeight="1">
      <c r="A321" s="3">
        <v>20370</v>
      </c>
      <c r="B321" t="s" s="2">
        <v>13</v>
      </c>
      <c r="C321" t="str" s="8" cm="1">
        <f t="array" ref="C321">IF(B321="M","Married","Single")</f>
        <v>Married</v>
      </c>
      <c r="D321" t="s" s="2">
        <v>13</v>
      </c>
      <c r="E321" t="str" s="8" cm="1">
        <f t="array" ref="E321">IF(D321="M","Male",IF(D321="F","Female","Check"))</f>
        <v>Male</v>
      </c>
      <c r="F321" s="4">
        <v>70000</v>
      </c>
      <c r="G321" t="str" s="8" cm="1">
        <f t="array" ref="G321">IF(F321="","Check","okay")</f>
        <v>okay</v>
      </c>
      <c r="H321" s="3">
        <v>3</v>
      </c>
      <c r="I321" t="s" s="2">
        <v>32</v>
      </c>
      <c r="J321" t="s" s="2">
        <v>16</v>
      </c>
      <c r="K321" t="s" s="2">
        <v>17</v>
      </c>
      <c r="L321" s="3">
        <v>2</v>
      </c>
      <c r="M321" t="s" s="2">
        <v>26</v>
      </c>
      <c r="N321" t="s" s="2">
        <v>35</v>
      </c>
      <c r="O321" s="3">
        <v>52</v>
      </c>
      <c r="P321" t="str" s="8" cm="1">
        <f t="array" ref="P321">IF(O321="","check","Okay")</f>
        <v>Okay</v>
      </c>
      <c r="Q321" t="str" s="8" cm="1">
        <f t="array" ref="Q321">IF(O321&lt;30,"UNDER 30",IF(O321&lt;=50,"30-50","Over 50"))</f>
        <v>Over 50</v>
      </c>
      <c r="R321" t="s" s="2">
        <v>20</v>
      </c>
      <c r="S321" s="3" cm="1">
        <f t="array" ref="S321">COUNTIF(A2:A1001,A321)</f>
        <v>1</v>
      </c>
      <c r="T321" t="str" s="8" cm="1">
        <f t="array" ref="T321">IF(ISNUMBER(F321),"Ok","check")</f>
        <v>Ok</v>
      </c>
      <c r="U321" t="str" s="8" cm="1">
        <f t="array" ref="U321">IF(ISNUMBER(O321),"ok","check")</f>
        <v>ok</v>
      </c>
    </row>
    <row r="322" ht="13.55" customHeight="1">
      <c r="A322" s="3">
        <v>20430</v>
      </c>
      <c r="B322" t="s" s="2">
        <v>13</v>
      </c>
      <c r="C322" t="str" s="8" cm="1">
        <f t="array" ref="C322">IF(B322="M","Married","Single")</f>
        <v>Married</v>
      </c>
      <c r="D322" t="s" s="2">
        <v>13</v>
      </c>
      <c r="E322" t="str" s="8" cm="1">
        <f t="array" ref="E322">IF(D322="M","Male",IF(D322="F","Female","Check"))</f>
        <v>Male</v>
      </c>
      <c r="F322" s="4">
        <v>70000</v>
      </c>
      <c r="G322" t="str" s="8" cm="1">
        <f t="array" ref="G322">IF(F322="","Check","okay")</f>
        <v>okay</v>
      </c>
      <c r="H322" s="3">
        <v>2</v>
      </c>
      <c r="I322" t="s" s="2">
        <v>21</v>
      </c>
      <c r="J322" t="s" s="2">
        <v>16</v>
      </c>
      <c r="K322" t="s" s="2">
        <v>17</v>
      </c>
      <c r="L322" s="3">
        <v>2</v>
      </c>
      <c r="M322" t="s" s="2">
        <v>26</v>
      </c>
      <c r="N322" t="s" s="2">
        <v>27</v>
      </c>
      <c r="O322" s="3">
        <v>52</v>
      </c>
      <c r="P322" t="str" s="8" cm="1">
        <f t="array" ref="P322">IF(O322="","check","Okay")</f>
        <v>Okay</v>
      </c>
      <c r="Q322" t="str" s="8" cm="1">
        <f t="array" ref="Q322">IF(O322&lt;30,"UNDER 30",IF(O322&lt;=50,"30-50","Over 50"))</f>
        <v>Over 50</v>
      </c>
      <c r="R322" t="s" s="2">
        <v>17</v>
      </c>
      <c r="S322" s="3" cm="1">
        <f t="array" ref="S322">COUNTIF(A2:A1001,A322)</f>
        <v>1</v>
      </c>
      <c r="T322" t="str" s="8" cm="1">
        <f t="array" ref="T322">IF(ISNUMBER(F322),"Ok","check")</f>
        <v>Ok</v>
      </c>
      <c r="U322" t="str" s="8" cm="1">
        <f t="array" ref="U322">IF(ISNUMBER(O322),"ok","check")</f>
        <v>ok</v>
      </c>
    </row>
    <row r="323" ht="13.55" customHeight="1">
      <c r="A323" s="3">
        <v>24433</v>
      </c>
      <c r="B323" t="s" s="2">
        <v>13</v>
      </c>
      <c r="C323" t="str" s="8" cm="1">
        <f t="array" ref="C323">IF(B323="M","Married","Single")</f>
        <v>Married</v>
      </c>
      <c r="D323" t="s" s="2">
        <v>13</v>
      </c>
      <c r="E323" t="str" s="8" cm="1">
        <f t="array" ref="E323">IF(D323="M","Male",IF(D323="F","Female","Check"))</f>
        <v>Male</v>
      </c>
      <c r="F323" s="4">
        <v>70000</v>
      </c>
      <c r="G323" t="str" s="8" cm="1">
        <f t="array" ref="G323">IF(F323="","Check","okay")</f>
        <v>okay</v>
      </c>
      <c r="H323" s="3">
        <v>3</v>
      </c>
      <c r="I323" t="s" s="2">
        <v>30</v>
      </c>
      <c r="J323" t="s" s="2">
        <v>23</v>
      </c>
      <c r="K323" t="s" s="2">
        <v>20</v>
      </c>
      <c r="L323" s="3">
        <v>1</v>
      </c>
      <c r="M323" t="s" s="2">
        <v>29</v>
      </c>
      <c r="N323" t="s" s="2">
        <v>35</v>
      </c>
      <c r="O323" s="3">
        <v>52</v>
      </c>
      <c r="P323" t="str" s="8" cm="1">
        <f t="array" ref="P323">IF(O323="","check","Okay")</f>
        <v>Okay</v>
      </c>
      <c r="Q323" t="str" s="8" cm="1">
        <f t="array" ref="Q323">IF(O323&lt;30,"UNDER 30",IF(O323&lt;=50,"30-50","Over 50"))</f>
        <v>Over 50</v>
      </c>
      <c r="R323" t="s" s="2">
        <v>17</v>
      </c>
      <c r="S323" s="3" cm="1">
        <f t="array" ref="S323">COUNTIF(A2:A1001,A323)</f>
        <v>1</v>
      </c>
      <c r="T323" t="str" s="8" cm="1">
        <f t="array" ref="T323">IF(ISNUMBER(F323),"Ok","check")</f>
        <v>Ok</v>
      </c>
      <c r="U323" t="str" s="8" cm="1">
        <f t="array" ref="U323">IF(ISNUMBER(O323),"ok","check")</f>
        <v>ok</v>
      </c>
    </row>
    <row r="324" ht="13.55" customHeight="1">
      <c r="A324" s="3">
        <v>17458</v>
      </c>
      <c r="B324" t="s" s="2">
        <v>25</v>
      </c>
      <c r="C324" t="str" s="8" cm="1">
        <f t="array" ref="C324">IF(B324="M","Married","Single")</f>
        <v>Single</v>
      </c>
      <c r="D324" t="s" s="2">
        <v>13</v>
      </c>
      <c r="E324" t="str" s="8" cm="1">
        <f t="array" ref="E324">IF(D324="M","Male",IF(D324="F","Female","Check"))</f>
        <v>Male</v>
      </c>
      <c r="F324" s="4">
        <v>70000</v>
      </c>
      <c r="G324" t="str" s="8" cm="1">
        <f t="array" ref="G324">IF(F324="","Check","okay")</f>
        <v>okay</v>
      </c>
      <c r="H324" s="3">
        <v>3</v>
      </c>
      <c r="I324" t="s" s="2">
        <v>30</v>
      </c>
      <c r="J324" t="s" s="2">
        <v>23</v>
      </c>
      <c r="K324" t="s" s="2">
        <v>17</v>
      </c>
      <c r="L324" s="3">
        <v>0</v>
      </c>
      <c r="M324" t="s" s="2">
        <v>26</v>
      </c>
      <c r="N324" t="s" s="2">
        <v>35</v>
      </c>
      <c r="O324" s="3">
        <v>52</v>
      </c>
      <c r="P324" t="str" s="8" cm="1">
        <f t="array" ref="P324">IF(O324="","check","Okay")</f>
        <v>Okay</v>
      </c>
      <c r="Q324" t="str" s="8" cm="1">
        <f t="array" ref="Q324">IF(O324&lt;30,"UNDER 30",IF(O324&lt;=50,"30-50","Over 50"))</f>
        <v>Over 50</v>
      </c>
      <c r="R324" t="s" s="2">
        <v>17</v>
      </c>
      <c r="S324" s="3" cm="1">
        <f t="array" ref="S324">COUNTIF(A2:A1001,A324)</f>
        <v>1</v>
      </c>
      <c r="T324" t="str" s="8" cm="1">
        <f t="array" ref="T324">IF(ISNUMBER(F324),"Ok","check")</f>
        <v>Ok</v>
      </c>
      <c r="U324" t="str" s="8" cm="1">
        <f t="array" ref="U324">IF(ISNUMBER(O324),"ok","check")</f>
        <v>ok</v>
      </c>
    </row>
    <row r="325" ht="13.55" customHeight="1">
      <c r="A325" s="3">
        <v>25898</v>
      </c>
      <c r="B325" t="s" s="2">
        <v>13</v>
      </c>
      <c r="C325" t="str" s="8" cm="1">
        <f t="array" ref="C325">IF(B325="M","Married","Single")</f>
        <v>Married</v>
      </c>
      <c r="D325" t="s" s="2">
        <v>14</v>
      </c>
      <c r="E325" t="str" s="8" cm="1">
        <f t="array" ref="E325">IF(D325="M","Male",IF(D325="F","Female","Check"))</f>
        <v>Female</v>
      </c>
      <c r="F325" s="4">
        <v>70000</v>
      </c>
      <c r="G325" t="str" s="8" cm="1">
        <f t="array" ref="G325">IF(F325="","Check","okay")</f>
        <v>okay</v>
      </c>
      <c r="H325" s="3">
        <v>2</v>
      </c>
      <c r="I325" t="s" s="2">
        <v>30</v>
      </c>
      <c r="J325" t="s" s="2">
        <v>23</v>
      </c>
      <c r="K325" t="s" s="2">
        <v>17</v>
      </c>
      <c r="L325" s="3">
        <v>2</v>
      </c>
      <c r="M325" t="s" s="2">
        <v>24</v>
      </c>
      <c r="N325" t="s" s="2">
        <v>35</v>
      </c>
      <c r="O325" s="3">
        <v>53</v>
      </c>
      <c r="P325" t="str" s="8" cm="1">
        <f t="array" ref="P325">IF(O325="","check","Okay")</f>
        <v>Okay</v>
      </c>
      <c r="Q325" t="str" s="8" cm="1">
        <f t="array" ref="Q325">IF(O325&lt;30,"UNDER 30",IF(O325&lt;=50,"30-50","Over 50"))</f>
        <v>Over 50</v>
      </c>
      <c r="R325" t="s" s="2">
        <v>20</v>
      </c>
      <c r="S325" s="3" cm="1">
        <f t="array" ref="S325">COUNTIF(A2:A1001,A325)</f>
        <v>1</v>
      </c>
      <c r="T325" t="str" s="8" cm="1">
        <f t="array" ref="T325">IF(ISNUMBER(F325),"Ok","check")</f>
        <v>Ok</v>
      </c>
      <c r="U325" t="str" s="8" cm="1">
        <f t="array" ref="U325">IF(ISNUMBER(O325),"ok","check")</f>
        <v>ok</v>
      </c>
    </row>
    <row r="326" ht="13.55" customHeight="1">
      <c r="A326" s="3">
        <v>25899</v>
      </c>
      <c r="B326" t="s" s="2">
        <v>13</v>
      </c>
      <c r="C326" t="str" s="8" cm="1">
        <f t="array" ref="C326">IF(B326="M","Married","Single")</f>
        <v>Married</v>
      </c>
      <c r="D326" t="s" s="2">
        <v>14</v>
      </c>
      <c r="E326" t="str" s="8" cm="1">
        <f t="array" ref="E326">IF(D326="M","Male",IF(D326="F","Female","Check"))</f>
        <v>Female</v>
      </c>
      <c r="F326" s="4">
        <v>70000</v>
      </c>
      <c r="G326" t="str" s="8" cm="1">
        <f t="array" ref="G326">IF(F326="","Check","okay")</f>
        <v>okay</v>
      </c>
      <c r="H326" s="3">
        <v>2</v>
      </c>
      <c r="I326" t="s" s="2">
        <v>30</v>
      </c>
      <c r="J326" t="s" s="2">
        <v>23</v>
      </c>
      <c r="K326" t="s" s="2">
        <v>17</v>
      </c>
      <c r="L326" s="3">
        <v>2</v>
      </c>
      <c r="M326" t="s" s="2">
        <v>33</v>
      </c>
      <c r="N326" t="s" s="2">
        <v>35</v>
      </c>
      <c r="O326" s="3">
        <v>53</v>
      </c>
      <c r="P326" t="str" s="8" cm="1">
        <f t="array" ref="P326">IF(O326="","check","Okay")</f>
        <v>Okay</v>
      </c>
      <c r="Q326" t="str" s="8" cm="1">
        <f t="array" ref="Q326">IF(O326&lt;30,"UNDER 30",IF(O326&lt;=50,"30-50","Over 50"))</f>
        <v>Over 50</v>
      </c>
      <c r="R326" t="s" s="2">
        <v>20</v>
      </c>
      <c r="S326" s="3" cm="1">
        <f t="array" ref="S326">COUNTIF(A2:A1001,A326)</f>
        <v>1</v>
      </c>
      <c r="T326" t="str" s="8" cm="1">
        <f t="array" ref="T326">IF(ISNUMBER(F326),"Ok","check")</f>
        <v>Ok</v>
      </c>
      <c r="U326" t="str" s="8" cm="1">
        <f t="array" ref="U326">IF(ISNUMBER(O326),"ok","check")</f>
        <v>ok</v>
      </c>
    </row>
    <row r="327" ht="13.55" customHeight="1">
      <c r="A327" s="3">
        <v>14493</v>
      </c>
      <c r="B327" t="s" s="2">
        <v>25</v>
      </c>
      <c r="C327" t="str" s="8" cm="1">
        <f t="array" ref="C327">IF(B327="M","Married","Single")</f>
        <v>Single</v>
      </c>
      <c r="D327" t="s" s="2">
        <v>14</v>
      </c>
      <c r="E327" t="str" s="8" cm="1">
        <f t="array" ref="E327">IF(D327="M","Male",IF(D327="F","Female","Check"))</f>
        <v>Female</v>
      </c>
      <c r="F327" s="4">
        <v>70000</v>
      </c>
      <c r="G327" t="str" s="8" cm="1">
        <f t="array" ref="G327">IF(F327="","Check","okay")</f>
        <v>okay</v>
      </c>
      <c r="H327" s="3">
        <v>3</v>
      </c>
      <c r="I327" t="s" s="2">
        <v>34</v>
      </c>
      <c r="J327" t="s" s="2">
        <v>31</v>
      </c>
      <c r="K327" t="s" s="2">
        <v>20</v>
      </c>
      <c r="L327" s="3">
        <v>2</v>
      </c>
      <c r="M327" t="s" s="2">
        <v>29</v>
      </c>
      <c r="N327" t="s" s="2">
        <v>35</v>
      </c>
      <c r="O327" s="3">
        <v>53</v>
      </c>
      <c r="P327" t="str" s="8" cm="1">
        <f t="array" ref="P327">IF(O327="","check","Okay")</f>
        <v>Okay</v>
      </c>
      <c r="Q327" t="str" s="8" cm="1">
        <f t="array" ref="Q327">IF(O327&lt;30,"UNDER 30",IF(O327&lt;=50,"30-50","Over 50"))</f>
        <v>Over 50</v>
      </c>
      <c r="R327" t="s" s="2">
        <v>20</v>
      </c>
      <c r="S327" s="3" cm="1">
        <f t="array" ref="S327">COUNTIF(A2:A1001,A327)</f>
        <v>1</v>
      </c>
      <c r="T327" t="str" s="8" cm="1">
        <f t="array" ref="T327">IF(ISNUMBER(F327),"Ok","check")</f>
        <v>Ok</v>
      </c>
      <c r="U327" t="str" s="8" cm="1">
        <f t="array" ref="U327">IF(ISNUMBER(O327),"ok","check")</f>
        <v>ok</v>
      </c>
    </row>
    <row r="328" ht="13.55" customHeight="1">
      <c r="A328" s="3">
        <v>22118</v>
      </c>
      <c r="B328" t="s" s="2">
        <v>25</v>
      </c>
      <c r="C328" t="str" s="8" cm="1">
        <f t="array" ref="C328">IF(B328="M","Married","Single")</f>
        <v>Single</v>
      </c>
      <c r="D328" t="s" s="2">
        <v>14</v>
      </c>
      <c r="E328" t="str" s="8" cm="1">
        <f t="array" ref="E328">IF(D328="M","Male",IF(D328="F","Female","Check"))</f>
        <v>Female</v>
      </c>
      <c r="F328" s="4">
        <v>70000</v>
      </c>
      <c r="G328" t="str" s="8" cm="1">
        <f t="array" ref="G328">IF(F328="","Check","okay")</f>
        <v>okay</v>
      </c>
      <c r="H328" s="3">
        <v>3</v>
      </c>
      <c r="I328" t="s" s="2">
        <v>34</v>
      </c>
      <c r="J328" t="s" s="2">
        <v>31</v>
      </c>
      <c r="K328" t="s" s="2">
        <v>17</v>
      </c>
      <c r="L328" s="3">
        <v>2</v>
      </c>
      <c r="M328" t="s" s="2">
        <v>26</v>
      </c>
      <c r="N328" t="s" s="2">
        <v>35</v>
      </c>
      <c r="O328" s="3">
        <v>53</v>
      </c>
      <c r="P328" t="str" s="8" cm="1">
        <f t="array" ref="P328">IF(O328="","check","Okay")</f>
        <v>Okay</v>
      </c>
      <c r="Q328" t="str" s="8" cm="1">
        <f t="array" ref="Q328">IF(O328&lt;30,"UNDER 30",IF(O328&lt;=50,"30-50","Over 50"))</f>
        <v>Over 50</v>
      </c>
      <c r="R328" t="s" s="2">
        <v>17</v>
      </c>
      <c r="S328" s="3" cm="1">
        <f t="array" ref="S328">COUNTIF(A2:A1001,A328)</f>
        <v>1</v>
      </c>
      <c r="T328" t="str" s="8" cm="1">
        <f t="array" ref="T328">IF(ISNUMBER(F328),"Ok","check")</f>
        <v>Ok</v>
      </c>
      <c r="U328" t="str" s="8" cm="1">
        <f t="array" ref="U328">IF(ISNUMBER(O328),"ok","check")</f>
        <v>ok</v>
      </c>
    </row>
    <row r="329" ht="13.55" customHeight="1">
      <c r="A329" s="3">
        <v>11233</v>
      </c>
      <c r="B329" t="s" s="2">
        <v>13</v>
      </c>
      <c r="C329" t="str" s="8" cm="1">
        <f t="array" ref="C329">IF(B329="M","Married","Single")</f>
        <v>Married</v>
      </c>
      <c r="D329" t="s" s="2">
        <v>13</v>
      </c>
      <c r="E329" t="str" s="8" cm="1">
        <f t="array" ref="E329">IF(D329="M","Male",IF(D329="F","Female","Check"))</f>
        <v>Male</v>
      </c>
      <c r="F329" s="4">
        <v>70000</v>
      </c>
      <c r="G329" t="str" s="8" cm="1">
        <f t="array" ref="G329">IF(F329="","Check","okay")</f>
        <v>okay</v>
      </c>
      <c r="H329" s="3">
        <v>4</v>
      </c>
      <c r="I329" t="s" s="2">
        <v>21</v>
      </c>
      <c r="J329" t="s" s="2">
        <v>23</v>
      </c>
      <c r="K329" t="s" s="2">
        <v>17</v>
      </c>
      <c r="L329" s="3">
        <v>2</v>
      </c>
      <c r="M329" t="s" s="2">
        <v>33</v>
      </c>
      <c r="N329" t="s" s="2">
        <v>35</v>
      </c>
      <c r="O329" s="3">
        <v>53</v>
      </c>
      <c r="P329" t="str" s="8" cm="1">
        <f t="array" ref="P329">IF(O329="","check","Okay")</f>
        <v>Okay</v>
      </c>
      <c r="Q329" t="str" s="8" cm="1">
        <f t="array" ref="Q329">IF(O329&lt;30,"UNDER 30",IF(O329&lt;=50,"30-50","Over 50"))</f>
        <v>Over 50</v>
      </c>
      <c r="R329" t="s" s="2">
        <v>20</v>
      </c>
      <c r="S329" s="3" cm="1">
        <f t="array" ref="S329">COUNTIF(A2:A1001,A329)</f>
        <v>1</v>
      </c>
      <c r="T329" t="str" s="8" cm="1">
        <f t="array" ref="T329">IF(ISNUMBER(F329),"Ok","check")</f>
        <v>Ok</v>
      </c>
      <c r="U329" t="str" s="8" cm="1">
        <f t="array" ref="U329">IF(ISNUMBER(O329),"ok","check")</f>
        <v>ok</v>
      </c>
    </row>
    <row r="330" ht="13.55" customHeight="1">
      <c r="A330" s="3">
        <v>17462</v>
      </c>
      <c r="B330" t="s" s="2">
        <v>13</v>
      </c>
      <c r="C330" t="str" s="8" cm="1">
        <f t="array" ref="C330">IF(B330="M","Married","Single")</f>
        <v>Married</v>
      </c>
      <c r="D330" t="s" s="2">
        <v>13</v>
      </c>
      <c r="E330" t="str" s="8" cm="1">
        <f t="array" ref="E330">IF(D330="M","Male",IF(D330="F","Female","Check"))</f>
        <v>Male</v>
      </c>
      <c r="F330" s="4">
        <v>70000</v>
      </c>
      <c r="G330" t="str" s="8" cm="1">
        <f t="array" ref="G330">IF(F330="","Check","okay")</f>
        <v>okay</v>
      </c>
      <c r="H330" s="3">
        <v>3</v>
      </c>
      <c r="I330" t="s" s="2">
        <v>34</v>
      </c>
      <c r="J330" t="s" s="2">
        <v>31</v>
      </c>
      <c r="K330" t="s" s="2">
        <v>17</v>
      </c>
      <c r="L330" s="3">
        <v>2</v>
      </c>
      <c r="M330" t="s" s="2">
        <v>26</v>
      </c>
      <c r="N330" t="s" s="2">
        <v>35</v>
      </c>
      <c r="O330" s="3">
        <v>53</v>
      </c>
      <c r="P330" t="str" s="8" cm="1">
        <f t="array" ref="P330">IF(O330="","check","Okay")</f>
        <v>Okay</v>
      </c>
      <c r="Q330" t="str" s="8" cm="1">
        <f t="array" ref="Q330">IF(O330&lt;30,"UNDER 30",IF(O330&lt;=50,"30-50","Over 50"))</f>
        <v>Over 50</v>
      </c>
      <c r="R330" t="s" s="2">
        <v>17</v>
      </c>
      <c r="S330" s="3" cm="1">
        <f t="array" ref="S330">COUNTIF(A2:A1001,A330)</f>
        <v>1</v>
      </c>
      <c r="T330" t="str" s="8" cm="1">
        <f t="array" ref="T330">IF(ISNUMBER(F330),"Ok","check")</f>
        <v>Ok</v>
      </c>
      <c r="U330" t="str" s="8" cm="1">
        <f t="array" ref="U330">IF(ISNUMBER(O330),"ok","check")</f>
        <v>ok</v>
      </c>
    </row>
    <row r="331" ht="13.55" customHeight="1">
      <c r="A331" s="3">
        <v>28056</v>
      </c>
      <c r="B331" t="s" s="2">
        <v>13</v>
      </c>
      <c r="C331" t="str" s="8" cm="1">
        <f t="array" ref="C331">IF(B331="M","Married","Single")</f>
        <v>Married</v>
      </c>
      <c r="D331" t="s" s="2">
        <v>13</v>
      </c>
      <c r="E331" t="str" s="8" cm="1">
        <f t="array" ref="E331">IF(D331="M","Male",IF(D331="F","Female","Check"))</f>
        <v>Male</v>
      </c>
      <c r="F331" s="4">
        <v>70000</v>
      </c>
      <c r="G331" t="str" s="8" cm="1">
        <f t="array" ref="G331">IF(F331="","Check","okay")</f>
        <v>okay</v>
      </c>
      <c r="H331" s="3">
        <v>2</v>
      </c>
      <c r="I331" t="s" s="2">
        <v>32</v>
      </c>
      <c r="J331" t="s" s="2">
        <v>16</v>
      </c>
      <c r="K331" t="s" s="2">
        <v>17</v>
      </c>
      <c r="L331" s="3">
        <v>2</v>
      </c>
      <c r="M331" t="s" s="2">
        <v>33</v>
      </c>
      <c r="N331" t="s" s="2">
        <v>35</v>
      </c>
      <c r="O331" s="3">
        <v>53</v>
      </c>
      <c r="P331" t="str" s="8" cm="1">
        <f t="array" ref="P331">IF(O331="","check","Okay")</f>
        <v>Okay</v>
      </c>
      <c r="Q331" t="str" s="8" cm="1">
        <f t="array" ref="Q331">IF(O331&lt;30,"UNDER 30",IF(O331&lt;=50,"30-50","Over 50"))</f>
        <v>Over 50</v>
      </c>
      <c r="R331" t="s" s="2">
        <v>20</v>
      </c>
      <c r="S331" s="3" cm="1">
        <f t="array" ref="S331">COUNTIF(A2:A1001,A331)</f>
        <v>1</v>
      </c>
      <c r="T331" t="str" s="8" cm="1">
        <f t="array" ref="T331">IF(ISNUMBER(F331),"Ok","check")</f>
        <v>Ok</v>
      </c>
      <c r="U331" t="str" s="8" cm="1">
        <f t="array" ref="U331">IF(ISNUMBER(O331),"ok","check")</f>
        <v>ok</v>
      </c>
    </row>
    <row r="332" ht="13.55" customHeight="1">
      <c r="A332" s="3">
        <v>26728</v>
      </c>
      <c r="B332" t="s" s="2">
        <v>25</v>
      </c>
      <c r="C332" t="str" s="8" cm="1">
        <f t="array" ref="C332">IF(B332="M","Married","Single")</f>
        <v>Single</v>
      </c>
      <c r="D332" t="s" s="2">
        <v>13</v>
      </c>
      <c r="E332" t="str" s="8" cm="1">
        <f t="array" ref="E332">IF(D332="M","Male",IF(D332="F","Female","Check"))</f>
        <v>Male</v>
      </c>
      <c r="F332" s="4">
        <v>70000</v>
      </c>
      <c r="G332" t="str" s="8" cm="1">
        <f t="array" ref="G332">IF(F332="","Check","okay")</f>
        <v>okay</v>
      </c>
      <c r="H332" s="3">
        <v>3</v>
      </c>
      <c r="I332" t="s" s="2">
        <v>34</v>
      </c>
      <c r="J332" t="s" s="2">
        <v>31</v>
      </c>
      <c r="K332" t="s" s="2">
        <v>20</v>
      </c>
      <c r="L332" s="3">
        <v>2</v>
      </c>
      <c r="M332" t="s" s="2">
        <v>29</v>
      </c>
      <c r="N332" t="s" s="2">
        <v>35</v>
      </c>
      <c r="O332" s="3">
        <v>53</v>
      </c>
      <c r="P332" t="str" s="8" cm="1">
        <f t="array" ref="P332">IF(O332="","check","Okay")</f>
        <v>Okay</v>
      </c>
      <c r="Q332" t="str" s="8" cm="1">
        <f t="array" ref="Q332">IF(O332&lt;30,"UNDER 30",IF(O332&lt;=50,"30-50","Over 50"))</f>
        <v>Over 50</v>
      </c>
      <c r="R332" t="s" s="2">
        <v>17</v>
      </c>
      <c r="S332" s="3" cm="1">
        <f t="array" ref="S332">COUNTIF(A2:A1001,A332)</f>
        <v>1</v>
      </c>
      <c r="T332" t="str" s="8" cm="1">
        <f t="array" ref="T332">IF(ISNUMBER(F332),"Ok","check")</f>
        <v>Ok</v>
      </c>
      <c r="U332" t="str" s="8" cm="1">
        <f t="array" ref="U332">IF(ISNUMBER(O332),"ok","check")</f>
        <v>ok</v>
      </c>
    </row>
    <row r="333" ht="13.55" customHeight="1">
      <c r="A333" s="3">
        <v>19889</v>
      </c>
      <c r="B333" t="s" s="2">
        <v>25</v>
      </c>
      <c r="C333" t="str" s="8" cm="1">
        <f t="array" ref="C333">IF(B333="M","Married","Single")</f>
        <v>Single</v>
      </c>
      <c r="D333" t="s" s="2">
        <v>14</v>
      </c>
      <c r="E333" t="str" s="8" cm="1">
        <f t="array" ref="E333">IF(D333="M","Male",IF(D333="F","Female","Check"))</f>
        <v>Female</v>
      </c>
      <c r="F333" s="4">
        <v>70000</v>
      </c>
      <c r="G333" t="str" s="8" cm="1">
        <f t="array" ref="G333">IF(F333="","Check","okay")</f>
        <v>okay</v>
      </c>
      <c r="H333" s="3">
        <v>2</v>
      </c>
      <c r="I333" t="s" s="2">
        <v>32</v>
      </c>
      <c r="J333" t="s" s="2">
        <v>16</v>
      </c>
      <c r="K333" t="s" s="2">
        <v>20</v>
      </c>
      <c r="L333" s="3">
        <v>2</v>
      </c>
      <c r="M333" t="s" s="2">
        <v>24</v>
      </c>
      <c r="N333" t="s" s="2">
        <v>35</v>
      </c>
      <c r="O333" s="3">
        <v>54</v>
      </c>
      <c r="P333" t="str" s="8" cm="1">
        <f t="array" ref="P333">IF(O333="","check","Okay")</f>
        <v>Okay</v>
      </c>
      <c r="Q333" t="str" s="8" cm="1">
        <f t="array" ref="Q333">IF(O333&lt;30,"UNDER 30",IF(O333&lt;=50,"30-50","Over 50"))</f>
        <v>Over 50</v>
      </c>
      <c r="R333" t="s" s="2">
        <v>17</v>
      </c>
      <c r="S333" s="3" cm="1">
        <f t="array" ref="S333">COUNTIF(A2:A1001,A333)</f>
        <v>1</v>
      </c>
      <c r="T333" t="str" s="8" cm="1">
        <f t="array" ref="T333">IF(ISNUMBER(F333),"Ok","check")</f>
        <v>Ok</v>
      </c>
      <c r="U333" t="str" s="8" cm="1">
        <f t="array" ref="U333">IF(ISNUMBER(O333),"ok","check")</f>
        <v>ok</v>
      </c>
    </row>
    <row r="334" ht="13.55" customHeight="1">
      <c r="A334" s="3">
        <v>29030</v>
      </c>
      <c r="B334" t="s" s="2">
        <v>13</v>
      </c>
      <c r="C334" t="str" s="8" cm="1">
        <f t="array" ref="C334">IF(B334="M","Married","Single")</f>
        <v>Married</v>
      </c>
      <c r="D334" t="s" s="2">
        <v>13</v>
      </c>
      <c r="E334" t="str" s="8" cm="1">
        <f t="array" ref="E334">IF(D334="M","Male",IF(D334="F","Female","Check"))</f>
        <v>Male</v>
      </c>
      <c r="F334" s="4">
        <v>70000</v>
      </c>
      <c r="G334" t="str" s="8" cm="1">
        <f t="array" ref="G334">IF(F334="","Check","okay")</f>
        <v>okay</v>
      </c>
      <c r="H334" s="3">
        <v>2</v>
      </c>
      <c r="I334" t="s" s="2">
        <v>32</v>
      </c>
      <c r="J334" t="s" s="2">
        <v>16</v>
      </c>
      <c r="K334" t="s" s="2">
        <v>17</v>
      </c>
      <c r="L334" s="3">
        <v>2</v>
      </c>
      <c r="M334" t="s" s="2">
        <v>33</v>
      </c>
      <c r="N334" t="s" s="2">
        <v>35</v>
      </c>
      <c r="O334" s="3">
        <v>54</v>
      </c>
      <c r="P334" t="str" s="8" cm="1">
        <f t="array" ref="P334">IF(O334="","check","Okay")</f>
        <v>Okay</v>
      </c>
      <c r="Q334" t="str" s="8" cm="1">
        <f t="array" ref="Q334">IF(O334&lt;30,"UNDER 30",IF(O334&lt;=50,"30-50","Over 50"))</f>
        <v>Over 50</v>
      </c>
      <c r="R334" t="s" s="2">
        <v>20</v>
      </c>
      <c r="S334" s="3" cm="1">
        <f t="array" ref="S334">COUNTIF(A2:A1001,A334)</f>
        <v>1</v>
      </c>
      <c r="T334" t="str" s="8" cm="1">
        <f t="array" ref="T334">IF(ISNUMBER(F334),"Ok","check")</f>
        <v>Ok</v>
      </c>
      <c r="U334" t="str" s="8" cm="1">
        <f t="array" ref="U334">IF(ISNUMBER(O334),"ok","check")</f>
        <v>ok</v>
      </c>
    </row>
    <row r="335" ht="13.55" customHeight="1">
      <c r="A335" s="3">
        <v>21801</v>
      </c>
      <c r="B335" t="s" s="2">
        <v>13</v>
      </c>
      <c r="C335" t="str" s="8" cm="1">
        <f t="array" ref="C335">IF(B335="M","Married","Single")</f>
        <v>Married</v>
      </c>
      <c r="D335" t="s" s="2">
        <v>14</v>
      </c>
      <c r="E335" t="str" s="8" cm="1">
        <f t="array" ref="E335">IF(D335="M","Male",IF(D335="F","Female","Check"))</f>
        <v>Female</v>
      </c>
      <c r="F335" s="4">
        <v>70000</v>
      </c>
      <c r="G335" t="str" s="8" cm="1">
        <f t="array" ref="G335">IF(F335="","Check","okay")</f>
        <v>okay</v>
      </c>
      <c r="H335" s="3">
        <v>4</v>
      </c>
      <c r="I335" t="s" s="2">
        <v>21</v>
      </c>
      <c r="J335" t="s" s="2">
        <v>23</v>
      </c>
      <c r="K335" t="s" s="2">
        <v>17</v>
      </c>
      <c r="L335" s="3">
        <v>1</v>
      </c>
      <c r="M335" t="s" s="2">
        <v>29</v>
      </c>
      <c r="N335" t="s" s="2">
        <v>35</v>
      </c>
      <c r="O335" s="3">
        <v>55</v>
      </c>
      <c r="P335" t="str" s="8" cm="1">
        <f t="array" ref="P335">IF(O335="","check","Okay")</f>
        <v>Okay</v>
      </c>
      <c r="Q335" t="str" s="8" cm="1">
        <f t="array" ref="Q335">IF(O335&lt;30,"UNDER 30",IF(O335&lt;=50,"30-50","Over 50"))</f>
        <v>Over 50</v>
      </c>
      <c r="R335" t="s" s="2">
        <v>20</v>
      </c>
      <c r="S335" s="3" cm="1">
        <f t="array" ref="S335">COUNTIF(A2:A1001,A335)</f>
        <v>1</v>
      </c>
      <c r="T335" t="str" s="8" cm="1">
        <f t="array" ref="T335">IF(ISNUMBER(F335),"Ok","check")</f>
        <v>Ok</v>
      </c>
      <c r="U335" t="str" s="8" cm="1">
        <f t="array" ref="U335">IF(ISNUMBER(O335),"ok","check")</f>
        <v>ok</v>
      </c>
    </row>
    <row r="336" ht="13.55" customHeight="1">
      <c r="A336" s="3">
        <v>13390</v>
      </c>
      <c r="B336" t="s" s="2">
        <v>13</v>
      </c>
      <c r="C336" t="str" s="8" cm="1">
        <f t="array" ref="C336">IF(B336="M","Married","Single")</f>
        <v>Married</v>
      </c>
      <c r="D336" t="s" s="2">
        <v>14</v>
      </c>
      <c r="E336" t="str" s="8" cm="1">
        <f t="array" ref="E336">IF(D336="M","Male",IF(D336="F","Female","Check"))</f>
        <v>Female</v>
      </c>
      <c r="F336" s="4">
        <v>70000</v>
      </c>
      <c r="G336" t="str" s="8" cm="1">
        <f t="array" ref="G336">IF(F336="","Check","okay")</f>
        <v>okay</v>
      </c>
      <c r="H336" s="3">
        <v>4</v>
      </c>
      <c r="I336" t="s" s="2">
        <v>21</v>
      </c>
      <c r="J336" t="s" s="2">
        <v>23</v>
      </c>
      <c r="K336" t="s" s="2">
        <v>20</v>
      </c>
      <c r="L336" s="3">
        <v>1</v>
      </c>
      <c r="M336" t="s" s="2">
        <v>29</v>
      </c>
      <c r="N336" t="s" s="2">
        <v>35</v>
      </c>
      <c r="O336" s="3">
        <v>56</v>
      </c>
      <c r="P336" t="str" s="8" cm="1">
        <f t="array" ref="P336">IF(O336="","check","Okay")</f>
        <v>Okay</v>
      </c>
      <c r="Q336" t="str" s="8" cm="1">
        <f t="array" ref="Q336">IF(O336&lt;30,"UNDER 30",IF(O336&lt;=50,"30-50","Over 50"))</f>
        <v>Over 50</v>
      </c>
      <c r="R336" t="s" s="2">
        <v>20</v>
      </c>
      <c r="S336" s="3" cm="1">
        <f t="array" ref="S336">COUNTIF(A2:A1001,A336)</f>
        <v>1</v>
      </c>
      <c r="T336" t="str" s="8" cm="1">
        <f t="array" ref="T336">IF(ISNUMBER(F336),"Ok","check")</f>
        <v>Ok</v>
      </c>
      <c r="U336" t="str" s="8" cm="1">
        <f t="array" ref="U336">IF(ISNUMBER(O336),"ok","check")</f>
        <v>ok</v>
      </c>
    </row>
    <row r="337" ht="13.55" customHeight="1">
      <c r="A337" s="3">
        <v>20535</v>
      </c>
      <c r="B337" t="s" s="2">
        <v>13</v>
      </c>
      <c r="C337" t="str" s="8" cm="1">
        <f t="array" ref="C337">IF(B337="M","Married","Single")</f>
        <v>Married</v>
      </c>
      <c r="D337" t="s" s="2">
        <v>14</v>
      </c>
      <c r="E337" t="str" s="8" cm="1">
        <f t="array" ref="E337">IF(D337="M","Male",IF(D337="F","Female","Check"))</f>
        <v>Female</v>
      </c>
      <c r="F337" s="4">
        <v>70000</v>
      </c>
      <c r="G337" t="str" s="8" cm="1">
        <f t="array" ref="G337">IF(F337="","Check","okay")</f>
        <v>okay</v>
      </c>
      <c r="H337" s="3">
        <v>4</v>
      </c>
      <c r="I337" t="s" s="2">
        <v>21</v>
      </c>
      <c r="J337" t="s" s="2">
        <v>23</v>
      </c>
      <c r="K337" t="s" s="2">
        <v>17</v>
      </c>
      <c r="L337" s="3">
        <v>1</v>
      </c>
      <c r="M337" t="s" s="2">
        <v>33</v>
      </c>
      <c r="N337" t="s" s="2">
        <v>35</v>
      </c>
      <c r="O337" s="3">
        <v>56</v>
      </c>
      <c r="P337" t="str" s="8" cm="1">
        <f t="array" ref="P337">IF(O337="","check","Okay")</f>
        <v>Okay</v>
      </c>
      <c r="Q337" t="str" s="8" cm="1">
        <f t="array" ref="Q337">IF(O337&lt;30,"UNDER 30",IF(O337&lt;=50,"30-50","Over 50"))</f>
        <v>Over 50</v>
      </c>
      <c r="R337" t="s" s="2">
        <v>20</v>
      </c>
      <c r="S337" s="3" cm="1">
        <f t="array" ref="S337">COUNTIF(A2:A1001,A337)</f>
        <v>1</v>
      </c>
      <c r="T337" t="str" s="8" cm="1">
        <f t="array" ref="T337">IF(ISNUMBER(F337),"Ok","check")</f>
        <v>Ok</v>
      </c>
      <c r="U337" t="str" s="8" cm="1">
        <f t="array" ref="U337">IF(ISNUMBER(O337),"ok","check")</f>
        <v>ok</v>
      </c>
    </row>
    <row r="338" ht="13.55" customHeight="1">
      <c r="A338" s="3">
        <v>27434</v>
      </c>
      <c r="B338" t="s" s="2">
        <v>25</v>
      </c>
      <c r="C338" t="str" s="8" cm="1">
        <f t="array" ref="C338">IF(B338="M","Married","Single")</f>
        <v>Single</v>
      </c>
      <c r="D338" t="s" s="2">
        <v>13</v>
      </c>
      <c r="E338" t="str" s="8" cm="1">
        <f t="array" ref="E338">IF(D338="M","Male",IF(D338="F","Female","Check"))</f>
        <v>Male</v>
      </c>
      <c r="F338" s="4">
        <v>70000</v>
      </c>
      <c r="G338" t="str" s="8" cm="1">
        <f t="array" ref="G338">IF(F338="","Check","okay")</f>
        <v>okay</v>
      </c>
      <c r="H338" s="3">
        <v>4</v>
      </c>
      <c r="I338" t="s" s="2">
        <v>21</v>
      </c>
      <c r="J338" t="s" s="2">
        <v>23</v>
      </c>
      <c r="K338" t="s" s="2">
        <v>17</v>
      </c>
      <c r="L338" s="3">
        <v>1</v>
      </c>
      <c r="M338" t="s" s="2">
        <v>33</v>
      </c>
      <c r="N338" t="s" s="2">
        <v>35</v>
      </c>
      <c r="O338" s="3">
        <v>56</v>
      </c>
      <c r="P338" t="str" s="8" cm="1">
        <f t="array" ref="P338">IF(O338="","check","Okay")</f>
        <v>Okay</v>
      </c>
      <c r="Q338" t="str" s="8" cm="1">
        <f t="array" ref="Q338">IF(O338&lt;30,"UNDER 30",IF(O338&lt;=50,"30-50","Over 50"))</f>
        <v>Over 50</v>
      </c>
      <c r="R338" t="s" s="2">
        <v>20</v>
      </c>
      <c r="S338" s="3" cm="1">
        <f t="array" ref="S338">COUNTIF(A2:A1001,A338)</f>
        <v>1</v>
      </c>
      <c r="T338" t="str" s="8" cm="1">
        <f t="array" ref="T338">IF(ISNUMBER(F338),"Ok","check")</f>
        <v>Ok</v>
      </c>
      <c r="U338" t="str" s="8" cm="1">
        <f t="array" ref="U338">IF(ISNUMBER(O338),"ok","check")</f>
        <v>ok</v>
      </c>
    </row>
    <row r="339" ht="13.55" customHeight="1">
      <c r="A339" s="3">
        <v>13382</v>
      </c>
      <c r="B339" t="s" s="2">
        <v>13</v>
      </c>
      <c r="C339" t="str" s="8" cm="1">
        <f t="array" ref="C339">IF(B339="M","Married","Single")</f>
        <v>Married</v>
      </c>
      <c r="D339" t="s" s="2">
        <v>13</v>
      </c>
      <c r="E339" t="str" s="8" cm="1">
        <f t="array" ref="E339">IF(D339="M","Male",IF(D339="F","Female","Check"))</f>
        <v>Male</v>
      </c>
      <c r="F339" s="4">
        <v>70000</v>
      </c>
      <c r="G339" t="str" s="8" cm="1">
        <f t="array" ref="G339">IF(F339="","Check","okay")</f>
        <v>okay</v>
      </c>
      <c r="H339" s="3">
        <v>5</v>
      </c>
      <c r="I339" t="s" s="2">
        <v>21</v>
      </c>
      <c r="J339" t="s" s="2">
        <v>23</v>
      </c>
      <c r="K339" t="s" s="2">
        <v>17</v>
      </c>
      <c r="L339" s="3">
        <v>2</v>
      </c>
      <c r="M339" t="s" s="2">
        <v>29</v>
      </c>
      <c r="N339" t="s" s="2">
        <v>35</v>
      </c>
      <c r="O339" s="3">
        <v>57</v>
      </c>
      <c r="P339" t="str" s="8" cm="1">
        <f t="array" ref="P339">IF(O339="","check","Okay")</f>
        <v>Okay</v>
      </c>
      <c r="Q339" t="str" s="8" cm="1">
        <f t="array" ref="Q339">IF(O339&lt;30,"UNDER 30",IF(O339&lt;=50,"30-50","Over 50"))</f>
        <v>Over 50</v>
      </c>
      <c r="R339" t="s" s="2">
        <v>17</v>
      </c>
      <c r="S339" s="3" cm="1">
        <f t="array" ref="S339">COUNTIF(A2:A1001,A339)</f>
        <v>1</v>
      </c>
      <c r="T339" t="str" s="8" cm="1">
        <f t="array" ref="T339">IF(ISNUMBER(F339),"Ok","check")</f>
        <v>Ok</v>
      </c>
      <c r="U339" t="str" s="8" cm="1">
        <f t="array" ref="U339">IF(ISNUMBER(O339),"ok","check")</f>
        <v>ok</v>
      </c>
    </row>
    <row r="340" ht="13.55" customHeight="1">
      <c r="A340" s="3">
        <v>20518</v>
      </c>
      <c r="B340" t="s" s="2">
        <v>13</v>
      </c>
      <c r="C340" t="str" s="8" cm="1">
        <f t="array" ref="C340">IF(B340="M","Married","Single")</f>
        <v>Married</v>
      </c>
      <c r="D340" t="s" s="2">
        <v>14</v>
      </c>
      <c r="E340" t="str" s="8" cm="1">
        <f t="array" ref="E340">IF(D340="M","Male",IF(D340="F","Female","Check"))</f>
        <v>Female</v>
      </c>
      <c r="F340" s="4">
        <v>70000</v>
      </c>
      <c r="G340" t="str" s="8" cm="1">
        <f t="array" ref="G340">IF(F340="","Check","okay")</f>
        <v>okay</v>
      </c>
      <c r="H340" s="3">
        <v>2</v>
      </c>
      <c r="I340" t="s" s="2">
        <v>21</v>
      </c>
      <c r="J340" t="s" s="2">
        <v>23</v>
      </c>
      <c r="K340" t="s" s="2">
        <v>17</v>
      </c>
      <c r="L340" s="3">
        <v>1</v>
      </c>
      <c r="M340" t="s" s="2">
        <v>33</v>
      </c>
      <c r="N340" t="s" s="2">
        <v>35</v>
      </c>
      <c r="O340" s="3">
        <v>58</v>
      </c>
      <c r="P340" t="str" s="8" cm="1">
        <f t="array" ref="P340">IF(O340="","check","Okay")</f>
        <v>Okay</v>
      </c>
      <c r="Q340" t="str" s="8" cm="1">
        <f t="array" ref="Q340">IF(O340&lt;30,"UNDER 30",IF(O340&lt;=50,"30-50","Over 50"))</f>
        <v>Over 50</v>
      </c>
      <c r="R340" t="s" s="2">
        <v>20</v>
      </c>
      <c r="S340" s="3" cm="1">
        <f t="array" ref="S340">COUNTIF(A2:A1001,A340)</f>
        <v>1</v>
      </c>
      <c r="T340" t="str" s="8" cm="1">
        <f t="array" ref="T340">IF(ISNUMBER(F340),"Ok","check")</f>
        <v>Ok</v>
      </c>
      <c r="U340" t="str" s="8" cm="1">
        <f t="array" ref="U340">IF(ISNUMBER(O340),"ok","check")</f>
        <v>ok</v>
      </c>
    </row>
    <row r="341" ht="13.55" customHeight="1">
      <c r="A341" s="3">
        <v>25872</v>
      </c>
      <c r="B341" t="s" s="2">
        <v>25</v>
      </c>
      <c r="C341" t="str" s="8" cm="1">
        <f t="array" ref="C341">IF(B341="M","Married","Single")</f>
        <v>Single</v>
      </c>
      <c r="D341" t="s" s="2">
        <v>14</v>
      </c>
      <c r="E341" t="str" s="8" cm="1">
        <f t="array" ref="E341">IF(D341="M","Male",IF(D341="F","Female","Check"))</f>
        <v>Female</v>
      </c>
      <c r="F341" s="4">
        <v>70000</v>
      </c>
      <c r="G341" t="str" s="8" cm="1">
        <f t="array" ref="G341">IF(F341="","Check","okay")</f>
        <v>okay</v>
      </c>
      <c r="H341" s="3">
        <v>2</v>
      </c>
      <c r="I341" t="s" s="2">
        <v>15</v>
      </c>
      <c r="J341" t="s" s="2">
        <v>31</v>
      </c>
      <c r="K341" t="s" s="2">
        <v>20</v>
      </c>
      <c r="L341" s="3">
        <v>1</v>
      </c>
      <c r="M341" t="s" s="2">
        <v>24</v>
      </c>
      <c r="N341" t="s" s="2">
        <v>35</v>
      </c>
      <c r="O341" s="3">
        <v>58</v>
      </c>
      <c r="P341" t="str" s="8" cm="1">
        <f t="array" ref="P341">IF(O341="","check","Okay")</f>
        <v>Okay</v>
      </c>
      <c r="Q341" t="str" s="8" cm="1">
        <f t="array" ref="Q341">IF(O341&lt;30,"UNDER 30",IF(O341&lt;=50,"30-50","Over 50"))</f>
        <v>Over 50</v>
      </c>
      <c r="R341" t="s" s="2">
        <v>17</v>
      </c>
      <c r="S341" s="3" cm="1">
        <f t="array" ref="S341">COUNTIF(A2:A1001,A341)</f>
        <v>1</v>
      </c>
      <c r="T341" t="str" s="8" cm="1">
        <f t="array" ref="T341">IF(ISNUMBER(F341),"Ok","check")</f>
        <v>Ok</v>
      </c>
      <c r="U341" t="str" s="8" cm="1">
        <f t="array" ref="U341">IF(ISNUMBER(O341),"ok","check")</f>
        <v>ok</v>
      </c>
    </row>
    <row r="342" ht="13.55" customHeight="1">
      <c r="A342" s="3">
        <v>11200</v>
      </c>
      <c r="B342" t="s" s="2">
        <v>13</v>
      </c>
      <c r="C342" t="str" s="8" cm="1">
        <f t="array" ref="C342">IF(B342="M","Married","Single")</f>
        <v>Married</v>
      </c>
      <c r="D342" t="s" s="2">
        <v>13</v>
      </c>
      <c r="E342" t="str" s="8" cm="1">
        <f t="array" ref="E342">IF(D342="M","Male",IF(D342="F","Female","Check"))</f>
        <v>Male</v>
      </c>
      <c r="F342" s="4">
        <v>70000</v>
      </c>
      <c r="G342" t="str" s="8" cm="1">
        <f t="array" ref="G342">IF(F342="","Check","okay")</f>
        <v>okay</v>
      </c>
      <c r="H342" s="3">
        <v>4</v>
      </c>
      <c r="I342" t="s" s="2">
        <v>15</v>
      </c>
      <c r="J342" t="s" s="2">
        <v>31</v>
      </c>
      <c r="K342" t="s" s="2">
        <v>17</v>
      </c>
      <c r="L342" s="3">
        <v>1</v>
      </c>
      <c r="M342" t="s" s="2">
        <v>29</v>
      </c>
      <c r="N342" t="s" s="2">
        <v>35</v>
      </c>
      <c r="O342" s="3">
        <v>58</v>
      </c>
      <c r="P342" t="str" s="8" cm="1">
        <f t="array" ref="P342">IF(O342="","check","Okay")</f>
        <v>Okay</v>
      </c>
      <c r="Q342" t="str" s="8" cm="1">
        <f t="array" ref="Q342">IF(O342&lt;30,"UNDER 30",IF(O342&lt;=50,"30-50","Over 50"))</f>
        <v>Over 50</v>
      </c>
      <c r="R342" t="s" s="2">
        <v>20</v>
      </c>
      <c r="S342" s="3" cm="1">
        <f t="array" ref="S342">COUNTIF(A2:A1001,A342)</f>
        <v>1</v>
      </c>
      <c r="T342" t="str" s="8" cm="1">
        <f t="array" ref="T342">IF(ISNUMBER(F342),"Ok","check")</f>
        <v>Ok</v>
      </c>
      <c r="U342" t="str" s="8" cm="1">
        <f t="array" ref="U342">IF(ISNUMBER(O342),"ok","check")</f>
        <v>ok</v>
      </c>
    </row>
    <row r="343" ht="13.55" customHeight="1">
      <c r="A343" s="3">
        <v>11199</v>
      </c>
      <c r="B343" t="s" s="2">
        <v>13</v>
      </c>
      <c r="C343" t="str" s="8" cm="1">
        <f t="array" ref="C343">IF(B343="M","Married","Single")</f>
        <v>Married</v>
      </c>
      <c r="D343" t="s" s="2">
        <v>14</v>
      </c>
      <c r="E343" t="str" s="8" cm="1">
        <f t="array" ref="E343">IF(D343="M","Male",IF(D343="F","Female","Check"))</f>
        <v>Female</v>
      </c>
      <c r="F343" s="4">
        <v>70000</v>
      </c>
      <c r="G343" t="str" s="8" cm="1">
        <f t="array" ref="G343">IF(F343="","Check","okay")</f>
        <v>okay</v>
      </c>
      <c r="H343" s="3">
        <v>4</v>
      </c>
      <c r="I343" t="s" s="2">
        <v>15</v>
      </c>
      <c r="J343" t="s" s="2">
        <v>31</v>
      </c>
      <c r="K343" t="s" s="2">
        <v>17</v>
      </c>
      <c r="L343" s="3">
        <v>1</v>
      </c>
      <c r="M343" t="s" s="2">
        <v>33</v>
      </c>
      <c r="N343" t="s" s="2">
        <v>35</v>
      </c>
      <c r="O343" s="3">
        <v>59</v>
      </c>
      <c r="P343" t="str" s="8" cm="1">
        <f t="array" ref="P343">IF(O343="","check","Okay")</f>
        <v>Okay</v>
      </c>
      <c r="Q343" t="str" s="8" cm="1">
        <f t="array" ref="Q343">IF(O343&lt;30,"UNDER 30",IF(O343&lt;=50,"30-50","Over 50"))</f>
        <v>Over 50</v>
      </c>
      <c r="R343" t="s" s="2">
        <v>20</v>
      </c>
      <c r="S343" s="3" cm="1">
        <f t="array" ref="S343">COUNTIF(A2:A1001,A343)</f>
        <v>1</v>
      </c>
      <c r="T343" t="str" s="8" cm="1">
        <f t="array" ref="T343">IF(ISNUMBER(F343),"Ok","check")</f>
        <v>Ok</v>
      </c>
      <c r="U343" t="str" s="8" cm="1">
        <f t="array" ref="U343">IF(ISNUMBER(O343),"ok","check")</f>
        <v>ok</v>
      </c>
    </row>
    <row r="344" ht="13.55" customHeight="1">
      <c r="A344" s="3">
        <v>15319</v>
      </c>
      <c r="B344" t="s" s="2">
        <v>13</v>
      </c>
      <c r="C344" t="str" s="8" cm="1">
        <f t="array" ref="C344">IF(B344="M","Married","Single")</f>
        <v>Married</v>
      </c>
      <c r="D344" t="s" s="2">
        <v>14</v>
      </c>
      <c r="E344" t="str" s="8" cm="1">
        <f t="array" ref="E344">IF(D344="M","Male",IF(D344="F","Female","Check"))</f>
        <v>Female</v>
      </c>
      <c r="F344" s="4">
        <v>70000</v>
      </c>
      <c r="G344" t="str" s="8" cm="1">
        <f t="array" ref="G344">IF(F344="","Check","okay")</f>
        <v>okay</v>
      </c>
      <c r="H344" s="3">
        <v>4</v>
      </c>
      <c r="I344" t="s" s="2">
        <v>15</v>
      </c>
      <c r="J344" t="s" s="2">
        <v>31</v>
      </c>
      <c r="K344" t="s" s="2">
        <v>20</v>
      </c>
      <c r="L344" s="3">
        <v>1</v>
      </c>
      <c r="M344" t="s" s="2">
        <v>29</v>
      </c>
      <c r="N344" t="s" s="2">
        <v>35</v>
      </c>
      <c r="O344" s="3">
        <v>59</v>
      </c>
      <c r="P344" t="str" s="8" cm="1">
        <f t="array" ref="P344">IF(O344="","check","Okay")</f>
        <v>Okay</v>
      </c>
      <c r="Q344" t="str" s="8" cm="1">
        <f t="array" ref="Q344">IF(O344&lt;30,"UNDER 30",IF(O344&lt;=50,"30-50","Over 50"))</f>
        <v>Over 50</v>
      </c>
      <c r="R344" t="s" s="2">
        <v>20</v>
      </c>
      <c r="S344" s="3" cm="1">
        <f t="array" ref="S344">COUNTIF(A2:A1001,A344)</f>
        <v>1</v>
      </c>
      <c r="T344" t="str" s="8" cm="1">
        <f t="array" ref="T344">IF(ISNUMBER(F344),"Ok","check")</f>
        <v>Ok</v>
      </c>
      <c r="U344" t="str" s="8" cm="1">
        <f t="array" ref="U344">IF(ISNUMBER(O344),"ok","check")</f>
        <v>ok</v>
      </c>
    </row>
    <row r="345" ht="13.55" customHeight="1">
      <c r="A345" s="3">
        <v>16795</v>
      </c>
      <c r="B345" t="s" s="2">
        <v>13</v>
      </c>
      <c r="C345" t="str" s="8" cm="1">
        <f t="array" ref="C345">IF(B345="M","Married","Single")</f>
        <v>Married</v>
      </c>
      <c r="D345" t="s" s="2">
        <v>14</v>
      </c>
      <c r="E345" t="str" s="8" cm="1">
        <f t="array" ref="E345">IF(D345="M","Male",IF(D345="F","Female","Check"))</f>
        <v>Female</v>
      </c>
      <c r="F345" s="4">
        <v>70000</v>
      </c>
      <c r="G345" t="str" s="8" cm="1">
        <f t="array" ref="G345">IF(F345="","Check","okay")</f>
        <v>okay</v>
      </c>
      <c r="H345" s="3">
        <v>4</v>
      </c>
      <c r="I345" t="s" s="2">
        <v>15</v>
      </c>
      <c r="J345" t="s" s="2">
        <v>31</v>
      </c>
      <c r="K345" t="s" s="2">
        <v>17</v>
      </c>
      <c r="L345" s="3">
        <v>1</v>
      </c>
      <c r="M345" t="s" s="2">
        <v>29</v>
      </c>
      <c r="N345" t="s" s="2">
        <v>35</v>
      </c>
      <c r="O345" s="3">
        <v>59</v>
      </c>
      <c r="P345" t="str" s="8" cm="1">
        <f t="array" ref="P345">IF(O345="","check","Okay")</f>
        <v>Okay</v>
      </c>
      <c r="Q345" t="str" s="8" cm="1">
        <f t="array" ref="Q345">IF(O345&lt;30,"UNDER 30",IF(O345&lt;=50,"30-50","Over 50"))</f>
        <v>Over 50</v>
      </c>
      <c r="R345" t="s" s="2">
        <v>20</v>
      </c>
      <c r="S345" s="3" cm="1">
        <f t="array" ref="S345">COUNTIF(A2:A1001,A345)</f>
        <v>1</v>
      </c>
      <c r="T345" t="str" s="8" cm="1">
        <f t="array" ref="T345">IF(ISNUMBER(F345),"Ok","check")</f>
        <v>Ok</v>
      </c>
      <c r="U345" t="str" s="8" cm="1">
        <f t="array" ref="U345">IF(ISNUMBER(O345),"ok","check")</f>
        <v>ok</v>
      </c>
    </row>
    <row r="346" ht="13.55" customHeight="1">
      <c r="A346" s="3">
        <v>20514</v>
      </c>
      <c r="B346" t="s" s="2">
        <v>13</v>
      </c>
      <c r="C346" t="str" s="8" cm="1">
        <f t="array" ref="C346">IF(B346="M","Married","Single")</f>
        <v>Married</v>
      </c>
      <c r="D346" t="s" s="2">
        <v>14</v>
      </c>
      <c r="E346" t="str" s="8" cm="1">
        <f t="array" ref="E346">IF(D346="M","Male",IF(D346="F","Female","Check"))</f>
        <v>Female</v>
      </c>
      <c r="F346" s="4">
        <v>70000</v>
      </c>
      <c r="G346" t="str" s="8" cm="1">
        <f t="array" ref="G346">IF(F346="","Check","okay")</f>
        <v>okay</v>
      </c>
      <c r="H346" s="3">
        <v>2</v>
      </c>
      <c r="I346" t="s" s="2">
        <v>21</v>
      </c>
      <c r="J346" t="s" s="2">
        <v>23</v>
      </c>
      <c r="K346" t="s" s="2">
        <v>17</v>
      </c>
      <c r="L346" s="3">
        <v>1</v>
      </c>
      <c r="M346" t="s" s="2">
        <v>24</v>
      </c>
      <c r="N346" t="s" s="2">
        <v>35</v>
      </c>
      <c r="O346" s="3">
        <v>59</v>
      </c>
      <c r="P346" t="str" s="8" cm="1">
        <f t="array" ref="P346">IF(O346="","check","Okay")</f>
        <v>Okay</v>
      </c>
      <c r="Q346" t="str" s="8" cm="1">
        <f t="array" ref="Q346">IF(O346&lt;30,"UNDER 30",IF(O346&lt;=50,"30-50","Over 50"))</f>
        <v>Over 50</v>
      </c>
      <c r="R346" t="s" s="2">
        <v>20</v>
      </c>
      <c r="S346" s="3" cm="1">
        <f t="array" ref="S346">COUNTIF(A2:A1001,A346)</f>
        <v>1</v>
      </c>
      <c r="T346" t="str" s="8" cm="1">
        <f t="array" ref="T346">IF(ISNUMBER(F346),"Ok","check")</f>
        <v>Ok</v>
      </c>
      <c r="U346" t="str" s="8" cm="1">
        <f t="array" ref="U346">IF(ISNUMBER(O346),"ok","check")</f>
        <v>ok</v>
      </c>
    </row>
    <row r="347" ht="13.55" customHeight="1">
      <c r="A347" s="3">
        <v>23712</v>
      </c>
      <c r="B347" t="s" s="2">
        <v>25</v>
      </c>
      <c r="C347" t="str" s="8" cm="1">
        <f t="array" ref="C347">IF(B347="M","Married","Single")</f>
        <v>Single</v>
      </c>
      <c r="D347" t="s" s="2">
        <v>14</v>
      </c>
      <c r="E347" t="str" s="8" cm="1">
        <f t="array" ref="E347">IF(D347="M","Male",IF(D347="F","Female","Check"))</f>
        <v>Female</v>
      </c>
      <c r="F347" s="4">
        <v>70000</v>
      </c>
      <c r="G347" t="str" s="8" cm="1">
        <f t="array" ref="G347">IF(F347="","Check","okay")</f>
        <v>okay</v>
      </c>
      <c r="H347" s="3">
        <v>2</v>
      </c>
      <c r="I347" t="s" s="2">
        <v>15</v>
      </c>
      <c r="J347" t="s" s="2">
        <v>31</v>
      </c>
      <c r="K347" t="s" s="2">
        <v>17</v>
      </c>
      <c r="L347" s="3">
        <v>1</v>
      </c>
      <c r="M347" t="s" s="2">
        <v>33</v>
      </c>
      <c r="N347" t="s" s="2">
        <v>35</v>
      </c>
      <c r="O347" s="3">
        <v>59</v>
      </c>
      <c r="P347" t="str" s="8" cm="1">
        <f t="array" ref="P347">IF(O347="","check","Okay")</f>
        <v>Okay</v>
      </c>
      <c r="Q347" t="str" s="8" cm="1">
        <f t="array" ref="Q347">IF(O347&lt;30,"UNDER 30",IF(O347&lt;=50,"30-50","Over 50"))</f>
        <v>Over 50</v>
      </c>
      <c r="R347" t="s" s="2">
        <v>20</v>
      </c>
      <c r="S347" s="3" cm="1">
        <f t="array" ref="S347">COUNTIF(A2:A1001,A347)</f>
        <v>1</v>
      </c>
      <c r="T347" t="str" s="8" cm="1">
        <f t="array" ref="T347">IF(ISNUMBER(F347),"Ok","check")</f>
        <v>Ok</v>
      </c>
      <c r="U347" t="str" s="8" cm="1">
        <f t="array" ref="U347">IF(ISNUMBER(O347),"ok","check")</f>
        <v>ok</v>
      </c>
    </row>
    <row r="348" ht="13.55" customHeight="1">
      <c r="A348" s="3">
        <v>28031</v>
      </c>
      <c r="B348" t="s" s="2">
        <v>25</v>
      </c>
      <c r="C348" t="str" s="8" cm="1">
        <f t="array" ref="C348">IF(B348="M","Married","Single")</f>
        <v>Single</v>
      </c>
      <c r="D348" t="s" s="2">
        <v>14</v>
      </c>
      <c r="E348" t="str" s="8" cm="1">
        <f t="array" ref="E348">IF(D348="M","Male",IF(D348="F","Female","Check"))</f>
        <v>Female</v>
      </c>
      <c r="F348" s="4">
        <v>70000</v>
      </c>
      <c r="G348" t="str" s="8" cm="1">
        <f t="array" ref="G348">IF(F348="","Check","okay")</f>
        <v>okay</v>
      </c>
      <c r="H348" s="3">
        <v>2</v>
      </c>
      <c r="I348" t="s" s="2">
        <v>15</v>
      </c>
      <c r="J348" t="s" s="2">
        <v>31</v>
      </c>
      <c r="K348" t="s" s="2">
        <v>20</v>
      </c>
      <c r="L348" s="3">
        <v>1</v>
      </c>
      <c r="M348" t="s" s="2">
        <v>24</v>
      </c>
      <c r="N348" t="s" s="2">
        <v>35</v>
      </c>
      <c r="O348" s="3">
        <v>59</v>
      </c>
      <c r="P348" t="str" s="8" cm="1">
        <f t="array" ref="P348">IF(O348="","check","Okay")</f>
        <v>Okay</v>
      </c>
      <c r="Q348" t="str" s="8" cm="1">
        <f t="array" ref="Q348">IF(O348&lt;30,"UNDER 30",IF(O348&lt;=50,"30-50","Over 50"))</f>
        <v>Over 50</v>
      </c>
      <c r="R348" t="s" s="2">
        <v>17</v>
      </c>
      <c r="S348" s="3" cm="1">
        <f t="array" ref="S348">COUNTIF(A2:A1001,A348)</f>
        <v>1</v>
      </c>
      <c r="T348" t="str" s="8" cm="1">
        <f t="array" ref="T348">IF(ISNUMBER(F348),"Ok","check")</f>
        <v>Ok</v>
      </c>
      <c r="U348" t="str" s="8" cm="1">
        <f t="array" ref="U348">IF(ISNUMBER(O348),"ok","check")</f>
        <v>ok</v>
      </c>
    </row>
    <row r="349" ht="13.55" customHeight="1">
      <c r="A349" s="3">
        <v>21471</v>
      </c>
      <c r="B349" t="s" s="2">
        <v>13</v>
      </c>
      <c r="C349" t="str" s="8" cm="1">
        <f t="array" ref="C349">IF(B349="M","Married","Single")</f>
        <v>Married</v>
      </c>
      <c r="D349" t="s" s="2">
        <v>13</v>
      </c>
      <c r="E349" t="str" s="8" cm="1">
        <f t="array" ref="E349">IF(D349="M","Male",IF(D349="F","Female","Check"))</f>
        <v>Male</v>
      </c>
      <c r="F349" s="4">
        <v>70000</v>
      </c>
      <c r="G349" t="str" s="8" cm="1">
        <f t="array" ref="G349">IF(F349="","Check","okay")</f>
        <v>okay</v>
      </c>
      <c r="H349" s="3">
        <v>2</v>
      </c>
      <c r="I349" t="s" s="2">
        <v>21</v>
      </c>
      <c r="J349" t="s" s="2">
        <v>23</v>
      </c>
      <c r="K349" t="s" s="2">
        <v>17</v>
      </c>
      <c r="L349" s="3">
        <v>1</v>
      </c>
      <c r="M349" t="s" s="2">
        <v>33</v>
      </c>
      <c r="N349" t="s" s="2">
        <v>35</v>
      </c>
      <c r="O349" s="3">
        <v>59</v>
      </c>
      <c r="P349" t="str" s="8" cm="1">
        <f t="array" ref="P349">IF(O349="","check","Okay")</f>
        <v>Okay</v>
      </c>
      <c r="Q349" t="str" s="8" cm="1">
        <f t="array" ref="Q349">IF(O349&lt;30,"UNDER 30",IF(O349&lt;=50,"30-50","Over 50"))</f>
        <v>Over 50</v>
      </c>
      <c r="R349" t="s" s="2">
        <v>20</v>
      </c>
      <c r="S349" s="3" cm="1">
        <f t="array" ref="S349">COUNTIF(A2:A1001,A349)</f>
        <v>1</v>
      </c>
      <c r="T349" t="str" s="8" cm="1">
        <f t="array" ref="T349">IF(ISNUMBER(F349),"Ok","check")</f>
        <v>Ok</v>
      </c>
      <c r="U349" t="str" s="8" cm="1">
        <f t="array" ref="U349">IF(ISNUMBER(O349),"ok","check")</f>
        <v>ok</v>
      </c>
    </row>
    <row r="350" ht="13.55" customHeight="1">
      <c r="A350" s="3">
        <v>26490</v>
      </c>
      <c r="B350" t="s" s="2">
        <v>25</v>
      </c>
      <c r="C350" t="str" s="8" cm="1">
        <f t="array" ref="C350">IF(B350="M","Married","Single")</f>
        <v>Single</v>
      </c>
      <c r="D350" t="s" s="2">
        <v>13</v>
      </c>
      <c r="E350" t="str" s="8" cm="1">
        <f t="array" ref="E350">IF(D350="M","Male",IF(D350="F","Female","Check"))</f>
        <v>Male</v>
      </c>
      <c r="F350" s="4">
        <v>70000</v>
      </c>
      <c r="G350" t="str" s="8" cm="1">
        <f t="array" ref="G350">IF(F350="","Check","okay")</f>
        <v>okay</v>
      </c>
      <c r="H350" s="3">
        <v>2</v>
      </c>
      <c r="I350" t="s" s="2">
        <v>15</v>
      </c>
      <c r="J350" t="s" s="2">
        <v>31</v>
      </c>
      <c r="K350" t="s" s="2">
        <v>20</v>
      </c>
      <c r="L350" s="3">
        <v>1</v>
      </c>
      <c r="M350" t="s" s="2">
        <v>24</v>
      </c>
      <c r="N350" t="s" s="2">
        <v>35</v>
      </c>
      <c r="O350" s="3">
        <v>59</v>
      </c>
      <c r="P350" t="str" s="8" cm="1">
        <f t="array" ref="P350">IF(O350="","check","Okay")</f>
        <v>Okay</v>
      </c>
      <c r="Q350" t="str" s="8" cm="1">
        <f t="array" ref="Q350">IF(O350&lt;30,"UNDER 30",IF(O350&lt;=50,"30-50","Over 50"))</f>
        <v>Over 50</v>
      </c>
      <c r="R350" t="s" s="2">
        <v>17</v>
      </c>
      <c r="S350" s="3" cm="1">
        <f t="array" ref="S350">COUNTIF(A2:A1001,A350)</f>
        <v>1</v>
      </c>
      <c r="T350" t="str" s="8" cm="1">
        <f t="array" ref="T350">IF(ISNUMBER(F350),"Ok","check")</f>
        <v>Ok</v>
      </c>
      <c r="U350" t="str" s="8" cm="1">
        <f t="array" ref="U350">IF(ISNUMBER(O350),"ok","check")</f>
        <v>ok</v>
      </c>
    </row>
    <row r="351" ht="13.55" customHeight="1">
      <c r="A351" s="3">
        <v>18069</v>
      </c>
      <c r="B351" t="s" s="2">
        <v>13</v>
      </c>
      <c r="C351" t="str" s="8" cm="1">
        <f t="array" ref="C351">IF(B351="M","Married","Single")</f>
        <v>Married</v>
      </c>
      <c r="D351" t="s" s="2">
        <v>13</v>
      </c>
      <c r="E351" t="str" s="8" cm="1">
        <f t="array" ref="E351">IF(D351="M","Male",IF(D351="F","Female","Check"))</f>
        <v>Male</v>
      </c>
      <c r="F351" s="4">
        <v>70000</v>
      </c>
      <c r="G351" t="str" s="8" cm="1">
        <f t="array" ref="G351">IF(F351="","Check","okay")</f>
        <v>okay</v>
      </c>
      <c r="H351" s="3">
        <v>5</v>
      </c>
      <c r="I351" t="s" s="2">
        <v>15</v>
      </c>
      <c r="J351" t="s" s="2">
        <v>31</v>
      </c>
      <c r="K351" t="s" s="2">
        <v>17</v>
      </c>
      <c r="L351" s="3">
        <v>4</v>
      </c>
      <c r="M351" t="s" s="2">
        <v>33</v>
      </c>
      <c r="N351" t="s" s="2">
        <v>35</v>
      </c>
      <c r="O351" s="3">
        <v>60</v>
      </c>
      <c r="P351" t="str" s="8" cm="1">
        <f t="array" ref="P351">IF(O351="","check","Okay")</f>
        <v>Okay</v>
      </c>
      <c r="Q351" t="str" s="8" cm="1">
        <f t="array" ref="Q351">IF(O351&lt;30,"UNDER 30",IF(O351&lt;=50,"30-50","Over 50"))</f>
        <v>Over 50</v>
      </c>
      <c r="R351" t="s" s="2">
        <v>20</v>
      </c>
      <c r="S351" s="3" cm="1">
        <f t="array" ref="S351">COUNTIF(A2:A1001,A351)</f>
        <v>1</v>
      </c>
      <c r="T351" t="str" s="8" cm="1">
        <f t="array" ref="T351">IF(ISNUMBER(F351),"Ok","check")</f>
        <v>Ok</v>
      </c>
      <c r="U351" t="str" s="8" cm="1">
        <f t="array" ref="U351">IF(ISNUMBER(O351),"ok","check")</f>
        <v>ok</v>
      </c>
    </row>
    <row r="352" ht="13.55" customHeight="1">
      <c r="A352" s="3">
        <v>18066</v>
      </c>
      <c r="B352" t="s" s="2">
        <v>25</v>
      </c>
      <c r="C352" t="str" s="8" cm="1">
        <f t="array" ref="C352">IF(B352="M","Married","Single")</f>
        <v>Single</v>
      </c>
      <c r="D352" t="s" s="2">
        <v>13</v>
      </c>
      <c r="E352" t="str" s="8" cm="1">
        <f t="array" ref="E352">IF(D352="M","Male",IF(D352="F","Female","Check"))</f>
        <v>Male</v>
      </c>
      <c r="F352" s="4">
        <v>70000</v>
      </c>
      <c r="G352" t="str" s="8" cm="1">
        <f t="array" ref="G352">IF(F352="","Check","okay")</f>
        <v>okay</v>
      </c>
      <c r="H352" s="3">
        <v>5</v>
      </c>
      <c r="I352" t="s" s="2">
        <v>15</v>
      </c>
      <c r="J352" t="s" s="2">
        <v>31</v>
      </c>
      <c r="K352" t="s" s="2">
        <v>17</v>
      </c>
      <c r="L352" s="3">
        <v>3</v>
      </c>
      <c r="M352" t="s" s="2">
        <v>33</v>
      </c>
      <c r="N352" t="s" s="2">
        <v>35</v>
      </c>
      <c r="O352" s="3">
        <v>60</v>
      </c>
      <c r="P352" t="str" s="8" cm="1">
        <f t="array" ref="P352">IF(O352="","check","Okay")</f>
        <v>Okay</v>
      </c>
      <c r="Q352" t="str" s="8" cm="1">
        <f t="array" ref="Q352">IF(O352&lt;30,"UNDER 30",IF(O352&lt;=50,"30-50","Over 50"))</f>
        <v>Over 50</v>
      </c>
      <c r="R352" t="s" s="2">
        <v>17</v>
      </c>
      <c r="S352" s="3" cm="1">
        <f t="array" ref="S352">COUNTIF(A2:A1001,A352)</f>
        <v>1</v>
      </c>
      <c r="T352" t="str" s="8" cm="1">
        <f t="array" ref="T352">IF(ISNUMBER(F352),"Ok","check")</f>
        <v>Ok</v>
      </c>
      <c r="U352" t="str" s="8" cm="1">
        <f t="array" ref="U352">IF(ISNUMBER(O352),"ok","check")</f>
        <v>ok</v>
      </c>
    </row>
    <row r="353" ht="13.55" customHeight="1">
      <c r="A353" s="3">
        <v>23707</v>
      </c>
      <c r="B353" t="s" s="2">
        <v>25</v>
      </c>
      <c r="C353" t="str" s="8" cm="1">
        <f t="array" ref="C353">IF(B353="M","Married","Single")</f>
        <v>Single</v>
      </c>
      <c r="D353" t="s" s="2">
        <v>13</v>
      </c>
      <c r="E353" t="str" s="8" cm="1">
        <f t="array" ref="E353">IF(D353="M","Male",IF(D353="F","Female","Check"))</f>
        <v>Male</v>
      </c>
      <c r="F353" s="4">
        <v>70000</v>
      </c>
      <c r="G353" t="str" s="8" cm="1">
        <f t="array" ref="G353">IF(F353="","Check","okay")</f>
        <v>okay</v>
      </c>
      <c r="H353" s="3">
        <v>5</v>
      </c>
      <c r="I353" t="s" s="2">
        <v>15</v>
      </c>
      <c r="J353" t="s" s="2">
        <v>31</v>
      </c>
      <c r="K353" t="s" s="2">
        <v>17</v>
      </c>
      <c r="L353" s="3">
        <v>3</v>
      </c>
      <c r="M353" t="s" s="2">
        <v>33</v>
      </c>
      <c r="N353" t="s" s="2">
        <v>35</v>
      </c>
      <c r="O353" s="3">
        <v>60</v>
      </c>
      <c r="P353" t="str" s="8" cm="1">
        <f t="array" ref="P353">IF(O353="","check","Okay")</f>
        <v>Okay</v>
      </c>
      <c r="Q353" t="str" s="8" cm="1">
        <f t="array" ref="Q353">IF(O353&lt;30,"UNDER 30",IF(O353&lt;=50,"30-50","Over 50"))</f>
        <v>Over 50</v>
      </c>
      <c r="R353" t="s" s="2">
        <v>17</v>
      </c>
      <c r="S353" s="3" cm="1">
        <f t="array" ref="S353">COUNTIF(A2:A1001,A353)</f>
        <v>1</v>
      </c>
      <c r="T353" t="str" s="8" cm="1">
        <f t="array" ref="T353">IF(ISNUMBER(F353),"Ok","check")</f>
        <v>Ok</v>
      </c>
      <c r="U353" t="str" s="8" cm="1">
        <f t="array" ref="U353">IF(ISNUMBER(O353),"ok","check")</f>
        <v>ok</v>
      </c>
    </row>
    <row r="354" ht="13.55" customHeight="1">
      <c r="A354" s="3">
        <v>15749</v>
      </c>
      <c r="B354" t="s" s="2">
        <v>25</v>
      </c>
      <c r="C354" t="str" s="8" cm="1">
        <f t="array" ref="C354">IF(B354="M","Married","Single")</f>
        <v>Single</v>
      </c>
      <c r="D354" t="s" s="2">
        <v>14</v>
      </c>
      <c r="E354" t="str" s="8" cm="1">
        <f t="array" ref="E354">IF(D354="M","Male",IF(D354="F","Female","Check"))</f>
        <v>Female</v>
      </c>
      <c r="F354" s="4">
        <v>70000</v>
      </c>
      <c r="G354" t="str" s="8" cm="1">
        <f t="array" ref="G354">IF(F354="","Check","okay")</f>
        <v>okay</v>
      </c>
      <c r="H354" s="3">
        <v>4</v>
      </c>
      <c r="I354" t="s" s="2">
        <v>15</v>
      </c>
      <c r="J354" t="s" s="2">
        <v>31</v>
      </c>
      <c r="K354" t="s" s="2">
        <v>17</v>
      </c>
      <c r="L354" s="3">
        <v>2</v>
      </c>
      <c r="M354" t="s" s="2">
        <v>33</v>
      </c>
      <c r="N354" t="s" s="2">
        <v>35</v>
      </c>
      <c r="O354" s="3">
        <v>61</v>
      </c>
      <c r="P354" t="str" s="8" cm="1">
        <f t="array" ref="P354">IF(O354="","check","Okay")</f>
        <v>Okay</v>
      </c>
      <c r="Q354" t="str" s="8" cm="1">
        <f t="array" ref="Q354">IF(O354&lt;30,"UNDER 30",IF(O354&lt;=50,"30-50","Over 50"))</f>
        <v>Over 50</v>
      </c>
      <c r="R354" t="s" s="2">
        <v>20</v>
      </c>
      <c r="S354" s="3" cm="1">
        <f t="array" ref="S354">COUNTIF(A2:A1001,A354)</f>
        <v>1</v>
      </c>
      <c r="T354" t="str" s="8" cm="1">
        <f t="array" ref="T354">IF(ISNUMBER(F354),"Ok","check")</f>
        <v>Ok</v>
      </c>
      <c r="U354" t="str" s="8" cm="1">
        <f t="array" ref="U354">IF(ISNUMBER(O354),"ok","check")</f>
        <v>ok</v>
      </c>
    </row>
    <row r="355" ht="13.55" customHeight="1">
      <c r="A355" s="3">
        <v>15879</v>
      </c>
      <c r="B355" t="s" s="2">
        <v>13</v>
      </c>
      <c r="C355" t="str" s="8" cm="1">
        <f t="array" ref="C355">IF(B355="M","Married","Single")</f>
        <v>Married</v>
      </c>
      <c r="D355" t="s" s="2">
        <v>13</v>
      </c>
      <c r="E355" t="str" s="8" cm="1">
        <f t="array" ref="E355">IF(D355="M","Male",IF(D355="F","Female","Check"))</f>
        <v>Male</v>
      </c>
      <c r="F355" s="4">
        <v>70000</v>
      </c>
      <c r="G355" t="str" s="8" cm="1">
        <f t="array" ref="G355">IF(F355="","Check","okay")</f>
        <v>okay</v>
      </c>
      <c r="H355" s="3">
        <v>5</v>
      </c>
      <c r="I355" t="s" s="2">
        <v>15</v>
      </c>
      <c r="J355" t="s" s="2">
        <v>31</v>
      </c>
      <c r="K355" t="s" s="2">
        <v>17</v>
      </c>
      <c r="L355" s="3">
        <v>2</v>
      </c>
      <c r="M355" t="s" s="2">
        <v>24</v>
      </c>
      <c r="N355" t="s" s="2">
        <v>35</v>
      </c>
      <c r="O355" s="3">
        <v>61</v>
      </c>
      <c r="P355" t="str" s="8" cm="1">
        <f t="array" ref="P355">IF(O355="","check","Okay")</f>
        <v>Okay</v>
      </c>
      <c r="Q355" t="str" s="8" cm="1">
        <f t="array" ref="Q355">IF(O355&lt;30,"UNDER 30",IF(O355&lt;=50,"30-50","Over 50"))</f>
        <v>Over 50</v>
      </c>
      <c r="R355" t="s" s="2">
        <v>20</v>
      </c>
      <c r="S355" s="3" cm="1">
        <f t="array" ref="S355">COUNTIF(A2:A1001,A355)</f>
        <v>1</v>
      </c>
      <c r="T355" t="str" s="8" cm="1">
        <f t="array" ref="T355">IF(ISNUMBER(F355),"Ok","check")</f>
        <v>Ok</v>
      </c>
      <c r="U355" t="str" s="8" cm="1">
        <f t="array" ref="U355">IF(ISNUMBER(O355),"ok","check")</f>
        <v>ok</v>
      </c>
    </row>
    <row r="356" ht="13.55" customHeight="1">
      <c r="A356" s="3">
        <v>13351</v>
      </c>
      <c r="B356" t="s" s="2">
        <v>25</v>
      </c>
      <c r="C356" t="str" s="8" cm="1">
        <f t="array" ref="C356">IF(B356="M","Married","Single")</f>
        <v>Single</v>
      </c>
      <c r="D356" t="s" s="2">
        <v>14</v>
      </c>
      <c r="E356" t="str" s="8" cm="1">
        <f t="array" ref="E356">IF(D356="M","Male",IF(D356="F","Female","Check"))</f>
        <v>Female</v>
      </c>
      <c r="F356" s="4">
        <v>70000</v>
      </c>
      <c r="G356" t="str" s="8" cm="1">
        <f t="array" ref="G356">IF(F356="","Check","okay")</f>
        <v>okay</v>
      </c>
      <c r="H356" s="3">
        <v>4</v>
      </c>
      <c r="I356" t="s" s="2">
        <v>15</v>
      </c>
      <c r="J356" t="s" s="2">
        <v>31</v>
      </c>
      <c r="K356" t="s" s="2">
        <v>17</v>
      </c>
      <c r="L356" s="3">
        <v>2</v>
      </c>
      <c r="M356" t="s" s="2">
        <v>29</v>
      </c>
      <c r="N356" t="s" s="2">
        <v>35</v>
      </c>
      <c r="O356" s="3">
        <v>62</v>
      </c>
      <c r="P356" t="str" s="8" cm="1">
        <f t="array" ref="P356">IF(O356="","check","Okay")</f>
        <v>Okay</v>
      </c>
      <c r="Q356" t="str" s="8" cm="1">
        <f t="array" ref="Q356">IF(O356&lt;30,"UNDER 30",IF(O356&lt;=50,"30-50","Over 50"))</f>
        <v>Over 50</v>
      </c>
      <c r="R356" t="s" s="2">
        <v>17</v>
      </c>
      <c r="S356" s="3" cm="1">
        <f t="array" ref="S356">COUNTIF(A2:A1001,A356)</f>
        <v>1</v>
      </c>
      <c r="T356" t="str" s="8" cm="1">
        <f t="array" ref="T356">IF(ISNUMBER(F356),"Ok","check")</f>
        <v>Ok</v>
      </c>
      <c r="U356" t="str" s="8" cm="1">
        <f t="array" ref="U356">IF(ISNUMBER(O356),"ok","check")</f>
        <v>ok</v>
      </c>
    </row>
    <row r="357" ht="13.55" customHeight="1">
      <c r="A357" s="3">
        <v>22730</v>
      </c>
      <c r="B357" t="s" s="2">
        <v>13</v>
      </c>
      <c r="C357" t="str" s="8" cm="1">
        <f t="array" ref="C357">IF(B357="M","Married","Single")</f>
        <v>Married</v>
      </c>
      <c r="D357" t="s" s="2">
        <v>13</v>
      </c>
      <c r="E357" t="str" s="8" cm="1">
        <f t="array" ref="E357">IF(D357="M","Male",IF(D357="F","Female","Check"))</f>
        <v>Male</v>
      </c>
      <c r="F357" s="4">
        <v>70000</v>
      </c>
      <c r="G357" t="str" s="8" cm="1">
        <f t="array" ref="G357">IF(F357="","Check","okay")</f>
        <v>okay</v>
      </c>
      <c r="H357" s="3">
        <v>5</v>
      </c>
      <c r="I357" t="s" s="2">
        <v>15</v>
      </c>
      <c r="J357" t="s" s="2">
        <v>31</v>
      </c>
      <c r="K357" t="s" s="2">
        <v>17</v>
      </c>
      <c r="L357" s="3">
        <v>2</v>
      </c>
      <c r="M357" t="s" s="2">
        <v>33</v>
      </c>
      <c r="N357" t="s" s="2">
        <v>35</v>
      </c>
      <c r="O357" s="3">
        <v>63</v>
      </c>
      <c r="P357" t="str" s="8" cm="1">
        <f t="array" ref="P357">IF(O357="","check","Okay")</f>
        <v>Okay</v>
      </c>
      <c r="Q357" t="str" s="8" cm="1">
        <f t="array" ref="Q357">IF(O357&lt;30,"UNDER 30",IF(O357&lt;=50,"30-50","Over 50"))</f>
        <v>Over 50</v>
      </c>
      <c r="R357" t="s" s="2">
        <v>20</v>
      </c>
      <c r="S357" s="3" cm="1">
        <f t="array" ref="S357">COUNTIF(A2:A1001,A357)</f>
        <v>1</v>
      </c>
      <c r="T357" t="str" s="8" cm="1">
        <f t="array" ref="T357">IF(ISNUMBER(F357),"Ok","check")</f>
        <v>Ok</v>
      </c>
      <c r="U357" t="str" s="8" cm="1">
        <f t="array" ref="U357">IF(ISNUMBER(O357),"ok","check")</f>
        <v>ok</v>
      </c>
    </row>
    <row r="358" ht="13.55" customHeight="1">
      <c r="A358" s="3">
        <v>18435</v>
      </c>
      <c r="B358" t="s" s="2">
        <v>25</v>
      </c>
      <c r="C358" t="str" s="8" cm="1">
        <f t="array" ref="C358">IF(B358="M","Married","Single")</f>
        <v>Single</v>
      </c>
      <c r="D358" t="s" s="2">
        <v>14</v>
      </c>
      <c r="E358" t="str" s="8" cm="1">
        <f t="array" ref="E358">IF(D358="M","Male",IF(D358="F","Female","Check"))</f>
        <v>Female</v>
      </c>
      <c r="F358" s="4">
        <v>70000</v>
      </c>
      <c r="G358" t="str" s="8" cm="1">
        <f t="array" ref="G358">IF(F358="","Check","okay")</f>
        <v>okay</v>
      </c>
      <c r="H358" s="3">
        <v>5</v>
      </c>
      <c r="I358" t="s" s="2">
        <v>34</v>
      </c>
      <c r="J358" t="s" s="2">
        <v>31</v>
      </c>
      <c r="K358" t="s" s="2">
        <v>17</v>
      </c>
      <c r="L358" s="3">
        <v>2</v>
      </c>
      <c r="M358" t="s" s="2">
        <v>33</v>
      </c>
      <c r="N358" t="s" s="2">
        <v>35</v>
      </c>
      <c r="O358" s="3">
        <v>67</v>
      </c>
      <c r="P358" t="str" s="8" cm="1">
        <f t="array" ref="P358">IF(O358="","check","Okay")</f>
        <v>Okay</v>
      </c>
      <c r="Q358" t="str" s="8" cm="1">
        <f t="array" ref="Q358">IF(O358&lt;30,"UNDER 30",IF(O358&lt;=50,"30-50","Over 50"))</f>
        <v>Over 50</v>
      </c>
      <c r="R358" t="s" s="2">
        <v>17</v>
      </c>
      <c r="S358" s="3" cm="1">
        <f t="array" ref="S358">COUNTIF(A2:A1001,A358)</f>
        <v>1</v>
      </c>
      <c r="T358" t="str" s="8" cm="1">
        <f t="array" ref="T358">IF(ISNUMBER(F358),"Ok","check")</f>
        <v>Ok</v>
      </c>
      <c r="U358" t="str" s="8" cm="1">
        <f t="array" ref="U358">IF(ISNUMBER(O358),"ok","check")</f>
        <v>ok</v>
      </c>
    </row>
    <row r="359" ht="13.55" customHeight="1">
      <c r="A359" s="3">
        <v>11255</v>
      </c>
      <c r="B359" t="s" s="2">
        <v>13</v>
      </c>
      <c r="C359" t="str" s="8" cm="1">
        <f t="array" ref="C359">IF(B359="M","Married","Single")</f>
        <v>Married</v>
      </c>
      <c r="D359" t="s" s="2">
        <v>13</v>
      </c>
      <c r="E359" t="str" s="8" cm="1">
        <f t="array" ref="E359">IF(D359="M","Male",IF(D359="F","Female","Check"))</f>
        <v>Male</v>
      </c>
      <c r="F359" s="4">
        <v>70000</v>
      </c>
      <c r="G359" t="str" s="8" cm="1">
        <f t="array" ref="G359">IF(F359="","Check","okay")</f>
        <v>okay</v>
      </c>
      <c r="H359" s="3">
        <v>4</v>
      </c>
      <c r="I359" t="s" s="2">
        <v>34</v>
      </c>
      <c r="J359" t="s" s="2">
        <v>31</v>
      </c>
      <c r="K359" t="s" s="2">
        <v>17</v>
      </c>
      <c r="L359" s="3">
        <v>2</v>
      </c>
      <c r="M359" t="s" s="2">
        <v>26</v>
      </c>
      <c r="N359" t="s" s="2">
        <v>35</v>
      </c>
      <c r="O359" s="3">
        <v>73</v>
      </c>
      <c r="P359" t="str" s="8" cm="1">
        <f t="array" ref="P359">IF(O359="","check","Okay")</f>
        <v>Okay</v>
      </c>
      <c r="Q359" t="str" s="8" cm="1">
        <f t="array" ref="Q359">IF(O359&lt;30,"UNDER 30",IF(O359&lt;=50,"30-50","Over 50"))</f>
        <v>Over 50</v>
      </c>
      <c r="R359" t="s" s="2">
        <v>20</v>
      </c>
      <c r="S359" s="3" cm="1">
        <f t="array" ref="S359">COUNTIF(A2:A1001,A359)</f>
        <v>1</v>
      </c>
      <c r="T359" t="str" s="8" cm="1">
        <f t="array" ref="T359">IF(ISNUMBER(F359),"Ok","check")</f>
        <v>Ok</v>
      </c>
      <c r="U359" t="str" s="8" cm="1">
        <f t="array" ref="U359">IF(ISNUMBER(O359),"ok","check")</f>
        <v>ok</v>
      </c>
    </row>
    <row r="360" ht="13.55" customHeight="1">
      <c r="A360" s="3">
        <v>18949</v>
      </c>
      <c r="B360" t="s" s="2">
        <v>25</v>
      </c>
      <c r="C360" t="str" s="8" cm="1">
        <f t="array" ref="C360">IF(B360="M","Married","Single")</f>
        <v>Single</v>
      </c>
      <c r="D360" t="s" s="2">
        <v>13</v>
      </c>
      <c r="E360" t="str" s="8" cm="1">
        <f t="array" ref="E360">IF(D360="M","Male",IF(D360="F","Female","Check"))</f>
        <v>Male</v>
      </c>
      <c r="F360" s="4">
        <v>70000</v>
      </c>
      <c r="G360" t="str" s="8" cm="1">
        <f t="array" ref="G360">IF(F360="","Check","okay")</f>
        <v>okay</v>
      </c>
      <c r="H360" s="3">
        <v>0</v>
      </c>
      <c r="I360" t="s" s="2">
        <v>34</v>
      </c>
      <c r="J360" t="s" s="2">
        <v>31</v>
      </c>
      <c r="K360" t="s" s="2">
        <v>17</v>
      </c>
      <c r="L360" s="3">
        <v>2</v>
      </c>
      <c r="M360" t="s" s="2">
        <v>26</v>
      </c>
      <c r="N360" t="s" s="2">
        <v>35</v>
      </c>
      <c r="O360" s="3">
        <v>74</v>
      </c>
      <c r="P360" t="str" s="8" cm="1">
        <f t="array" ref="P360">IF(O360="","check","Okay")</f>
        <v>Okay</v>
      </c>
      <c r="Q360" t="str" s="8" cm="1">
        <f t="array" ref="Q360">IF(O360&lt;30,"UNDER 30",IF(O360&lt;=50,"30-50","Over 50"))</f>
        <v>Over 50</v>
      </c>
      <c r="R360" t="s" s="2">
        <v>17</v>
      </c>
      <c r="S360" s="3" cm="1">
        <f t="array" ref="S360">COUNTIF(A2:A1001,A360)</f>
        <v>1</v>
      </c>
      <c r="T360" t="str" s="8" cm="1">
        <f t="array" ref="T360">IF(ISNUMBER(F360),"Ok","check")</f>
        <v>Ok</v>
      </c>
      <c r="U360" t="str" s="8" cm="1">
        <f t="array" ref="U360">IF(ISNUMBER(O360),"ok","check")</f>
        <v>ok</v>
      </c>
    </row>
    <row r="361" ht="13.55" customHeight="1">
      <c r="A361" s="3">
        <v>25908</v>
      </c>
      <c r="B361" t="s" s="2">
        <v>13</v>
      </c>
      <c r="C361" t="str" s="8" cm="1">
        <f t="array" ref="C361">IF(B361="M","Married","Single")</f>
        <v>Married</v>
      </c>
      <c r="D361" t="s" s="2">
        <v>14</v>
      </c>
      <c r="E361" t="str" s="8" cm="1">
        <f t="array" ref="E361">IF(D361="M","Male",IF(D361="F","Female","Check"))</f>
        <v>Female</v>
      </c>
      <c r="F361" s="4">
        <v>60000</v>
      </c>
      <c r="G361" t="str" s="8" cm="1">
        <f t="array" ref="G361">IF(F361="","Check","okay")</f>
        <v>okay</v>
      </c>
      <c r="H361" s="3">
        <v>0</v>
      </c>
      <c r="I361" t="s" s="2">
        <v>21</v>
      </c>
      <c r="J361" t="s" s="2">
        <v>16</v>
      </c>
      <c r="K361" t="s" s="2">
        <v>20</v>
      </c>
      <c r="L361" s="3">
        <v>1</v>
      </c>
      <c r="M361" t="s" s="2">
        <v>29</v>
      </c>
      <c r="N361" t="s" s="2">
        <v>35</v>
      </c>
      <c r="O361" s="3">
        <v>27</v>
      </c>
      <c r="P361" t="str" s="8" cm="1">
        <f t="array" ref="P361">IF(O361="","check","Okay")</f>
        <v>Okay</v>
      </c>
      <c r="Q361" t="str" s="8" cm="1">
        <f t="array" ref="Q361">IF(O361&lt;30,"UNDER 30",IF(O361&lt;=50,"30-50","Over 50"))</f>
        <v>UNDER 30</v>
      </c>
      <c r="R361" t="s" s="2">
        <v>20</v>
      </c>
      <c r="S361" s="3" cm="1">
        <f t="array" ref="S361">COUNTIF(A2:A1001,A361)</f>
        <v>1</v>
      </c>
      <c r="T361" t="str" s="8" cm="1">
        <f t="array" ref="T361">IF(ISNUMBER(F361),"Ok","check")</f>
        <v>Ok</v>
      </c>
      <c r="U361" t="str" s="8" cm="1">
        <f t="array" ref="U361">IF(ISNUMBER(O361),"ok","check")</f>
        <v>ok</v>
      </c>
    </row>
    <row r="362" ht="13.55" customHeight="1">
      <c r="A362" s="3">
        <v>25909</v>
      </c>
      <c r="B362" t="s" s="2">
        <v>13</v>
      </c>
      <c r="C362" t="str" s="8" cm="1">
        <f t="array" ref="C362">IF(B362="M","Married","Single")</f>
        <v>Married</v>
      </c>
      <c r="D362" t="s" s="2">
        <v>13</v>
      </c>
      <c r="E362" t="str" s="8" cm="1">
        <f t="array" ref="E362">IF(D362="M","Male",IF(D362="F","Female","Check"))</f>
        <v>Male</v>
      </c>
      <c r="F362" s="4">
        <v>60000</v>
      </c>
      <c r="G362" t="str" s="8" cm="1">
        <f t="array" ref="G362">IF(F362="","Check","okay")</f>
        <v>okay</v>
      </c>
      <c r="H362" s="3">
        <v>0</v>
      </c>
      <c r="I362" t="s" s="2">
        <v>21</v>
      </c>
      <c r="J362" t="s" s="2">
        <v>16</v>
      </c>
      <c r="K362" t="s" s="2">
        <v>17</v>
      </c>
      <c r="L362" s="3">
        <v>1</v>
      </c>
      <c r="M362" t="s" s="2">
        <v>26</v>
      </c>
      <c r="N362" t="s" s="2">
        <v>35</v>
      </c>
      <c r="O362" s="3">
        <v>27</v>
      </c>
      <c r="P362" t="str" s="8" cm="1">
        <f t="array" ref="P362">IF(O362="","check","Okay")</f>
        <v>Okay</v>
      </c>
      <c r="Q362" t="str" s="8" cm="1">
        <f t="array" ref="Q362">IF(O362&lt;30,"UNDER 30",IF(O362&lt;=50,"30-50","Over 50"))</f>
        <v>UNDER 30</v>
      </c>
      <c r="R362" t="s" s="2">
        <v>17</v>
      </c>
      <c r="S362" s="3" cm="1">
        <f t="array" ref="S362">COUNTIF(A2:A1001,A362)</f>
        <v>1</v>
      </c>
      <c r="T362" t="str" s="8" cm="1">
        <f t="array" ref="T362">IF(ISNUMBER(F362),"Ok","check")</f>
        <v>Ok</v>
      </c>
      <c r="U362" t="str" s="8" cm="1">
        <f t="array" ref="U362">IF(ISNUMBER(O362),"ok","check")</f>
        <v>ok</v>
      </c>
    </row>
    <row r="363" ht="13.55" customHeight="1">
      <c r="A363" s="3">
        <v>20310</v>
      </c>
      <c r="B363" t="s" s="2">
        <v>25</v>
      </c>
      <c r="C363" t="str" s="8" cm="1">
        <f t="array" ref="C363">IF(B363="M","Married","Single")</f>
        <v>Single</v>
      </c>
      <c r="D363" t="s" s="2">
        <v>13</v>
      </c>
      <c r="E363" t="str" s="8" cm="1">
        <f t="array" ref="E363">IF(D363="M","Male",IF(D363="F","Female","Check"))</f>
        <v>Male</v>
      </c>
      <c r="F363" s="4">
        <v>60000</v>
      </c>
      <c r="G363" t="str" s="8" cm="1">
        <f t="array" ref="G363">IF(F363="","Check","okay")</f>
        <v>okay</v>
      </c>
      <c r="H363" s="3">
        <v>0</v>
      </c>
      <c r="I363" t="s" s="2">
        <v>21</v>
      </c>
      <c r="J363" t="s" s="2">
        <v>16</v>
      </c>
      <c r="K363" t="s" s="2">
        <v>17</v>
      </c>
      <c r="L363" s="3">
        <v>1</v>
      </c>
      <c r="M363" t="s" s="2">
        <v>26</v>
      </c>
      <c r="N363" t="s" s="2">
        <v>35</v>
      </c>
      <c r="O363" s="3">
        <v>27</v>
      </c>
      <c r="P363" t="str" s="8" cm="1">
        <f t="array" ref="P363">IF(O363="","check","Okay")</f>
        <v>Okay</v>
      </c>
      <c r="Q363" t="str" s="8" cm="1">
        <f t="array" ref="Q363">IF(O363&lt;30,"UNDER 30",IF(O363&lt;=50,"30-50","Over 50"))</f>
        <v>UNDER 30</v>
      </c>
      <c r="R363" t="s" s="2">
        <v>17</v>
      </c>
      <c r="S363" s="3" cm="1">
        <f t="array" ref="S363">COUNTIF(A2:A1001,A363)</f>
        <v>1</v>
      </c>
      <c r="T363" t="str" s="8" cm="1">
        <f t="array" ref="T363">IF(ISNUMBER(F363),"Ok","check")</f>
        <v>Ok</v>
      </c>
      <c r="U363" t="str" s="8" cm="1">
        <f t="array" ref="U363">IF(ISNUMBER(O363),"ok","check")</f>
        <v>ok</v>
      </c>
    </row>
    <row r="364" ht="13.55" customHeight="1">
      <c r="A364" s="3">
        <v>20414</v>
      </c>
      <c r="B364" t="s" s="2">
        <v>13</v>
      </c>
      <c r="C364" t="str" s="8" cm="1">
        <f t="array" ref="C364">IF(B364="M","Married","Single")</f>
        <v>Married</v>
      </c>
      <c r="D364" t="s" s="2">
        <v>14</v>
      </c>
      <c r="E364" t="str" s="8" cm="1">
        <f t="array" ref="E364">IF(D364="M","Male",IF(D364="F","Female","Check"))</f>
        <v>Female</v>
      </c>
      <c r="F364" s="4">
        <v>60000</v>
      </c>
      <c r="G364" t="str" s="8" cm="1">
        <f t="array" ref="G364">IF(F364="","Check","okay")</f>
        <v>okay</v>
      </c>
      <c r="H364" s="3">
        <v>0</v>
      </c>
      <c r="I364" t="s" s="2">
        <v>21</v>
      </c>
      <c r="J364" t="s" s="2">
        <v>16</v>
      </c>
      <c r="K364" t="s" s="2">
        <v>17</v>
      </c>
      <c r="L364" s="3">
        <v>2</v>
      </c>
      <c r="M364" t="s" s="2">
        <v>26</v>
      </c>
      <c r="N364" t="s" s="2">
        <v>35</v>
      </c>
      <c r="O364" s="3">
        <v>29</v>
      </c>
      <c r="P364" t="str" s="8" cm="1">
        <f t="array" ref="P364">IF(O364="","check","Okay")</f>
        <v>Okay</v>
      </c>
      <c r="Q364" t="str" s="8" cm="1">
        <f t="array" ref="Q364">IF(O364&lt;30,"UNDER 30",IF(O364&lt;=50,"30-50","Over 50"))</f>
        <v>UNDER 30</v>
      </c>
      <c r="R364" t="s" s="2">
        <v>20</v>
      </c>
      <c r="S364" s="3" cm="1">
        <f t="array" ref="S364">COUNTIF(A2:A1001,A364)</f>
        <v>1</v>
      </c>
      <c r="T364" t="str" s="8" cm="1">
        <f t="array" ref="T364">IF(ISNUMBER(F364),"Ok","check")</f>
        <v>Ok</v>
      </c>
      <c r="U364" t="str" s="8" cm="1">
        <f t="array" ref="U364">IF(ISNUMBER(O364),"ok","check")</f>
        <v>ok</v>
      </c>
    </row>
    <row r="365" ht="13.55" customHeight="1">
      <c r="A365" s="3">
        <v>16337</v>
      </c>
      <c r="B365" t="s" s="2">
        <v>13</v>
      </c>
      <c r="C365" t="str" s="8" cm="1">
        <f t="array" ref="C365">IF(B365="M","Married","Single")</f>
        <v>Married</v>
      </c>
      <c r="D365" t="s" s="2">
        <v>13</v>
      </c>
      <c r="E365" t="str" s="8" cm="1">
        <f t="array" ref="E365">IF(D365="M","Male",IF(D365="F","Female","Check"))</f>
        <v>Male</v>
      </c>
      <c r="F365" s="4">
        <v>60000</v>
      </c>
      <c r="G365" t="str" s="8" cm="1">
        <f t="array" ref="G365">IF(F365="","Check","okay")</f>
        <v>okay</v>
      </c>
      <c r="H365" s="3">
        <v>0</v>
      </c>
      <c r="I365" t="s" s="2">
        <v>21</v>
      </c>
      <c r="J365" t="s" s="2">
        <v>16</v>
      </c>
      <c r="K365" t="s" s="2">
        <v>20</v>
      </c>
      <c r="L365" s="3">
        <v>2</v>
      </c>
      <c r="M365" t="s" s="2">
        <v>29</v>
      </c>
      <c r="N365" t="s" s="2">
        <v>35</v>
      </c>
      <c r="O365" s="3">
        <v>29</v>
      </c>
      <c r="P365" t="str" s="8" cm="1">
        <f t="array" ref="P365">IF(O365="","check","Okay")</f>
        <v>Okay</v>
      </c>
      <c r="Q365" t="str" s="8" cm="1">
        <f t="array" ref="Q365">IF(O365&lt;30,"UNDER 30",IF(O365&lt;=50,"30-50","Over 50"))</f>
        <v>UNDER 30</v>
      </c>
      <c r="R365" t="s" s="2">
        <v>20</v>
      </c>
      <c r="S365" s="3" cm="1">
        <f t="array" ref="S365">COUNTIF(A2:A1001,A365)</f>
        <v>1</v>
      </c>
      <c r="T365" t="str" s="8" cm="1">
        <f t="array" ref="T365">IF(ISNUMBER(F365),"Ok","check")</f>
        <v>Ok</v>
      </c>
      <c r="U365" t="str" s="8" cm="1">
        <f t="array" ref="U365">IF(ISNUMBER(O365),"ok","check")</f>
        <v>ok</v>
      </c>
    </row>
    <row r="366" ht="13.55" customHeight="1">
      <c r="A366" s="3">
        <v>11941</v>
      </c>
      <c r="B366" t="s" s="2">
        <v>25</v>
      </c>
      <c r="C366" t="str" s="8" cm="1">
        <f t="array" ref="C366">IF(B366="M","Married","Single")</f>
        <v>Single</v>
      </c>
      <c r="D366" t="s" s="2">
        <v>13</v>
      </c>
      <c r="E366" t="str" s="8" cm="1">
        <f t="array" ref="E366">IF(D366="M","Male",IF(D366="F","Female","Check"))</f>
        <v>Male</v>
      </c>
      <c r="F366" s="4">
        <v>60000</v>
      </c>
      <c r="G366" t="str" s="8" cm="1">
        <f t="array" ref="G366">IF(F366="","Check","okay")</f>
        <v>okay</v>
      </c>
      <c r="H366" s="3">
        <v>0</v>
      </c>
      <c r="I366" t="s" s="2">
        <v>21</v>
      </c>
      <c r="J366" t="s" s="2">
        <v>16</v>
      </c>
      <c r="K366" t="s" s="2">
        <v>17</v>
      </c>
      <c r="L366" s="3">
        <v>0</v>
      </c>
      <c r="M366" t="s" s="2">
        <v>26</v>
      </c>
      <c r="N366" t="s" s="2">
        <v>35</v>
      </c>
      <c r="O366" s="3">
        <v>29</v>
      </c>
      <c r="P366" t="str" s="8" cm="1">
        <f t="array" ref="P366">IF(O366="","check","Okay")</f>
        <v>Okay</v>
      </c>
      <c r="Q366" t="str" s="8" cm="1">
        <f t="array" ref="Q366">IF(O366&lt;30,"UNDER 30",IF(O366&lt;=50,"30-50","Over 50"))</f>
        <v>UNDER 30</v>
      </c>
      <c r="R366" t="s" s="2">
        <v>20</v>
      </c>
      <c r="S366" s="3" cm="1">
        <f t="array" ref="S366">COUNTIF(A2:A1001,A366)</f>
        <v>1</v>
      </c>
      <c r="T366" t="str" s="8" cm="1">
        <f t="array" ref="T366">IF(ISNUMBER(F366),"Ok","check")</f>
        <v>Ok</v>
      </c>
      <c r="U366" t="str" s="8" cm="1">
        <f t="array" ref="U366">IF(ISNUMBER(O366),"ok","check")</f>
        <v>ok</v>
      </c>
    </row>
    <row r="367" ht="13.55" customHeight="1">
      <c r="A367" s="3">
        <v>19758</v>
      </c>
      <c r="B367" t="s" s="2">
        <v>25</v>
      </c>
      <c r="C367" t="str" s="8" cm="1">
        <f t="array" ref="C367">IF(B367="M","Married","Single")</f>
        <v>Single</v>
      </c>
      <c r="D367" t="s" s="2">
        <v>13</v>
      </c>
      <c r="E367" t="str" s="8" cm="1">
        <f t="array" ref="E367">IF(D367="M","Male",IF(D367="F","Female","Check"))</f>
        <v>Male</v>
      </c>
      <c r="F367" s="4">
        <v>60000</v>
      </c>
      <c r="G367" t="str" s="8" cm="1">
        <f t="array" ref="G367">IF(F367="","Check","okay")</f>
        <v>okay</v>
      </c>
      <c r="H367" s="3">
        <v>0</v>
      </c>
      <c r="I367" t="s" s="2">
        <v>21</v>
      </c>
      <c r="J367" t="s" s="2">
        <v>16</v>
      </c>
      <c r="K367" t="s" s="2">
        <v>20</v>
      </c>
      <c r="L367" s="3">
        <v>2</v>
      </c>
      <c r="M367" t="s" s="2">
        <v>29</v>
      </c>
      <c r="N367" t="s" s="2">
        <v>35</v>
      </c>
      <c r="O367" s="3">
        <v>29</v>
      </c>
      <c r="P367" t="str" s="8" cm="1">
        <f t="array" ref="P367">IF(O367="","check","Okay")</f>
        <v>Okay</v>
      </c>
      <c r="Q367" t="str" s="8" cm="1">
        <f t="array" ref="Q367">IF(O367&lt;30,"UNDER 30",IF(O367&lt;=50,"30-50","Over 50"))</f>
        <v>UNDER 30</v>
      </c>
      <c r="R367" t="s" s="2">
        <v>20</v>
      </c>
      <c r="S367" s="3" cm="1">
        <f t="array" ref="S367">COUNTIF(A2:A1001,A367)</f>
        <v>1</v>
      </c>
      <c r="T367" t="str" s="8" cm="1">
        <f t="array" ref="T367">IF(ISNUMBER(F367),"Ok","check")</f>
        <v>Ok</v>
      </c>
      <c r="U367" t="str" s="8" cm="1">
        <f t="array" ref="U367">IF(ISNUMBER(O367),"ok","check")</f>
        <v>ok</v>
      </c>
    </row>
    <row r="368" ht="13.55" customHeight="1">
      <c r="A368" s="3">
        <v>13073</v>
      </c>
      <c r="B368" t="s" s="2">
        <v>13</v>
      </c>
      <c r="C368" t="str" s="8" cm="1">
        <f t="array" ref="C368">IF(B368="M","Married","Single")</f>
        <v>Married</v>
      </c>
      <c r="D368" t="s" s="2">
        <v>14</v>
      </c>
      <c r="E368" t="str" s="8" cm="1">
        <f t="array" ref="E368">IF(D368="M","Male",IF(D368="F","Female","Check"))</f>
        <v>Female</v>
      </c>
      <c r="F368" s="4">
        <v>60000</v>
      </c>
      <c r="G368" t="str" s="8" cm="1">
        <f t="array" ref="G368">IF(F368="","Check","okay")</f>
        <v>okay</v>
      </c>
      <c r="H368" s="3">
        <v>0</v>
      </c>
      <c r="I368" t="s" s="2">
        <v>21</v>
      </c>
      <c r="J368" t="s" s="2">
        <v>23</v>
      </c>
      <c r="K368" t="s" s="2">
        <v>17</v>
      </c>
      <c r="L368" s="3">
        <v>2</v>
      </c>
      <c r="M368" t="s" s="2">
        <v>26</v>
      </c>
      <c r="N368" t="s" s="2">
        <v>35</v>
      </c>
      <c r="O368" s="3">
        <v>30</v>
      </c>
      <c r="P368" t="str" s="8" cm="1">
        <f t="array" ref="P368">IF(O368="","check","Okay")</f>
        <v>Okay</v>
      </c>
      <c r="Q368" t="str" s="8" cm="1">
        <f t="array" ref="Q368">IF(O368&lt;30,"UNDER 30",IF(O368&lt;=50,"30-50","Over 50"))</f>
        <v>30-50</v>
      </c>
      <c r="R368" t="s" s="2">
        <v>20</v>
      </c>
      <c r="S368" s="3" cm="1">
        <f t="array" ref="S368">COUNTIF(A2:A1001,A368)</f>
        <v>1</v>
      </c>
      <c r="T368" t="str" s="8" cm="1">
        <f t="array" ref="T368">IF(ISNUMBER(F368),"Ok","check")</f>
        <v>Ok</v>
      </c>
      <c r="U368" t="str" s="8" cm="1">
        <f t="array" ref="U368">IF(ISNUMBER(O368),"ok","check")</f>
        <v>ok</v>
      </c>
    </row>
    <row r="369" ht="13.55" customHeight="1">
      <c r="A369" s="3">
        <v>11699</v>
      </c>
      <c r="B369" t="s" s="2">
        <v>25</v>
      </c>
      <c r="C369" t="str" s="8" cm="1">
        <f t="array" ref="C369">IF(B369="M","Married","Single")</f>
        <v>Single</v>
      </c>
      <c r="D369" t="s" s="2">
        <v>13</v>
      </c>
      <c r="E369" t="str" s="8" cm="1">
        <f t="array" ref="E369">IF(D369="M","Male",IF(D369="F","Female","Check"))</f>
        <v>Male</v>
      </c>
      <c r="F369" s="4">
        <v>60000</v>
      </c>
      <c r="G369" t="str" s="8" cm="1">
        <f t="array" ref="G369">IF(F369="","Check","okay")</f>
        <v>okay</v>
      </c>
      <c r="H369" s="3">
        <v>0</v>
      </c>
      <c r="I369" t="s" s="2">
        <v>15</v>
      </c>
      <c r="J369" t="s" s="2">
        <v>16</v>
      </c>
      <c r="K369" t="s" s="2">
        <v>20</v>
      </c>
      <c r="L369" s="3">
        <v>2</v>
      </c>
      <c r="M369" t="s" s="2">
        <v>18</v>
      </c>
      <c r="N369" t="s" s="2">
        <v>35</v>
      </c>
      <c r="O369" s="3">
        <v>30</v>
      </c>
      <c r="P369" t="str" s="8" cm="1">
        <f t="array" ref="P369">IF(O369="","check","Okay")</f>
        <v>Okay</v>
      </c>
      <c r="Q369" t="str" s="8" cm="1">
        <f t="array" ref="Q369">IF(O369&lt;30,"UNDER 30",IF(O369&lt;=50,"30-50","Over 50"))</f>
        <v>30-50</v>
      </c>
      <c r="R369" t="s" s="2">
        <v>20</v>
      </c>
      <c r="S369" s="3" cm="1">
        <f t="array" ref="S369">COUNTIF(A2:A1001,A369)</f>
        <v>1</v>
      </c>
      <c r="T369" t="str" s="8" cm="1">
        <f t="array" ref="T369">IF(ISNUMBER(F369),"Ok","check")</f>
        <v>Ok</v>
      </c>
      <c r="U369" t="str" s="8" cm="1">
        <f t="array" ref="U369">IF(ISNUMBER(O369),"ok","check")</f>
        <v>ok</v>
      </c>
    </row>
    <row r="370" ht="13.55" customHeight="1">
      <c r="A370" s="3">
        <v>29112</v>
      </c>
      <c r="B370" t="s" s="2">
        <v>25</v>
      </c>
      <c r="C370" t="str" s="8" cm="1">
        <f t="array" ref="C370">IF(B370="M","Married","Single")</f>
        <v>Single</v>
      </c>
      <c r="D370" t="s" s="2">
        <v>13</v>
      </c>
      <c r="E370" t="str" s="8" cm="1">
        <f t="array" ref="E370">IF(D370="M","Male",IF(D370="F","Female","Check"))</f>
        <v>Male</v>
      </c>
      <c r="F370" s="4">
        <v>60000</v>
      </c>
      <c r="G370" t="str" s="8" cm="1">
        <f t="array" ref="G370">IF(F370="","Check","okay")</f>
        <v>okay</v>
      </c>
      <c r="H370" s="3">
        <v>0</v>
      </c>
      <c r="I370" t="s" s="2">
        <v>21</v>
      </c>
      <c r="J370" t="s" s="2">
        <v>23</v>
      </c>
      <c r="K370" t="s" s="2">
        <v>20</v>
      </c>
      <c r="L370" s="3">
        <v>2</v>
      </c>
      <c r="M370" t="s" s="2">
        <v>29</v>
      </c>
      <c r="N370" t="s" s="2">
        <v>35</v>
      </c>
      <c r="O370" s="3">
        <v>30</v>
      </c>
      <c r="P370" t="str" s="8" cm="1">
        <f t="array" ref="P370">IF(O370="","check","Okay")</f>
        <v>Okay</v>
      </c>
      <c r="Q370" t="str" s="8" cm="1">
        <f t="array" ref="Q370">IF(O370&lt;30,"UNDER 30",IF(O370&lt;=50,"30-50","Over 50"))</f>
        <v>30-50</v>
      </c>
      <c r="R370" t="s" s="2">
        <v>20</v>
      </c>
      <c r="S370" s="3" cm="1">
        <f t="array" ref="S370">COUNTIF(A2:A1001,A370)</f>
        <v>1</v>
      </c>
      <c r="T370" t="str" s="8" cm="1">
        <f t="array" ref="T370">IF(ISNUMBER(F370),"Ok","check")</f>
        <v>Ok</v>
      </c>
      <c r="U370" t="str" s="8" cm="1">
        <f t="array" ref="U370">IF(ISNUMBER(O370),"ok","check")</f>
        <v>ok</v>
      </c>
    </row>
    <row r="371" ht="13.55" customHeight="1">
      <c r="A371" s="3">
        <v>26576</v>
      </c>
      <c r="B371" t="s" s="2">
        <v>13</v>
      </c>
      <c r="C371" t="str" s="8" cm="1">
        <f t="array" ref="C371">IF(B371="M","Married","Single")</f>
        <v>Married</v>
      </c>
      <c r="D371" t="s" s="2">
        <v>14</v>
      </c>
      <c r="E371" t="str" s="8" cm="1">
        <f t="array" ref="E371">IF(D371="M","Male",IF(D371="F","Female","Check"))</f>
        <v>Female</v>
      </c>
      <c r="F371" s="4">
        <v>60000</v>
      </c>
      <c r="G371" t="str" s="8" cm="1">
        <f t="array" ref="G371">IF(F371="","Check","okay")</f>
        <v>okay</v>
      </c>
      <c r="H371" s="3">
        <v>0</v>
      </c>
      <c r="I371" t="s" s="2">
        <v>21</v>
      </c>
      <c r="J371" t="s" s="2">
        <v>16</v>
      </c>
      <c r="K371" t="s" s="2">
        <v>17</v>
      </c>
      <c r="L371" s="3">
        <v>2</v>
      </c>
      <c r="M371" t="s" s="2">
        <v>26</v>
      </c>
      <c r="N371" t="s" s="2">
        <v>35</v>
      </c>
      <c r="O371" s="3">
        <v>31</v>
      </c>
      <c r="P371" t="str" s="8" cm="1">
        <f t="array" ref="P371">IF(O371="","check","Okay")</f>
        <v>Okay</v>
      </c>
      <c r="Q371" t="str" s="8" cm="1">
        <f t="array" ref="Q371">IF(O371&lt;30,"UNDER 30",IF(O371&lt;=50,"30-50","Over 50"))</f>
        <v>30-50</v>
      </c>
      <c r="R371" t="s" s="2">
        <v>20</v>
      </c>
      <c r="S371" s="3" cm="1">
        <f t="array" ref="S371">COUNTIF(A2:A1001,A371)</f>
        <v>1</v>
      </c>
      <c r="T371" t="str" s="8" cm="1">
        <f t="array" ref="T371">IF(ISNUMBER(F371),"Ok","check")</f>
        <v>Ok</v>
      </c>
      <c r="U371" t="str" s="8" cm="1">
        <f t="array" ref="U371">IF(ISNUMBER(O371),"ok","check")</f>
        <v>ok</v>
      </c>
    </row>
    <row r="372" ht="13.55" customHeight="1">
      <c r="A372" s="3">
        <v>25954</v>
      </c>
      <c r="B372" t="s" s="2">
        <v>13</v>
      </c>
      <c r="C372" t="str" s="8" cm="1">
        <f t="array" ref="C372">IF(B372="M","Married","Single")</f>
        <v>Married</v>
      </c>
      <c r="D372" t="s" s="2">
        <v>13</v>
      </c>
      <c r="E372" t="str" s="8" cm="1">
        <f t="array" ref="E372">IF(D372="M","Male",IF(D372="F","Female","Check"))</f>
        <v>Male</v>
      </c>
      <c r="F372" s="4">
        <v>60000</v>
      </c>
      <c r="G372" t="str" s="8" cm="1">
        <f t="array" ref="G372">IF(F372="","Check","okay")</f>
        <v>okay</v>
      </c>
      <c r="H372" s="3">
        <v>0</v>
      </c>
      <c r="I372" t="s" s="2">
        <v>21</v>
      </c>
      <c r="J372" t="s" s="2">
        <v>16</v>
      </c>
      <c r="K372" t="s" s="2">
        <v>20</v>
      </c>
      <c r="L372" s="3">
        <v>2</v>
      </c>
      <c r="M372" t="s" s="2">
        <v>29</v>
      </c>
      <c r="N372" t="s" s="2">
        <v>35</v>
      </c>
      <c r="O372" s="3">
        <v>31</v>
      </c>
      <c r="P372" t="str" s="8" cm="1">
        <f t="array" ref="P372">IF(O372="","check","Okay")</f>
        <v>Okay</v>
      </c>
      <c r="Q372" t="str" s="8" cm="1">
        <f t="array" ref="Q372">IF(O372&lt;30,"UNDER 30",IF(O372&lt;=50,"30-50","Over 50"))</f>
        <v>30-50</v>
      </c>
      <c r="R372" t="s" s="2">
        <v>20</v>
      </c>
      <c r="S372" s="3" cm="1">
        <f t="array" ref="S372">COUNTIF(A2:A1001,A372)</f>
        <v>1</v>
      </c>
      <c r="T372" t="str" s="8" cm="1">
        <f t="array" ref="T372">IF(ISNUMBER(F372),"Ok","check")</f>
        <v>Ok</v>
      </c>
      <c r="U372" t="str" s="8" cm="1">
        <f t="array" ref="U372">IF(ISNUMBER(O372),"ok","check")</f>
        <v>ok</v>
      </c>
    </row>
    <row r="373" ht="13.55" customHeight="1">
      <c r="A373" s="3">
        <v>12666</v>
      </c>
      <c r="B373" t="s" s="2">
        <v>25</v>
      </c>
      <c r="C373" t="str" s="8" cm="1">
        <f t="array" ref="C373">IF(B373="M","Married","Single")</f>
        <v>Single</v>
      </c>
      <c r="D373" t="s" s="2">
        <v>13</v>
      </c>
      <c r="E373" t="str" s="8" cm="1">
        <f t="array" ref="E373">IF(D373="M","Male",IF(D373="F","Female","Check"))</f>
        <v>Male</v>
      </c>
      <c r="F373" s="4">
        <v>60000</v>
      </c>
      <c r="G373" t="str" s="8" cm="1">
        <f t="array" ref="G373">IF(F373="","Check","okay")</f>
        <v>okay</v>
      </c>
      <c r="H373" s="3">
        <v>0</v>
      </c>
      <c r="I373" t="s" s="2">
        <v>15</v>
      </c>
      <c r="J373" t="s" s="2">
        <v>23</v>
      </c>
      <c r="K373" t="s" s="2">
        <v>20</v>
      </c>
      <c r="L373" s="3">
        <v>4</v>
      </c>
      <c r="M373" t="s" s="2">
        <v>24</v>
      </c>
      <c r="N373" t="s" s="2">
        <v>27</v>
      </c>
      <c r="O373" s="3">
        <v>31</v>
      </c>
      <c r="P373" t="str" s="8" cm="1">
        <f t="array" ref="P373">IF(O373="","check","Okay")</f>
        <v>Okay</v>
      </c>
      <c r="Q373" t="str" s="8" cm="1">
        <f t="array" ref="Q373">IF(O373&lt;30,"UNDER 30",IF(O373&lt;=50,"30-50","Over 50"))</f>
        <v>30-50</v>
      </c>
      <c r="R373" t="s" s="2">
        <v>20</v>
      </c>
      <c r="S373" s="3" cm="1">
        <f t="array" ref="S373">COUNTIF(A2:A1001,A373)</f>
        <v>1</v>
      </c>
      <c r="T373" t="str" s="8" cm="1">
        <f t="array" ref="T373">IF(ISNUMBER(F373),"Ok","check")</f>
        <v>Ok</v>
      </c>
      <c r="U373" t="str" s="8" cm="1">
        <f t="array" ref="U373">IF(ISNUMBER(O373),"ok","check")</f>
        <v>ok</v>
      </c>
    </row>
    <row r="374" ht="13.55" customHeight="1">
      <c r="A374" s="3">
        <v>24584</v>
      </c>
      <c r="B374" t="s" s="2">
        <v>25</v>
      </c>
      <c r="C374" t="str" s="8" cm="1">
        <f t="array" ref="C374">IF(B374="M","Married","Single")</f>
        <v>Single</v>
      </c>
      <c r="D374" t="s" s="2">
        <v>13</v>
      </c>
      <c r="E374" t="str" s="8" cm="1">
        <f t="array" ref="E374">IF(D374="M","Male",IF(D374="F","Female","Check"))</f>
        <v>Male</v>
      </c>
      <c r="F374" s="4">
        <v>60000</v>
      </c>
      <c r="G374" t="str" s="8" cm="1">
        <f t="array" ref="G374">IF(F374="","Check","okay")</f>
        <v>okay</v>
      </c>
      <c r="H374" s="3">
        <v>0</v>
      </c>
      <c r="I374" t="s" s="2">
        <v>15</v>
      </c>
      <c r="J374" t="s" s="2">
        <v>23</v>
      </c>
      <c r="K374" t="s" s="2">
        <v>20</v>
      </c>
      <c r="L374" s="3">
        <v>3</v>
      </c>
      <c r="M374" t="s" s="2">
        <v>24</v>
      </c>
      <c r="N374" t="s" s="2">
        <v>27</v>
      </c>
      <c r="O374" s="3">
        <v>31</v>
      </c>
      <c r="P374" t="str" s="8" cm="1">
        <f t="array" ref="P374">IF(O374="","check","Okay")</f>
        <v>Okay</v>
      </c>
      <c r="Q374" t="str" s="8" cm="1">
        <f t="array" ref="Q374">IF(O374&lt;30,"UNDER 30",IF(O374&lt;=50,"30-50","Over 50"))</f>
        <v>30-50</v>
      </c>
      <c r="R374" t="s" s="2">
        <v>20</v>
      </c>
      <c r="S374" s="3" cm="1">
        <f t="array" ref="S374">COUNTIF(A2:A1001,A374)</f>
        <v>1</v>
      </c>
      <c r="T374" t="str" s="8" cm="1">
        <f t="array" ref="T374">IF(ISNUMBER(F374),"Ok","check")</f>
        <v>Ok</v>
      </c>
      <c r="U374" t="str" s="8" cm="1">
        <f t="array" ref="U374">IF(ISNUMBER(O374),"ok","check")</f>
        <v>ok</v>
      </c>
    </row>
    <row r="375" ht="13.55" customHeight="1">
      <c r="A375" s="3">
        <v>17519</v>
      </c>
      <c r="B375" t="s" s="2">
        <v>13</v>
      </c>
      <c r="C375" t="str" s="8" cm="1">
        <f t="array" ref="C375">IF(B375="M","Married","Single")</f>
        <v>Married</v>
      </c>
      <c r="D375" t="s" s="2">
        <v>14</v>
      </c>
      <c r="E375" t="str" s="8" cm="1">
        <f t="array" ref="E375">IF(D375="M","Male",IF(D375="F","Female","Check"))</f>
        <v>Female</v>
      </c>
      <c r="F375" s="4">
        <v>60000</v>
      </c>
      <c r="G375" t="str" s="8" cm="1">
        <f t="array" ref="G375">IF(F375="","Check","okay")</f>
        <v>okay</v>
      </c>
      <c r="H375" s="3">
        <v>0</v>
      </c>
      <c r="I375" t="s" s="2">
        <v>21</v>
      </c>
      <c r="J375" t="s" s="2">
        <v>23</v>
      </c>
      <c r="K375" t="s" s="2">
        <v>17</v>
      </c>
      <c r="L375" s="3">
        <v>2</v>
      </c>
      <c r="M375" t="s" s="2">
        <v>26</v>
      </c>
      <c r="N375" t="s" s="2">
        <v>35</v>
      </c>
      <c r="O375" s="3">
        <v>32</v>
      </c>
      <c r="P375" t="str" s="8" cm="1">
        <f t="array" ref="P375">IF(O375="","check","Okay")</f>
        <v>Okay</v>
      </c>
      <c r="Q375" t="str" s="8" cm="1">
        <f t="array" ref="Q375">IF(O375&lt;30,"UNDER 30",IF(O375&lt;=50,"30-50","Over 50"))</f>
        <v>30-50</v>
      </c>
      <c r="R375" t="s" s="2">
        <v>20</v>
      </c>
      <c r="S375" s="3" cm="1">
        <f t="array" ref="S375">COUNTIF(A2:A1001,A375)</f>
        <v>1</v>
      </c>
      <c r="T375" t="str" s="8" cm="1">
        <f t="array" ref="T375">IF(ISNUMBER(F375),"Ok","check")</f>
        <v>Ok</v>
      </c>
      <c r="U375" t="str" s="8" cm="1">
        <f t="array" ref="U375">IF(ISNUMBER(O375),"ok","check")</f>
        <v>ok</v>
      </c>
    </row>
    <row r="376" ht="13.55" customHeight="1">
      <c r="A376" s="3">
        <v>21417</v>
      </c>
      <c r="B376" t="s" s="2">
        <v>25</v>
      </c>
      <c r="C376" t="str" s="8" cm="1">
        <f t="array" ref="C376">IF(B376="M","Married","Single")</f>
        <v>Single</v>
      </c>
      <c r="D376" t="s" s="2">
        <v>14</v>
      </c>
      <c r="E376" t="str" s="8" cm="1">
        <f t="array" ref="E376">IF(D376="M","Male",IF(D376="F","Female","Check"))</f>
        <v>Female</v>
      </c>
      <c r="F376" s="4">
        <v>60000</v>
      </c>
      <c r="G376" t="str" s="8" cm="1">
        <f t="array" ref="G376">IF(F376="","Check","okay")</f>
        <v>okay</v>
      </c>
      <c r="H376" s="3">
        <v>0</v>
      </c>
      <c r="I376" t="s" s="2">
        <v>21</v>
      </c>
      <c r="J376" t="s" s="2">
        <v>23</v>
      </c>
      <c r="K376" t="s" s="2">
        <v>20</v>
      </c>
      <c r="L376" s="3">
        <v>2</v>
      </c>
      <c r="M376" t="s" s="2">
        <v>29</v>
      </c>
      <c r="N376" t="s" s="2">
        <v>35</v>
      </c>
      <c r="O376" s="3">
        <v>32</v>
      </c>
      <c r="P376" t="str" s="8" cm="1">
        <f t="array" ref="P376">IF(O376="","check","Okay")</f>
        <v>Okay</v>
      </c>
      <c r="Q376" t="str" s="8" cm="1">
        <f t="array" ref="Q376">IF(O376&lt;30,"UNDER 30",IF(O376&lt;=50,"30-50","Over 50"))</f>
        <v>30-50</v>
      </c>
      <c r="R376" t="s" s="2">
        <v>17</v>
      </c>
      <c r="S376" s="3" cm="1">
        <f t="array" ref="S376">COUNTIF(A2:A1001,A376)</f>
        <v>1</v>
      </c>
      <c r="T376" t="str" s="8" cm="1">
        <f t="array" ref="T376">IF(ISNUMBER(F376),"Ok","check")</f>
        <v>Ok</v>
      </c>
      <c r="U376" t="str" s="8" cm="1">
        <f t="array" ref="U376">IF(ISNUMBER(O376),"ok","check")</f>
        <v>ok</v>
      </c>
    </row>
    <row r="377" ht="13.55" customHeight="1">
      <c r="A377" s="3">
        <v>16751</v>
      </c>
      <c r="B377" t="s" s="2">
        <v>13</v>
      </c>
      <c r="C377" t="str" s="8" cm="1">
        <f t="array" ref="C377">IF(B377="M","Married","Single")</f>
        <v>Married</v>
      </c>
      <c r="D377" t="s" s="2">
        <v>13</v>
      </c>
      <c r="E377" t="str" s="8" cm="1">
        <f t="array" ref="E377">IF(D377="M","Male",IF(D377="F","Female","Check"))</f>
        <v>Male</v>
      </c>
      <c r="F377" s="4">
        <v>60000</v>
      </c>
      <c r="G377" t="str" s="8" cm="1">
        <f t="array" ref="G377">IF(F377="","Check","okay")</f>
        <v>okay</v>
      </c>
      <c r="H377" s="3">
        <v>0</v>
      </c>
      <c r="I377" t="s" s="2">
        <v>21</v>
      </c>
      <c r="J377" t="s" s="2">
        <v>16</v>
      </c>
      <c r="K377" t="s" s="2">
        <v>17</v>
      </c>
      <c r="L377" s="3">
        <v>1</v>
      </c>
      <c r="M377" t="s" s="2">
        <v>26</v>
      </c>
      <c r="N377" t="s" s="2">
        <v>35</v>
      </c>
      <c r="O377" s="3">
        <v>32</v>
      </c>
      <c r="P377" t="str" s="8" cm="1">
        <f t="array" ref="P377">IF(O377="","check","Okay")</f>
        <v>Okay</v>
      </c>
      <c r="Q377" t="str" s="8" cm="1">
        <f t="array" ref="Q377">IF(O377&lt;30,"UNDER 30",IF(O377&lt;=50,"30-50","Over 50"))</f>
        <v>30-50</v>
      </c>
      <c r="R377" t="s" s="2">
        <v>17</v>
      </c>
      <c r="S377" s="3" cm="1">
        <f t="array" ref="S377">COUNTIF(A2:A1001,A377)</f>
        <v>1</v>
      </c>
      <c r="T377" t="str" s="8" cm="1">
        <f t="array" ref="T377">IF(ISNUMBER(F377),"Ok","check")</f>
        <v>Ok</v>
      </c>
      <c r="U377" t="str" s="8" cm="1">
        <f t="array" ref="U377">IF(ISNUMBER(O377),"ok","check")</f>
        <v>ok</v>
      </c>
    </row>
    <row r="378" ht="13.55" customHeight="1">
      <c r="A378" s="3">
        <v>22211</v>
      </c>
      <c r="B378" t="s" s="2">
        <v>13</v>
      </c>
      <c r="C378" t="str" s="8" cm="1">
        <f t="array" ref="C378">IF(B378="M","Married","Single")</f>
        <v>Married</v>
      </c>
      <c r="D378" t="s" s="2">
        <v>13</v>
      </c>
      <c r="E378" t="str" s="8" cm="1">
        <f t="array" ref="E378">IF(D378="M","Male",IF(D378="F","Female","Check"))</f>
        <v>Male</v>
      </c>
      <c r="F378" s="4">
        <v>60000</v>
      </c>
      <c r="G378" t="str" s="8" cm="1">
        <f t="array" ref="G378">IF(F378="","Check","okay")</f>
        <v>okay</v>
      </c>
      <c r="H378" s="3">
        <v>0</v>
      </c>
      <c r="I378" t="s" s="2">
        <v>21</v>
      </c>
      <c r="J378" t="s" s="2">
        <v>23</v>
      </c>
      <c r="K378" t="s" s="2">
        <v>17</v>
      </c>
      <c r="L378" s="3">
        <v>2</v>
      </c>
      <c r="M378" t="s" s="2">
        <v>26</v>
      </c>
      <c r="N378" t="s" s="2">
        <v>35</v>
      </c>
      <c r="O378" s="3">
        <v>32</v>
      </c>
      <c r="P378" t="str" s="8" cm="1">
        <f t="array" ref="P378">IF(O378="","check","Okay")</f>
        <v>Okay</v>
      </c>
      <c r="Q378" t="str" s="8" cm="1">
        <f t="array" ref="Q378">IF(O378&lt;30,"UNDER 30",IF(O378&lt;=50,"30-50","Over 50"))</f>
        <v>30-50</v>
      </c>
      <c r="R378" t="s" s="2">
        <v>20</v>
      </c>
      <c r="S378" s="3" cm="1">
        <f t="array" ref="S378">COUNTIF(A2:A1001,A378)</f>
        <v>1</v>
      </c>
      <c r="T378" t="str" s="8" cm="1">
        <f t="array" ref="T378">IF(ISNUMBER(F378),"Ok","check")</f>
        <v>Ok</v>
      </c>
      <c r="U378" t="str" s="8" cm="1">
        <f t="array" ref="U378">IF(ISNUMBER(O378),"ok","check")</f>
        <v>ok</v>
      </c>
    </row>
    <row r="379" ht="13.55" customHeight="1">
      <c r="A379" s="3">
        <v>23358</v>
      </c>
      <c r="B379" t="s" s="2">
        <v>13</v>
      </c>
      <c r="C379" t="str" s="8" cm="1">
        <f t="array" ref="C379">IF(B379="M","Married","Single")</f>
        <v>Married</v>
      </c>
      <c r="D379" t="s" s="2">
        <v>13</v>
      </c>
      <c r="E379" t="str" s="8" cm="1">
        <f t="array" ref="E379">IF(D379="M","Male",IF(D379="F","Female","Check"))</f>
        <v>Male</v>
      </c>
      <c r="F379" s="4">
        <v>60000</v>
      </c>
      <c r="G379" t="str" s="8" cm="1">
        <f t="array" ref="G379">IF(F379="","Check","okay")</f>
        <v>okay</v>
      </c>
      <c r="H379" s="3">
        <v>0</v>
      </c>
      <c r="I379" t="s" s="2">
        <v>30</v>
      </c>
      <c r="J379" t="s" s="2">
        <v>23</v>
      </c>
      <c r="K379" t="s" s="2">
        <v>17</v>
      </c>
      <c r="L379" s="3">
        <v>2</v>
      </c>
      <c r="M379" t="s" s="2">
        <v>26</v>
      </c>
      <c r="N379" t="s" s="2">
        <v>35</v>
      </c>
      <c r="O379" s="3">
        <v>32</v>
      </c>
      <c r="P379" t="str" s="8" cm="1">
        <f t="array" ref="P379">IF(O379="","check","Okay")</f>
        <v>Okay</v>
      </c>
      <c r="Q379" t="str" s="8" cm="1">
        <f t="array" ref="Q379">IF(O379&lt;30,"UNDER 30",IF(O379&lt;=50,"30-50","Over 50"))</f>
        <v>30-50</v>
      </c>
      <c r="R379" t="s" s="2">
        <v>17</v>
      </c>
      <c r="S379" s="3" cm="1">
        <f t="array" ref="S379">COUNTIF(A2:A1001,A379)</f>
        <v>1</v>
      </c>
      <c r="T379" t="str" s="8" cm="1">
        <f t="array" ref="T379">IF(ISNUMBER(F379),"Ok","check")</f>
        <v>Ok</v>
      </c>
      <c r="U379" t="str" s="8" cm="1">
        <f t="array" ref="U379">IF(ISNUMBER(O379),"ok","check")</f>
        <v>ok</v>
      </c>
    </row>
    <row r="380" ht="13.55" customHeight="1">
      <c r="A380" s="3">
        <v>14284</v>
      </c>
      <c r="B380" t="s" s="2">
        <v>25</v>
      </c>
      <c r="C380" t="str" s="8" cm="1">
        <f t="array" ref="C380">IF(B380="M","Married","Single")</f>
        <v>Single</v>
      </c>
      <c r="D380" t="s" s="2">
        <v>13</v>
      </c>
      <c r="E380" t="str" s="8" cm="1">
        <f t="array" ref="E380">IF(D380="M","Male",IF(D380="F","Female","Check"))</f>
        <v>Male</v>
      </c>
      <c r="F380" s="4">
        <v>60000</v>
      </c>
      <c r="G380" t="str" s="8" cm="1">
        <f t="array" ref="G380">IF(F380="","Check","okay")</f>
        <v>okay</v>
      </c>
      <c r="H380" s="3">
        <v>0</v>
      </c>
      <c r="I380" t="s" s="2">
        <v>21</v>
      </c>
      <c r="J380" t="s" s="2">
        <v>23</v>
      </c>
      <c r="K380" t="s" s="2">
        <v>20</v>
      </c>
      <c r="L380" s="3">
        <v>2</v>
      </c>
      <c r="M380" t="s" s="2">
        <v>29</v>
      </c>
      <c r="N380" t="s" s="2">
        <v>35</v>
      </c>
      <c r="O380" s="3">
        <v>32</v>
      </c>
      <c r="P380" t="str" s="8" cm="1">
        <f t="array" ref="P380">IF(O380="","check","Okay")</f>
        <v>Okay</v>
      </c>
      <c r="Q380" t="str" s="8" cm="1">
        <f t="array" ref="Q380">IF(O380&lt;30,"UNDER 30",IF(O380&lt;=50,"30-50","Over 50"))</f>
        <v>30-50</v>
      </c>
      <c r="R380" t="s" s="2">
        <v>17</v>
      </c>
      <c r="S380" s="3" cm="1">
        <f t="array" ref="S380">COUNTIF(A2:A1001,A380)</f>
        <v>1</v>
      </c>
      <c r="T380" t="str" s="8" cm="1">
        <f t="array" ref="T380">IF(ISNUMBER(F380),"Ok","check")</f>
        <v>Ok</v>
      </c>
      <c r="U380" t="str" s="8" cm="1">
        <f t="array" ref="U380">IF(ISNUMBER(O380),"ok","check")</f>
        <v>ok</v>
      </c>
    </row>
    <row r="381" ht="13.55" customHeight="1">
      <c r="A381" s="3">
        <v>11165</v>
      </c>
      <c r="B381" t="s" s="2">
        <v>13</v>
      </c>
      <c r="C381" t="str" s="8" cm="1">
        <f t="array" ref="C381">IF(B381="M","Married","Single")</f>
        <v>Married</v>
      </c>
      <c r="D381" t="s" s="2">
        <v>14</v>
      </c>
      <c r="E381" t="str" s="8" cm="1">
        <f t="array" ref="E381">IF(D381="M","Male",IF(D381="F","Female","Check"))</f>
        <v>Female</v>
      </c>
      <c r="F381" s="4">
        <v>60000</v>
      </c>
      <c r="G381" t="str" s="8" cm="1">
        <f t="array" ref="G381">IF(F381="","Check","okay")</f>
        <v>okay</v>
      </c>
      <c r="H381" s="3">
        <v>0</v>
      </c>
      <c r="I381" t="s" s="2">
        <v>21</v>
      </c>
      <c r="J381" t="s" s="2">
        <v>16</v>
      </c>
      <c r="K381" t="s" s="2">
        <v>20</v>
      </c>
      <c r="L381" s="3">
        <v>1</v>
      </c>
      <c r="M381" t="s" s="2">
        <v>29</v>
      </c>
      <c r="N381" t="s" s="2">
        <v>35</v>
      </c>
      <c r="O381" s="3">
        <v>33</v>
      </c>
      <c r="P381" t="str" s="8" cm="1">
        <f t="array" ref="P381">IF(O381="","check","Okay")</f>
        <v>Okay</v>
      </c>
      <c r="Q381" t="str" s="8" cm="1">
        <f t="array" ref="Q381">IF(O381&lt;30,"UNDER 30",IF(O381&lt;=50,"30-50","Over 50"))</f>
        <v>30-50</v>
      </c>
      <c r="R381" t="s" s="2">
        <v>20</v>
      </c>
      <c r="S381" s="3" cm="1">
        <f t="array" ref="S381">COUNTIF(A2:A1001,A381)</f>
        <v>1</v>
      </c>
      <c r="T381" t="str" s="8" cm="1">
        <f t="array" ref="T381">IF(ISNUMBER(F381),"Ok","check")</f>
        <v>Ok</v>
      </c>
      <c r="U381" t="str" s="8" cm="1">
        <f t="array" ref="U381">IF(ISNUMBER(O381),"ok","check")</f>
        <v>ok</v>
      </c>
    </row>
    <row r="382" ht="13.55" customHeight="1">
      <c r="A382" s="3">
        <v>20296</v>
      </c>
      <c r="B382" t="s" s="2">
        <v>25</v>
      </c>
      <c r="C382" t="str" s="8" cm="1">
        <f t="array" ref="C382">IF(B382="M","Married","Single")</f>
        <v>Single</v>
      </c>
      <c r="D382" t="s" s="2">
        <v>14</v>
      </c>
      <c r="E382" t="str" s="8" cm="1">
        <f t="array" ref="E382">IF(D382="M","Male",IF(D382="F","Female","Check"))</f>
        <v>Female</v>
      </c>
      <c r="F382" s="4">
        <v>60000</v>
      </c>
      <c r="G382" t="str" s="8" cm="1">
        <f t="array" ref="G382">IF(F382="","Check","okay")</f>
        <v>okay</v>
      </c>
      <c r="H382" s="3">
        <v>0</v>
      </c>
      <c r="I382" t="s" s="2">
        <v>21</v>
      </c>
      <c r="J382" t="s" s="2">
        <v>16</v>
      </c>
      <c r="K382" t="s" s="2">
        <v>20</v>
      </c>
      <c r="L382" s="3">
        <v>1</v>
      </c>
      <c r="M382" t="s" s="2">
        <v>29</v>
      </c>
      <c r="N382" t="s" s="2">
        <v>35</v>
      </c>
      <c r="O382" s="3">
        <v>33</v>
      </c>
      <c r="P382" t="str" s="8" cm="1">
        <f t="array" ref="P382">IF(O382="","check","Okay")</f>
        <v>Okay</v>
      </c>
      <c r="Q382" t="str" s="8" cm="1">
        <f t="array" ref="Q382">IF(O382&lt;30,"UNDER 30",IF(O382&lt;=50,"30-50","Over 50"))</f>
        <v>30-50</v>
      </c>
      <c r="R382" t="s" s="2">
        <v>17</v>
      </c>
      <c r="S382" s="3" cm="1">
        <f t="array" ref="S382">COUNTIF(A2:A1001,A382)</f>
        <v>1</v>
      </c>
      <c r="T382" t="str" s="8" cm="1">
        <f t="array" ref="T382">IF(ISNUMBER(F382),"Ok","check")</f>
        <v>Ok</v>
      </c>
      <c r="U382" t="str" s="8" cm="1">
        <f t="array" ref="U382">IF(ISNUMBER(O382),"ok","check")</f>
        <v>ok</v>
      </c>
    </row>
    <row r="383" ht="13.55" customHeight="1">
      <c r="A383" s="3">
        <v>16773</v>
      </c>
      <c r="B383" t="s" s="2">
        <v>13</v>
      </c>
      <c r="C383" t="str" s="8" cm="1">
        <f t="array" ref="C383">IF(B383="M","Married","Single")</f>
        <v>Married</v>
      </c>
      <c r="D383" t="s" s="2">
        <v>13</v>
      </c>
      <c r="E383" t="str" s="8" cm="1">
        <f t="array" ref="E383">IF(D383="M","Male",IF(D383="F","Female","Check"))</f>
        <v>Male</v>
      </c>
      <c r="F383" s="4">
        <v>60000</v>
      </c>
      <c r="G383" t="str" s="8" cm="1">
        <f t="array" ref="G383">IF(F383="","Check","okay")</f>
        <v>okay</v>
      </c>
      <c r="H383" s="3">
        <v>1</v>
      </c>
      <c r="I383" t="s" s="2">
        <v>34</v>
      </c>
      <c r="J383" t="s" s="2">
        <v>16</v>
      </c>
      <c r="K383" t="s" s="2">
        <v>17</v>
      </c>
      <c r="L383" s="3">
        <v>0</v>
      </c>
      <c r="M383" t="s" s="2">
        <v>18</v>
      </c>
      <c r="N383" t="s" s="2">
        <v>35</v>
      </c>
      <c r="O383" s="3">
        <v>33</v>
      </c>
      <c r="P383" t="str" s="8" cm="1">
        <f t="array" ref="P383">IF(O383="","check","Okay")</f>
        <v>Okay</v>
      </c>
      <c r="Q383" t="str" s="8" cm="1">
        <f t="array" ref="Q383">IF(O383&lt;30,"UNDER 30",IF(O383&lt;=50,"30-50","Over 50"))</f>
        <v>30-50</v>
      </c>
      <c r="R383" t="s" s="2">
        <v>20</v>
      </c>
      <c r="S383" s="3" cm="1">
        <f t="array" ref="S383">COUNTIF(A2:A1001,A383)</f>
        <v>1</v>
      </c>
      <c r="T383" t="str" s="8" cm="1">
        <f t="array" ref="T383">IF(ISNUMBER(F383),"Ok","check")</f>
        <v>Ok</v>
      </c>
      <c r="U383" t="str" s="8" cm="1">
        <f t="array" ref="U383">IF(ISNUMBER(O383),"ok","check")</f>
        <v>ok</v>
      </c>
    </row>
    <row r="384" ht="13.55" customHeight="1">
      <c r="A384" s="3">
        <v>26582</v>
      </c>
      <c r="B384" t="s" s="2">
        <v>13</v>
      </c>
      <c r="C384" t="str" s="8" cm="1">
        <f t="array" ref="C384">IF(B384="M","Married","Single")</f>
        <v>Married</v>
      </c>
      <c r="D384" t="s" s="2">
        <v>13</v>
      </c>
      <c r="E384" t="str" s="8" cm="1">
        <f t="array" ref="E384">IF(D384="M","Male",IF(D384="F","Female","Check"))</f>
        <v>Male</v>
      </c>
      <c r="F384" s="4">
        <v>60000</v>
      </c>
      <c r="G384" t="str" s="8" cm="1">
        <f t="array" ref="G384">IF(F384="","Check","okay")</f>
        <v>okay</v>
      </c>
      <c r="H384" s="3">
        <v>0</v>
      </c>
      <c r="I384" t="s" s="2">
        <v>21</v>
      </c>
      <c r="J384" t="s" s="2">
        <v>16</v>
      </c>
      <c r="K384" t="s" s="2">
        <v>17</v>
      </c>
      <c r="L384" s="3">
        <v>2</v>
      </c>
      <c r="M384" t="s" s="2">
        <v>26</v>
      </c>
      <c r="N384" t="s" s="2">
        <v>35</v>
      </c>
      <c r="O384" s="3">
        <v>33</v>
      </c>
      <c r="P384" t="str" s="8" cm="1">
        <f t="array" ref="P384">IF(O384="","check","Okay")</f>
        <v>Okay</v>
      </c>
      <c r="Q384" t="str" s="8" cm="1">
        <f t="array" ref="Q384">IF(O384&lt;30,"UNDER 30",IF(O384&lt;=50,"30-50","Over 50"))</f>
        <v>30-50</v>
      </c>
      <c r="R384" t="s" s="2">
        <v>17</v>
      </c>
      <c r="S384" s="3" cm="1">
        <f t="array" ref="S384">COUNTIF(A2:A1001,A384)</f>
        <v>1</v>
      </c>
      <c r="T384" t="str" s="8" cm="1">
        <f t="array" ref="T384">IF(ISNUMBER(F384),"Ok","check")</f>
        <v>Ok</v>
      </c>
      <c r="U384" t="str" s="8" cm="1">
        <f t="array" ref="U384">IF(ISNUMBER(O384),"ok","check")</f>
        <v>ok</v>
      </c>
    </row>
    <row r="385" ht="13.55" customHeight="1">
      <c r="A385" s="3">
        <v>11783</v>
      </c>
      <c r="B385" t="s" s="2">
        <v>13</v>
      </c>
      <c r="C385" t="str" s="8" cm="1">
        <f t="array" ref="C385">IF(B385="M","Married","Single")</f>
        <v>Married</v>
      </c>
      <c r="D385" t="s" s="2">
        <v>14</v>
      </c>
      <c r="E385" t="str" s="8" cm="1">
        <f t="array" ref="E385">IF(D385="M","Male",IF(D385="F","Female","Check"))</f>
        <v>Female</v>
      </c>
      <c r="F385" s="4">
        <v>60000</v>
      </c>
      <c r="G385" t="str" s="8" cm="1">
        <f t="array" ref="G385">IF(F385="","Check","okay")</f>
        <v>okay</v>
      </c>
      <c r="H385" s="3">
        <v>1</v>
      </c>
      <c r="I385" t="s" s="2">
        <v>34</v>
      </c>
      <c r="J385" t="s" s="2">
        <v>16</v>
      </c>
      <c r="K385" t="s" s="2">
        <v>17</v>
      </c>
      <c r="L385" s="3">
        <v>0</v>
      </c>
      <c r="M385" t="s" s="2">
        <v>18</v>
      </c>
      <c r="N385" t="s" s="2">
        <v>35</v>
      </c>
      <c r="O385" s="3">
        <v>34</v>
      </c>
      <c r="P385" t="str" s="8" cm="1">
        <f t="array" ref="P385">IF(O385="","check","Okay")</f>
        <v>Okay</v>
      </c>
      <c r="Q385" t="str" s="8" cm="1">
        <f t="array" ref="Q385">IF(O385&lt;30,"UNDER 30",IF(O385&lt;=50,"30-50","Over 50"))</f>
        <v>30-50</v>
      </c>
      <c r="R385" t="s" s="2">
        <v>20</v>
      </c>
      <c r="S385" s="3" cm="1">
        <f t="array" ref="S385">COUNTIF(A2:A1001,A385)</f>
        <v>1</v>
      </c>
      <c r="T385" t="str" s="8" cm="1">
        <f t="array" ref="T385">IF(ISNUMBER(F385),"Ok","check")</f>
        <v>Ok</v>
      </c>
      <c r="U385" t="str" s="8" cm="1">
        <f t="array" ref="U385">IF(ISNUMBER(O385),"ok","check")</f>
        <v>ok</v>
      </c>
    </row>
    <row r="386" ht="13.55" customHeight="1">
      <c r="A386" s="3">
        <v>21587</v>
      </c>
      <c r="B386" t="s" s="2">
        <v>13</v>
      </c>
      <c r="C386" t="str" s="8" cm="1">
        <f t="array" ref="C386">IF(B386="M","Married","Single")</f>
        <v>Married</v>
      </c>
      <c r="D386" t="s" s="2">
        <v>14</v>
      </c>
      <c r="E386" t="str" s="8" cm="1">
        <f t="array" ref="E386">IF(D386="M","Male",IF(D386="F","Female","Check"))</f>
        <v>Female</v>
      </c>
      <c r="F386" s="4">
        <v>60000</v>
      </c>
      <c r="G386" t="str" s="8" cm="1">
        <f t="array" ref="G386">IF(F386="","Check","okay")</f>
        <v>okay</v>
      </c>
      <c r="H386" s="3">
        <v>1</v>
      </c>
      <c r="I386" t="s" s="2">
        <v>34</v>
      </c>
      <c r="J386" t="s" s="2">
        <v>16</v>
      </c>
      <c r="K386" t="s" s="2">
        <v>17</v>
      </c>
      <c r="L386" s="3">
        <v>0</v>
      </c>
      <c r="M386" t="s" s="2">
        <v>24</v>
      </c>
      <c r="N386" t="s" s="2">
        <v>35</v>
      </c>
      <c r="O386" s="3">
        <v>34</v>
      </c>
      <c r="P386" t="str" s="8" cm="1">
        <f t="array" ref="P386">IF(O386="","check","Okay")</f>
        <v>Okay</v>
      </c>
      <c r="Q386" t="str" s="8" cm="1">
        <f t="array" ref="Q386">IF(O386&lt;30,"UNDER 30",IF(O386&lt;=50,"30-50","Over 50"))</f>
        <v>30-50</v>
      </c>
      <c r="R386" t="s" s="2">
        <v>17</v>
      </c>
      <c r="S386" s="3" cm="1">
        <f t="array" ref="S386">COUNTIF(A2:A1001,A386)</f>
        <v>1</v>
      </c>
      <c r="T386" t="str" s="8" cm="1">
        <f t="array" ref="T386">IF(ISNUMBER(F386),"Ok","check")</f>
        <v>Ok</v>
      </c>
      <c r="U386" t="str" s="8" cm="1">
        <f t="array" ref="U386">IF(ISNUMBER(O386),"ok","check")</f>
        <v>ok</v>
      </c>
    </row>
    <row r="387" ht="13.55" customHeight="1">
      <c r="A387" s="3">
        <v>25394</v>
      </c>
      <c r="B387" t="s" s="2">
        <v>13</v>
      </c>
      <c r="C387" t="str" s="8" cm="1">
        <f t="array" ref="C387">IF(B387="M","Married","Single")</f>
        <v>Married</v>
      </c>
      <c r="D387" t="s" s="2">
        <v>13</v>
      </c>
      <c r="E387" t="str" s="8" cm="1">
        <f t="array" ref="E387">IF(D387="M","Male",IF(D387="F","Female","Check"))</f>
        <v>Male</v>
      </c>
      <c r="F387" s="4">
        <v>60000</v>
      </c>
      <c r="G387" t="str" s="8" cm="1">
        <f t="array" ref="G387">IF(F387="","Check","okay")</f>
        <v>okay</v>
      </c>
      <c r="H387" s="3">
        <v>1</v>
      </c>
      <c r="I387" t="s" s="2">
        <v>34</v>
      </c>
      <c r="J387" t="s" s="2">
        <v>23</v>
      </c>
      <c r="K387" t="s" s="2">
        <v>17</v>
      </c>
      <c r="L387" s="3">
        <v>0</v>
      </c>
      <c r="M387" t="s" s="2">
        <v>24</v>
      </c>
      <c r="N387" t="s" s="2">
        <v>35</v>
      </c>
      <c r="O387" s="3">
        <v>34</v>
      </c>
      <c r="P387" t="str" s="8" cm="1">
        <f t="array" ref="P387">IF(O387="","check","Okay")</f>
        <v>Okay</v>
      </c>
      <c r="Q387" t="str" s="8" cm="1">
        <f t="array" ref="Q387">IF(O387&lt;30,"UNDER 30",IF(O387&lt;=50,"30-50","Over 50"))</f>
        <v>30-50</v>
      </c>
      <c r="R387" t="s" s="2">
        <v>17</v>
      </c>
      <c r="S387" s="3" cm="1">
        <f t="array" ref="S387">COUNTIF(A2:A1001,A387)</f>
        <v>1</v>
      </c>
      <c r="T387" t="str" s="8" cm="1">
        <f t="array" ref="T387">IF(ISNUMBER(F387),"Ok","check")</f>
        <v>Ok</v>
      </c>
      <c r="U387" t="str" s="8" cm="1">
        <f t="array" ref="U387">IF(ISNUMBER(O387),"ok","check")</f>
        <v>ok</v>
      </c>
    </row>
    <row r="388" ht="13.55" customHeight="1">
      <c r="A388" s="3">
        <v>23158</v>
      </c>
      <c r="B388" t="s" s="2">
        <v>13</v>
      </c>
      <c r="C388" t="str" s="8" cm="1">
        <f t="array" ref="C388">IF(B388="M","Married","Single")</f>
        <v>Married</v>
      </c>
      <c r="D388" t="s" s="2">
        <v>14</v>
      </c>
      <c r="E388" t="str" s="8" cm="1">
        <f t="array" ref="E388">IF(D388="M","Male",IF(D388="F","Female","Check"))</f>
        <v>Female</v>
      </c>
      <c r="F388" s="4">
        <v>60000</v>
      </c>
      <c r="G388" t="str" s="8" cm="1">
        <f t="array" ref="G388">IF(F388="","Check","okay")</f>
        <v>okay</v>
      </c>
      <c r="H388" s="3">
        <v>1</v>
      </c>
      <c r="I388" t="s" s="2">
        <v>34</v>
      </c>
      <c r="J388" t="s" s="2">
        <v>23</v>
      </c>
      <c r="K388" t="s" s="2">
        <v>20</v>
      </c>
      <c r="L388" s="3">
        <v>0</v>
      </c>
      <c r="M388" t="s" s="2">
        <v>18</v>
      </c>
      <c r="N388" t="s" s="2">
        <v>35</v>
      </c>
      <c r="O388" s="3">
        <v>35</v>
      </c>
      <c r="P388" t="str" s="8" cm="1">
        <f t="array" ref="P388">IF(O388="","check","Okay")</f>
        <v>Okay</v>
      </c>
      <c r="Q388" t="str" s="8" cm="1">
        <f t="array" ref="Q388">IF(O388&lt;30,"UNDER 30",IF(O388&lt;=50,"30-50","Over 50"))</f>
        <v>30-50</v>
      </c>
      <c r="R388" t="s" s="2">
        <v>17</v>
      </c>
      <c r="S388" s="3" cm="1">
        <f t="array" ref="S388">COUNTIF(A2:A1001,A388)</f>
        <v>1</v>
      </c>
      <c r="T388" t="str" s="8" cm="1">
        <f t="array" ref="T388">IF(ISNUMBER(F388),"Ok","check")</f>
        <v>Ok</v>
      </c>
      <c r="U388" t="str" s="8" cm="1">
        <f t="array" ref="U388">IF(ISNUMBER(O388),"ok","check")</f>
        <v>ok</v>
      </c>
    </row>
    <row r="389" ht="13.55" customHeight="1">
      <c r="A389" s="3">
        <v>15292</v>
      </c>
      <c r="B389" t="s" s="2">
        <v>25</v>
      </c>
      <c r="C389" t="str" s="8" cm="1">
        <f t="array" ref="C389">IF(B389="M","Married","Single")</f>
        <v>Single</v>
      </c>
      <c r="D389" t="s" s="2">
        <v>14</v>
      </c>
      <c r="E389" t="str" s="8" cm="1">
        <f t="array" ref="E389">IF(D389="M","Male",IF(D389="F","Female","Check"))</f>
        <v>Female</v>
      </c>
      <c r="F389" s="4">
        <v>60000</v>
      </c>
      <c r="G389" t="str" s="8" cm="1">
        <f t="array" ref="G389">IF(F389="","Check","okay")</f>
        <v>okay</v>
      </c>
      <c r="H389" s="3">
        <v>1</v>
      </c>
      <c r="I389" t="s" s="2">
        <v>34</v>
      </c>
      <c r="J389" t="s" s="2">
        <v>16</v>
      </c>
      <c r="K389" t="s" s="2">
        <v>17</v>
      </c>
      <c r="L389" s="3">
        <v>0</v>
      </c>
      <c r="M389" t="s" s="2">
        <v>29</v>
      </c>
      <c r="N389" t="s" s="2">
        <v>35</v>
      </c>
      <c r="O389" s="3">
        <v>35</v>
      </c>
      <c r="P389" t="str" s="8" cm="1">
        <f t="array" ref="P389">IF(O389="","check","Okay")</f>
        <v>Okay</v>
      </c>
      <c r="Q389" t="str" s="8" cm="1">
        <f t="array" ref="Q389">IF(O389&lt;30,"UNDER 30",IF(O389&lt;=50,"30-50","Over 50"))</f>
        <v>30-50</v>
      </c>
      <c r="R389" t="s" s="2">
        <v>20</v>
      </c>
      <c r="S389" s="3" cm="1">
        <f t="array" ref="S389">COUNTIF(A2:A1001,A389)</f>
        <v>1</v>
      </c>
      <c r="T389" t="str" s="8" cm="1">
        <f t="array" ref="T389">IF(ISNUMBER(F389),"Ok","check")</f>
        <v>Ok</v>
      </c>
      <c r="U389" t="str" s="8" cm="1">
        <f t="array" ref="U389">IF(ISNUMBER(O389),"ok","check")</f>
        <v>ok</v>
      </c>
    </row>
    <row r="390" ht="13.55" customHeight="1">
      <c r="A390" s="3">
        <v>14569</v>
      </c>
      <c r="B390" t="s" s="2">
        <v>13</v>
      </c>
      <c r="C390" t="str" s="8" cm="1">
        <f t="array" ref="C390">IF(B390="M","Married","Single")</f>
        <v>Married</v>
      </c>
      <c r="D390" t="s" s="2">
        <v>13</v>
      </c>
      <c r="E390" t="str" s="8" cm="1">
        <f t="array" ref="E390">IF(D390="M","Male",IF(D390="F","Female","Check"))</f>
        <v>Male</v>
      </c>
      <c r="F390" s="4">
        <v>60000</v>
      </c>
      <c r="G390" t="str" s="8" cm="1">
        <f t="array" ref="G390">IF(F390="","Check","okay")</f>
        <v>okay</v>
      </c>
      <c r="H390" s="3">
        <v>1</v>
      </c>
      <c r="I390" t="s" s="2">
        <v>34</v>
      </c>
      <c r="J390" t="s" s="2">
        <v>23</v>
      </c>
      <c r="K390" t="s" s="2">
        <v>17</v>
      </c>
      <c r="L390" s="3">
        <v>0</v>
      </c>
      <c r="M390" t="s" s="2">
        <v>18</v>
      </c>
      <c r="N390" t="s" s="2">
        <v>35</v>
      </c>
      <c r="O390" s="3">
        <v>35</v>
      </c>
      <c r="P390" t="str" s="8" cm="1">
        <f t="array" ref="P390">IF(O390="","check","Okay")</f>
        <v>Okay</v>
      </c>
      <c r="Q390" t="str" s="8" cm="1">
        <f t="array" ref="Q390">IF(O390&lt;30,"UNDER 30",IF(O390&lt;=50,"30-50","Over 50"))</f>
        <v>30-50</v>
      </c>
      <c r="R390" t="s" s="2">
        <v>20</v>
      </c>
      <c r="S390" s="3" cm="1">
        <f t="array" ref="S390">COUNTIF(A2:A1001,A390)</f>
        <v>1</v>
      </c>
      <c r="T390" t="str" s="8" cm="1">
        <f t="array" ref="T390">IF(ISNUMBER(F390),"Ok","check")</f>
        <v>Ok</v>
      </c>
      <c r="U390" t="str" s="8" cm="1">
        <f t="array" ref="U390">IF(ISNUMBER(O390),"ok","check")</f>
        <v>ok</v>
      </c>
    </row>
    <row r="391" ht="13.55" customHeight="1">
      <c r="A391" s="3">
        <v>20000</v>
      </c>
      <c r="B391" t="s" s="2">
        <v>13</v>
      </c>
      <c r="C391" t="str" s="8" cm="1">
        <f t="array" ref="C391">IF(B391="M","Married","Single")</f>
        <v>Married</v>
      </c>
      <c r="D391" t="s" s="2">
        <v>13</v>
      </c>
      <c r="E391" t="str" s="8" cm="1">
        <f t="array" ref="E391">IF(D391="M","Male",IF(D391="F","Female","Check"))</f>
        <v>Male</v>
      </c>
      <c r="F391" s="4">
        <v>60000</v>
      </c>
      <c r="G391" t="str" s="8" cm="1">
        <f t="array" ref="G391">IF(F391="","Check","okay")</f>
        <v>okay</v>
      </c>
      <c r="H391" s="3">
        <v>1</v>
      </c>
      <c r="I391" t="s" s="2">
        <v>34</v>
      </c>
      <c r="J391" t="s" s="2">
        <v>23</v>
      </c>
      <c r="K391" t="s" s="2">
        <v>17</v>
      </c>
      <c r="L391" s="3">
        <v>0</v>
      </c>
      <c r="M391" t="s" s="2">
        <v>18</v>
      </c>
      <c r="N391" t="s" s="2">
        <v>35</v>
      </c>
      <c r="O391" s="3">
        <v>35</v>
      </c>
      <c r="P391" t="str" s="8" cm="1">
        <f t="array" ref="P391">IF(O391="","check","Okay")</f>
        <v>Okay</v>
      </c>
      <c r="Q391" t="str" s="8" cm="1">
        <f t="array" ref="Q391">IF(O391&lt;30,"UNDER 30",IF(O391&lt;=50,"30-50","Over 50"))</f>
        <v>30-50</v>
      </c>
      <c r="R391" t="s" s="2">
        <v>17</v>
      </c>
      <c r="S391" s="3" cm="1">
        <f t="array" ref="S391">COUNTIF(A2:A1001,A391)</f>
        <v>1</v>
      </c>
      <c r="T391" t="str" s="8" cm="1">
        <f t="array" ref="T391">IF(ISNUMBER(F391),"Ok","check")</f>
        <v>Ok</v>
      </c>
      <c r="U391" t="str" s="8" cm="1">
        <f t="array" ref="U391">IF(ISNUMBER(O391),"ok","check")</f>
        <v>ok</v>
      </c>
    </row>
    <row r="392" ht="13.55" customHeight="1">
      <c r="A392" s="3">
        <v>24801</v>
      </c>
      <c r="B392" t="s" s="2">
        <v>25</v>
      </c>
      <c r="C392" t="str" s="8" cm="1">
        <f t="array" ref="C392">IF(B392="M","Married","Single")</f>
        <v>Single</v>
      </c>
      <c r="D392" t="s" s="2">
        <v>13</v>
      </c>
      <c r="E392" t="str" s="8" cm="1">
        <f t="array" ref="E392">IF(D392="M","Male",IF(D392="F","Female","Check"))</f>
        <v>Male</v>
      </c>
      <c r="F392" s="4">
        <v>60000</v>
      </c>
      <c r="G392" t="str" s="8" cm="1">
        <f t="array" ref="G392">IF(F392="","Check","okay")</f>
        <v>okay</v>
      </c>
      <c r="H392" s="3">
        <v>1</v>
      </c>
      <c r="I392" t="s" s="2">
        <v>34</v>
      </c>
      <c r="J392" t="s" s="2">
        <v>23</v>
      </c>
      <c r="K392" t="s" s="2">
        <v>17</v>
      </c>
      <c r="L392" s="3">
        <v>0</v>
      </c>
      <c r="M392" t="s" s="2">
        <v>24</v>
      </c>
      <c r="N392" t="s" s="2">
        <v>35</v>
      </c>
      <c r="O392" s="3">
        <v>35</v>
      </c>
      <c r="P392" t="str" s="8" cm="1">
        <f t="array" ref="P392">IF(O392="","check","Okay")</f>
        <v>Okay</v>
      </c>
      <c r="Q392" t="str" s="8" cm="1">
        <f t="array" ref="Q392">IF(O392&lt;30,"UNDER 30",IF(O392&lt;=50,"30-50","Over 50"))</f>
        <v>30-50</v>
      </c>
      <c r="R392" t="s" s="2">
        <v>17</v>
      </c>
      <c r="S392" s="3" cm="1">
        <f t="array" ref="S392">COUNTIF(A2:A1001,A392)</f>
        <v>1</v>
      </c>
      <c r="T392" t="str" s="8" cm="1">
        <f t="array" ref="T392">IF(ISNUMBER(F392),"Ok","check")</f>
        <v>Ok</v>
      </c>
      <c r="U392" t="str" s="8" cm="1">
        <f t="array" ref="U392">IF(ISNUMBER(O392),"ok","check")</f>
        <v>ok</v>
      </c>
    </row>
    <row r="393" ht="13.55" customHeight="1">
      <c r="A393" s="3">
        <v>21599</v>
      </c>
      <c r="B393" t="s" s="2">
        <v>13</v>
      </c>
      <c r="C393" t="str" s="8" cm="1">
        <f t="array" ref="C393">IF(B393="M","Married","Single")</f>
        <v>Married</v>
      </c>
      <c r="D393" t="s" s="2">
        <v>14</v>
      </c>
      <c r="E393" t="str" s="8" cm="1">
        <f t="array" ref="E393">IF(D393="M","Male",IF(D393="F","Female","Check"))</f>
        <v>Female</v>
      </c>
      <c r="F393" s="4">
        <v>60000</v>
      </c>
      <c r="G393" t="str" s="8" cm="1">
        <f t="array" ref="G393">IF(F393="","Check","okay")</f>
        <v>okay</v>
      </c>
      <c r="H393" s="3">
        <v>1</v>
      </c>
      <c r="I393" t="s" s="2">
        <v>34</v>
      </c>
      <c r="J393" t="s" s="2">
        <v>23</v>
      </c>
      <c r="K393" t="s" s="2">
        <v>17</v>
      </c>
      <c r="L393" s="3">
        <v>0</v>
      </c>
      <c r="M393" t="s" s="2">
        <v>24</v>
      </c>
      <c r="N393" t="s" s="2">
        <v>35</v>
      </c>
      <c r="O393" s="3">
        <v>36</v>
      </c>
      <c r="P393" t="str" s="8" cm="1">
        <f t="array" ref="P393">IF(O393="","check","Okay")</f>
        <v>Okay</v>
      </c>
      <c r="Q393" t="str" s="8" cm="1">
        <f t="array" ref="Q393">IF(O393&lt;30,"UNDER 30",IF(O393&lt;=50,"30-50","Over 50"))</f>
        <v>30-50</v>
      </c>
      <c r="R393" t="s" s="2">
        <v>17</v>
      </c>
      <c r="S393" s="3" cm="1">
        <f t="array" ref="S393">COUNTIF(A2:A1001,A393)</f>
        <v>1</v>
      </c>
      <c r="T393" t="str" s="8" cm="1">
        <f t="array" ref="T393">IF(ISNUMBER(F393),"Ok","check")</f>
        <v>Ok</v>
      </c>
      <c r="U393" t="str" s="8" cm="1">
        <f t="array" ref="U393">IF(ISNUMBER(O393),"ok","check")</f>
        <v>ok</v>
      </c>
    </row>
    <row r="394" ht="13.55" customHeight="1">
      <c r="A394" s="3">
        <v>19117</v>
      </c>
      <c r="B394" t="s" s="2">
        <v>25</v>
      </c>
      <c r="C394" t="str" s="8" cm="1">
        <f t="array" ref="C394">IF(B394="M","Married","Single")</f>
        <v>Single</v>
      </c>
      <c r="D394" t="s" s="2">
        <v>14</v>
      </c>
      <c r="E394" t="str" s="8" cm="1">
        <f t="array" ref="E394">IF(D394="M","Male",IF(D394="F","Female","Check"))</f>
        <v>Female</v>
      </c>
      <c r="F394" s="4">
        <v>60000</v>
      </c>
      <c r="G394" t="str" s="8" cm="1">
        <f t="array" ref="G394">IF(F394="","Check","okay")</f>
        <v>okay</v>
      </c>
      <c r="H394" s="3">
        <v>1</v>
      </c>
      <c r="I394" t="s" s="2">
        <v>34</v>
      </c>
      <c r="J394" t="s" s="2">
        <v>23</v>
      </c>
      <c r="K394" t="s" s="2">
        <v>17</v>
      </c>
      <c r="L394" s="3">
        <v>0</v>
      </c>
      <c r="M394" t="s" s="2">
        <v>24</v>
      </c>
      <c r="N394" t="s" s="2">
        <v>35</v>
      </c>
      <c r="O394" s="3">
        <v>36</v>
      </c>
      <c r="P394" t="str" s="8" cm="1">
        <f t="array" ref="P394">IF(O394="","check","Okay")</f>
        <v>Okay</v>
      </c>
      <c r="Q394" t="str" s="8" cm="1">
        <f t="array" ref="Q394">IF(O394&lt;30,"UNDER 30",IF(O394&lt;=50,"30-50","Over 50"))</f>
        <v>30-50</v>
      </c>
      <c r="R394" t="s" s="2">
        <v>17</v>
      </c>
      <c r="S394" s="3" cm="1">
        <f t="array" ref="S394">COUNTIF(A2:A1001,A394)</f>
        <v>1</v>
      </c>
      <c r="T394" t="str" s="8" cm="1">
        <f t="array" ref="T394">IF(ISNUMBER(F394),"Ok","check")</f>
        <v>Ok</v>
      </c>
      <c r="U394" t="str" s="8" cm="1">
        <f t="array" ref="U394">IF(ISNUMBER(O394),"ok","check")</f>
        <v>ok</v>
      </c>
    </row>
    <row r="395" ht="13.55" customHeight="1">
      <c r="A395" s="3">
        <v>22252</v>
      </c>
      <c r="B395" t="s" s="2">
        <v>25</v>
      </c>
      <c r="C395" t="str" s="8" cm="1">
        <f t="array" ref="C395">IF(B395="M","Married","Single")</f>
        <v>Single</v>
      </c>
      <c r="D395" t="s" s="2">
        <v>14</v>
      </c>
      <c r="E395" t="str" s="8" cm="1">
        <f t="array" ref="E395">IF(D395="M","Male",IF(D395="F","Female","Check"))</f>
        <v>Female</v>
      </c>
      <c r="F395" s="4">
        <v>60000</v>
      </c>
      <c r="G395" t="str" s="8" cm="1">
        <f t="array" ref="G395">IF(F395="","Check","okay")</f>
        <v>okay</v>
      </c>
      <c r="H395" s="3">
        <v>1</v>
      </c>
      <c r="I395" t="s" s="2">
        <v>34</v>
      </c>
      <c r="J395" t="s" s="2">
        <v>23</v>
      </c>
      <c r="K395" t="s" s="2">
        <v>17</v>
      </c>
      <c r="L395" s="3">
        <v>0</v>
      </c>
      <c r="M395" t="s" s="2">
        <v>24</v>
      </c>
      <c r="N395" t="s" s="2">
        <v>35</v>
      </c>
      <c r="O395" s="3">
        <v>36</v>
      </c>
      <c r="P395" t="str" s="8" cm="1">
        <f t="array" ref="P395">IF(O395="","check","Okay")</f>
        <v>Okay</v>
      </c>
      <c r="Q395" t="str" s="8" cm="1">
        <f t="array" ref="Q395">IF(O395&lt;30,"UNDER 30",IF(O395&lt;=50,"30-50","Over 50"))</f>
        <v>30-50</v>
      </c>
      <c r="R395" t="s" s="2">
        <v>17</v>
      </c>
      <c r="S395" s="3" cm="1">
        <f t="array" ref="S395">COUNTIF(A2:A1001,A395)</f>
        <v>1</v>
      </c>
      <c r="T395" t="str" s="8" cm="1">
        <f t="array" ref="T395">IF(ISNUMBER(F395),"Ok","check")</f>
        <v>Ok</v>
      </c>
      <c r="U395" t="str" s="8" cm="1">
        <f t="array" ref="U395">IF(ISNUMBER(O395),"ok","check")</f>
        <v>ok</v>
      </c>
    </row>
    <row r="396" ht="13.55" customHeight="1">
      <c r="A396" s="3">
        <v>26305</v>
      </c>
      <c r="B396" t="s" s="2">
        <v>25</v>
      </c>
      <c r="C396" t="str" s="8" cm="1">
        <f t="array" ref="C396">IF(B396="M","Married","Single")</f>
        <v>Single</v>
      </c>
      <c r="D396" t="s" s="2">
        <v>14</v>
      </c>
      <c r="E396" t="str" s="8" cm="1">
        <f t="array" ref="E396">IF(D396="M","Male",IF(D396="F","Female","Check"))</f>
        <v>Female</v>
      </c>
      <c r="F396" s="4">
        <v>60000</v>
      </c>
      <c r="G396" t="str" s="8" cm="1">
        <f t="array" ref="G396">IF(F396="","Check","okay")</f>
        <v>okay</v>
      </c>
      <c r="H396" s="3">
        <v>2</v>
      </c>
      <c r="I396" t="s" s="2">
        <v>15</v>
      </c>
      <c r="J396" t="s" s="2">
        <v>16</v>
      </c>
      <c r="K396" t="s" s="2">
        <v>20</v>
      </c>
      <c r="L396" s="3">
        <v>0</v>
      </c>
      <c r="M396" t="s" s="2">
        <v>18</v>
      </c>
      <c r="N396" t="s" s="2">
        <v>35</v>
      </c>
      <c r="O396" s="3">
        <v>36</v>
      </c>
      <c r="P396" t="str" s="8" cm="1">
        <f t="array" ref="P396">IF(O396="","check","Okay")</f>
        <v>Okay</v>
      </c>
      <c r="Q396" t="str" s="8" cm="1">
        <f t="array" ref="Q396">IF(O396&lt;30,"UNDER 30",IF(O396&lt;=50,"30-50","Over 50"))</f>
        <v>30-50</v>
      </c>
      <c r="R396" t="s" s="2">
        <v>17</v>
      </c>
      <c r="S396" s="3" cm="1">
        <f t="array" ref="S396">COUNTIF(A2:A1001,A396)</f>
        <v>1</v>
      </c>
      <c r="T396" t="str" s="8" cm="1">
        <f t="array" ref="T396">IF(ISNUMBER(F396),"Ok","check")</f>
        <v>Ok</v>
      </c>
      <c r="U396" t="str" s="8" cm="1">
        <f t="array" ref="U396">IF(ISNUMBER(O396),"ok","check")</f>
        <v>ok</v>
      </c>
    </row>
    <row r="397" ht="13.55" customHeight="1">
      <c r="A397" s="3">
        <v>11801</v>
      </c>
      <c r="B397" t="s" s="2">
        <v>13</v>
      </c>
      <c r="C397" t="str" s="8" cm="1">
        <f t="array" ref="C397">IF(B397="M","Married","Single")</f>
        <v>Married</v>
      </c>
      <c r="D397" t="s" s="2">
        <v>13</v>
      </c>
      <c r="E397" t="str" s="8" cm="1">
        <f t="array" ref="E397">IF(D397="M","Male",IF(D397="F","Female","Check"))</f>
        <v>Male</v>
      </c>
      <c r="F397" s="4">
        <v>60000</v>
      </c>
      <c r="G397" t="str" s="8" cm="1">
        <f t="array" ref="G397">IF(F397="","Check","okay")</f>
        <v>okay</v>
      </c>
      <c r="H397" s="3">
        <v>1</v>
      </c>
      <c r="I397" t="s" s="2">
        <v>34</v>
      </c>
      <c r="J397" t="s" s="2">
        <v>23</v>
      </c>
      <c r="K397" t="s" s="2">
        <v>17</v>
      </c>
      <c r="L397" s="3">
        <v>0</v>
      </c>
      <c r="M397" t="s" s="2">
        <v>24</v>
      </c>
      <c r="N397" t="s" s="2">
        <v>35</v>
      </c>
      <c r="O397" s="3">
        <v>36</v>
      </c>
      <c r="P397" t="str" s="8" cm="1">
        <f t="array" ref="P397">IF(O397="","check","Okay")</f>
        <v>Okay</v>
      </c>
      <c r="Q397" t="str" s="8" cm="1">
        <f t="array" ref="Q397">IF(O397&lt;30,"UNDER 30",IF(O397&lt;=50,"30-50","Over 50"))</f>
        <v>30-50</v>
      </c>
      <c r="R397" t="s" s="2">
        <v>20</v>
      </c>
      <c r="S397" s="3" cm="1">
        <f t="array" ref="S397">COUNTIF(A2:A1001,A397)</f>
        <v>1</v>
      </c>
      <c r="T397" t="str" s="8" cm="1">
        <f t="array" ref="T397">IF(ISNUMBER(F397),"Ok","check")</f>
        <v>Ok</v>
      </c>
      <c r="U397" t="str" s="8" cm="1">
        <f t="array" ref="U397">IF(ISNUMBER(O397),"ok","check")</f>
        <v>ok</v>
      </c>
    </row>
    <row r="398" ht="13.55" customHeight="1">
      <c r="A398" s="3">
        <v>28657</v>
      </c>
      <c r="B398" t="s" s="2">
        <v>25</v>
      </c>
      <c r="C398" t="str" s="8" cm="1">
        <f t="array" ref="C398">IF(B398="M","Married","Single")</f>
        <v>Single</v>
      </c>
      <c r="D398" t="s" s="2">
        <v>13</v>
      </c>
      <c r="E398" t="str" s="8" cm="1">
        <f t="array" ref="E398">IF(D398="M","Male",IF(D398="F","Female","Check"))</f>
        <v>Male</v>
      </c>
      <c r="F398" s="4">
        <v>60000</v>
      </c>
      <c r="G398" t="str" s="8" cm="1">
        <f t="array" ref="G398">IF(F398="","Check","okay")</f>
        <v>okay</v>
      </c>
      <c r="H398" s="3">
        <v>2</v>
      </c>
      <c r="I398" t="s" s="2">
        <v>15</v>
      </c>
      <c r="J398" t="s" s="2">
        <v>16</v>
      </c>
      <c r="K398" t="s" s="2">
        <v>17</v>
      </c>
      <c r="L398" s="3">
        <v>0</v>
      </c>
      <c r="M398" t="s" s="2">
        <v>24</v>
      </c>
      <c r="N398" t="s" s="2">
        <v>35</v>
      </c>
      <c r="O398" s="3">
        <v>36</v>
      </c>
      <c r="P398" t="str" s="8" cm="1">
        <f t="array" ref="P398">IF(O398="","check","Okay")</f>
        <v>Okay</v>
      </c>
      <c r="Q398" t="str" s="8" cm="1">
        <f t="array" ref="Q398">IF(O398&lt;30,"UNDER 30",IF(O398&lt;=50,"30-50","Over 50"))</f>
        <v>30-50</v>
      </c>
      <c r="R398" t="s" s="2">
        <v>17</v>
      </c>
      <c r="S398" s="3" cm="1">
        <f t="array" ref="S398">COUNTIF(A2:A1001,A398)</f>
        <v>1</v>
      </c>
      <c r="T398" t="str" s="8" cm="1">
        <f t="array" ref="T398">IF(ISNUMBER(F398),"Ok","check")</f>
        <v>Ok</v>
      </c>
      <c r="U398" t="str" s="8" cm="1">
        <f t="array" ref="U398">IF(ISNUMBER(O398),"ok","check")</f>
        <v>ok</v>
      </c>
    </row>
    <row r="399" ht="13.55" customHeight="1">
      <c r="A399" s="3">
        <v>27090</v>
      </c>
      <c r="B399" t="s" s="2">
        <v>13</v>
      </c>
      <c r="C399" t="str" s="8" cm="1">
        <f t="array" ref="C399">IF(B399="M","Married","Single")</f>
        <v>Married</v>
      </c>
      <c r="D399" t="s" s="2">
        <v>14</v>
      </c>
      <c r="E399" t="str" s="8" cm="1">
        <f t="array" ref="E399">IF(D399="M","Male",IF(D399="F","Female","Check"))</f>
        <v>Female</v>
      </c>
      <c r="F399" s="4">
        <v>60000</v>
      </c>
      <c r="G399" t="str" s="8" cm="1">
        <f t="array" ref="G399">IF(F399="","Check","okay")</f>
        <v>okay</v>
      </c>
      <c r="H399" s="3">
        <v>1</v>
      </c>
      <c r="I399" t="s" s="2">
        <v>34</v>
      </c>
      <c r="J399" t="s" s="2">
        <v>23</v>
      </c>
      <c r="K399" t="s" s="2">
        <v>17</v>
      </c>
      <c r="L399" s="3">
        <v>0</v>
      </c>
      <c r="M399" t="s" s="2">
        <v>24</v>
      </c>
      <c r="N399" t="s" s="2">
        <v>35</v>
      </c>
      <c r="O399" s="3">
        <v>37</v>
      </c>
      <c r="P399" t="str" s="8" cm="1">
        <f t="array" ref="P399">IF(O399="","check","Okay")</f>
        <v>Okay</v>
      </c>
      <c r="Q399" t="str" s="8" cm="1">
        <f t="array" ref="Q399">IF(O399&lt;30,"UNDER 30",IF(O399&lt;=50,"30-50","Over 50"))</f>
        <v>30-50</v>
      </c>
      <c r="R399" t="s" s="2">
        <v>17</v>
      </c>
      <c r="S399" s="3" cm="1">
        <f t="array" ref="S399">COUNTIF(A2:A1001,A399)</f>
        <v>1</v>
      </c>
      <c r="T399" t="str" s="8" cm="1">
        <f t="array" ref="T399">IF(ISNUMBER(F399),"Ok","check")</f>
        <v>Ok</v>
      </c>
      <c r="U399" t="str" s="8" cm="1">
        <f t="array" ref="U399">IF(ISNUMBER(O399),"ok","check")</f>
        <v>ok</v>
      </c>
    </row>
    <row r="400" ht="13.55" customHeight="1">
      <c r="A400" s="3">
        <v>19562</v>
      </c>
      <c r="B400" t="s" s="2">
        <v>25</v>
      </c>
      <c r="C400" t="str" s="8" cm="1">
        <f t="array" ref="C400">IF(B400="M","Married","Single")</f>
        <v>Single</v>
      </c>
      <c r="D400" t="s" s="2">
        <v>14</v>
      </c>
      <c r="E400" t="str" s="8" cm="1">
        <f t="array" ref="E400">IF(D400="M","Male",IF(D400="F","Female","Check"))</f>
        <v>Female</v>
      </c>
      <c r="F400" s="4">
        <v>60000</v>
      </c>
      <c r="G400" t="str" s="8" cm="1">
        <f t="array" ref="G400">IF(F400="","Check","okay")</f>
        <v>okay</v>
      </c>
      <c r="H400" s="3">
        <v>2</v>
      </c>
      <c r="I400" t="s" s="2">
        <v>15</v>
      </c>
      <c r="J400" t="s" s="2">
        <v>23</v>
      </c>
      <c r="K400" t="s" s="2">
        <v>17</v>
      </c>
      <c r="L400" s="3">
        <v>1</v>
      </c>
      <c r="M400" t="s" s="2">
        <v>24</v>
      </c>
      <c r="N400" t="s" s="2">
        <v>27</v>
      </c>
      <c r="O400" s="3">
        <v>37</v>
      </c>
      <c r="P400" t="str" s="8" cm="1">
        <f t="array" ref="P400">IF(O400="","check","Okay")</f>
        <v>Okay</v>
      </c>
      <c r="Q400" t="str" s="8" cm="1">
        <f t="array" ref="Q400">IF(O400&lt;30,"UNDER 30",IF(O400&lt;=50,"30-50","Over 50"))</f>
        <v>30-50</v>
      </c>
      <c r="R400" t="s" s="2">
        <v>17</v>
      </c>
      <c r="S400" s="3" cm="1">
        <f t="array" ref="S400">COUNTIF(A2:A1001,A400)</f>
        <v>1</v>
      </c>
      <c r="T400" t="str" s="8" cm="1">
        <f t="array" ref="T400">IF(ISNUMBER(F400),"Ok","check")</f>
        <v>Ok</v>
      </c>
      <c r="U400" t="str" s="8" cm="1">
        <f t="array" ref="U400">IF(ISNUMBER(O400),"ok","check")</f>
        <v>ok</v>
      </c>
    </row>
    <row r="401" ht="13.55" customHeight="1">
      <c r="A401" s="3">
        <v>12993</v>
      </c>
      <c r="B401" t="s" s="2">
        <v>13</v>
      </c>
      <c r="C401" t="str" s="8" cm="1">
        <f t="array" ref="C401">IF(B401="M","Married","Single")</f>
        <v>Married</v>
      </c>
      <c r="D401" t="s" s="2">
        <v>13</v>
      </c>
      <c r="E401" t="str" s="8" cm="1">
        <f t="array" ref="E401">IF(D401="M","Male",IF(D401="F","Female","Check"))</f>
        <v>Male</v>
      </c>
      <c r="F401" s="4">
        <v>60000</v>
      </c>
      <c r="G401" t="str" s="8" cm="1">
        <f t="array" ref="G401">IF(F401="","Check","okay")</f>
        <v>okay</v>
      </c>
      <c r="H401" s="3">
        <v>2</v>
      </c>
      <c r="I401" t="s" s="2">
        <v>15</v>
      </c>
      <c r="J401" t="s" s="2">
        <v>23</v>
      </c>
      <c r="K401" t="s" s="2">
        <v>17</v>
      </c>
      <c r="L401" s="3">
        <v>1</v>
      </c>
      <c r="M401" t="s" s="2">
        <v>24</v>
      </c>
      <c r="N401" t="s" s="2">
        <v>27</v>
      </c>
      <c r="O401" s="3">
        <v>37</v>
      </c>
      <c r="P401" t="str" s="8" cm="1">
        <f t="array" ref="P401">IF(O401="","check","Okay")</f>
        <v>Okay</v>
      </c>
      <c r="Q401" t="str" s="8" cm="1">
        <f t="array" ref="Q401">IF(O401&lt;30,"UNDER 30",IF(O401&lt;=50,"30-50","Over 50"))</f>
        <v>30-50</v>
      </c>
      <c r="R401" t="s" s="2">
        <v>20</v>
      </c>
      <c r="S401" s="3" cm="1">
        <f t="array" ref="S401">COUNTIF(A2:A1001,A401)</f>
        <v>1</v>
      </c>
      <c r="T401" t="str" s="8" cm="1">
        <f t="array" ref="T401">IF(ISNUMBER(F401),"Ok","check")</f>
        <v>Ok</v>
      </c>
      <c r="U401" t="str" s="8" cm="1">
        <f t="array" ref="U401">IF(ISNUMBER(O401),"ok","check")</f>
        <v>ok</v>
      </c>
    </row>
    <row r="402" ht="13.55" customHeight="1">
      <c r="A402" s="3">
        <v>11897</v>
      </c>
      <c r="B402" t="s" s="2">
        <v>25</v>
      </c>
      <c r="C402" t="str" s="8" cm="1">
        <f t="array" ref="C402">IF(B402="M","Married","Single")</f>
        <v>Single</v>
      </c>
      <c r="D402" t="s" s="2">
        <v>13</v>
      </c>
      <c r="E402" t="str" s="8" cm="1">
        <f t="array" ref="E402">IF(D402="M","Male",IF(D402="F","Female","Check"))</f>
        <v>Male</v>
      </c>
      <c r="F402" s="4">
        <v>60000</v>
      </c>
      <c r="G402" t="str" s="8" cm="1">
        <f t="array" ref="G402">IF(F402="","Check","okay")</f>
        <v>okay</v>
      </c>
      <c r="H402" s="3">
        <v>2</v>
      </c>
      <c r="I402" t="s" s="2">
        <v>15</v>
      </c>
      <c r="J402" t="s" s="2">
        <v>23</v>
      </c>
      <c r="K402" t="s" s="2">
        <v>20</v>
      </c>
      <c r="L402" s="3">
        <v>1</v>
      </c>
      <c r="M402" t="s" s="2">
        <v>18</v>
      </c>
      <c r="N402" t="s" s="2">
        <v>27</v>
      </c>
      <c r="O402" s="3">
        <v>37</v>
      </c>
      <c r="P402" t="str" s="8" cm="1">
        <f t="array" ref="P402">IF(O402="","check","Okay")</f>
        <v>Okay</v>
      </c>
      <c r="Q402" t="str" s="8" cm="1">
        <f t="array" ref="Q402">IF(O402&lt;30,"UNDER 30",IF(O402&lt;=50,"30-50","Over 50"))</f>
        <v>30-50</v>
      </c>
      <c r="R402" t="s" s="2">
        <v>17</v>
      </c>
      <c r="S402" s="3" cm="1">
        <f t="array" ref="S402">COUNTIF(A2:A1001,A402)</f>
        <v>1</v>
      </c>
      <c r="T402" t="str" s="8" cm="1">
        <f t="array" ref="T402">IF(ISNUMBER(F402),"Ok","check")</f>
        <v>Ok</v>
      </c>
      <c r="U402" t="str" s="8" cm="1">
        <f t="array" ref="U402">IF(ISNUMBER(O402),"ok","check")</f>
        <v>ok</v>
      </c>
    </row>
    <row r="403" ht="13.55" customHeight="1">
      <c r="A403" s="3">
        <v>26625</v>
      </c>
      <c r="B403" t="s" s="2">
        <v>25</v>
      </c>
      <c r="C403" t="str" s="8" cm="1">
        <f t="array" ref="C403">IF(B403="M","Married","Single")</f>
        <v>Single</v>
      </c>
      <c r="D403" t="s" s="2">
        <v>14</v>
      </c>
      <c r="E403" t="str" s="8" cm="1">
        <f t="array" ref="E403">IF(D403="M","Male",IF(D403="F","Female","Check"))</f>
        <v>Female</v>
      </c>
      <c r="F403" s="4">
        <v>60000</v>
      </c>
      <c r="G403" t="str" s="8" cm="1">
        <f t="array" ref="G403">IF(F403="","Check","okay")</f>
        <v>okay</v>
      </c>
      <c r="H403" s="3">
        <v>0</v>
      </c>
      <c r="I403" t="s" s="2">
        <v>34</v>
      </c>
      <c r="J403" t="s" s="2">
        <v>23</v>
      </c>
      <c r="K403" t="s" s="2">
        <v>17</v>
      </c>
      <c r="L403" s="3">
        <v>1</v>
      </c>
      <c r="M403" t="s" s="2">
        <v>24</v>
      </c>
      <c r="N403" t="s" s="2">
        <v>35</v>
      </c>
      <c r="O403" s="3">
        <v>38</v>
      </c>
      <c r="P403" t="str" s="8" cm="1">
        <f t="array" ref="P403">IF(O403="","check","Okay")</f>
        <v>Okay</v>
      </c>
      <c r="Q403" t="str" s="8" cm="1">
        <f t="array" ref="Q403">IF(O403&lt;30,"UNDER 30",IF(O403&lt;=50,"30-50","Over 50"))</f>
        <v>30-50</v>
      </c>
      <c r="R403" t="s" s="2">
        <v>17</v>
      </c>
      <c r="S403" s="3" cm="1">
        <f t="array" ref="S403">COUNTIF(A2:A1001,A403)</f>
        <v>1</v>
      </c>
      <c r="T403" t="str" s="8" cm="1">
        <f t="array" ref="T403">IF(ISNUMBER(F403),"Ok","check")</f>
        <v>Ok</v>
      </c>
      <c r="U403" t="str" s="8" cm="1">
        <f t="array" ref="U403">IF(ISNUMBER(O403),"ok","check")</f>
        <v>ok</v>
      </c>
    </row>
    <row r="404" ht="13.55" customHeight="1">
      <c r="A404" s="3">
        <v>29181</v>
      </c>
      <c r="B404" t="s" s="2">
        <v>25</v>
      </c>
      <c r="C404" t="str" s="8" cm="1">
        <f t="array" ref="C404">IF(B404="M","Married","Single")</f>
        <v>Single</v>
      </c>
      <c r="D404" t="s" s="2">
        <v>14</v>
      </c>
      <c r="E404" t="str" s="8" cm="1">
        <f t="array" ref="E404">IF(D404="M","Male",IF(D404="F","Female","Check"))</f>
        <v>Female</v>
      </c>
      <c r="F404" s="4">
        <v>60000</v>
      </c>
      <c r="G404" t="str" s="8" cm="1">
        <f t="array" ref="G404">IF(F404="","Check","okay")</f>
        <v>okay</v>
      </c>
      <c r="H404" s="3">
        <v>2</v>
      </c>
      <c r="I404" t="s" s="2">
        <v>15</v>
      </c>
      <c r="J404" t="s" s="2">
        <v>23</v>
      </c>
      <c r="K404" t="s" s="2">
        <v>20</v>
      </c>
      <c r="L404" s="3">
        <v>1</v>
      </c>
      <c r="M404" t="s" s="2">
        <v>18</v>
      </c>
      <c r="N404" t="s" s="2">
        <v>27</v>
      </c>
      <c r="O404" s="3">
        <v>38</v>
      </c>
      <c r="P404" t="str" s="8" cm="1">
        <f t="array" ref="P404">IF(O404="","check","Okay")</f>
        <v>Okay</v>
      </c>
      <c r="Q404" t="str" s="8" cm="1">
        <f t="array" ref="Q404">IF(O404&lt;30,"UNDER 30",IF(O404&lt;=50,"30-50","Over 50"))</f>
        <v>30-50</v>
      </c>
      <c r="R404" t="s" s="2">
        <v>17</v>
      </c>
      <c r="S404" s="3" cm="1">
        <f t="array" ref="S404">COUNTIF(A2:A1001,A404)</f>
        <v>1</v>
      </c>
      <c r="T404" t="str" s="8" cm="1">
        <f t="array" ref="T404">IF(ISNUMBER(F404),"Ok","check")</f>
        <v>Ok</v>
      </c>
      <c r="U404" t="str" s="8" cm="1">
        <f t="array" ref="U404">IF(ISNUMBER(O404),"ok","check")</f>
        <v>ok</v>
      </c>
    </row>
    <row r="405" ht="13.55" customHeight="1">
      <c r="A405" s="3">
        <v>11809</v>
      </c>
      <c r="B405" t="s" s="2">
        <v>13</v>
      </c>
      <c r="C405" t="str" s="8" cm="1">
        <f t="array" ref="C405">IF(B405="M","Married","Single")</f>
        <v>Married</v>
      </c>
      <c r="D405" t="s" s="2">
        <v>13</v>
      </c>
      <c r="E405" t="str" s="8" cm="1">
        <f t="array" ref="E405">IF(D405="M","Male",IF(D405="F","Female","Check"))</f>
        <v>Male</v>
      </c>
      <c r="F405" s="4">
        <v>60000</v>
      </c>
      <c r="G405" t="str" s="8" cm="1">
        <f t="array" ref="G405">IF(F405="","Check","okay")</f>
        <v>okay</v>
      </c>
      <c r="H405" s="3">
        <v>2</v>
      </c>
      <c r="I405" t="s" s="2">
        <v>15</v>
      </c>
      <c r="J405" t="s" s="2">
        <v>16</v>
      </c>
      <c r="K405" t="s" s="2">
        <v>17</v>
      </c>
      <c r="L405" s="3">
        <v>0</v>
      </c>
      <c r="M405" t="s" s="2">
        <v>18</v>
      </c>
      <c r="N405" t="s" s="2">
        <v>35</v>
      </c>
      <c r="O405" s="3">
        <v>38</v>
      </c>
      <c r="P405" t="str" s="8" cm="1">
        <f t="array" ref="P405">IF(O405="","check","Okay")</f>
        <v>Okay</v>
      </c>
      <c r="Q405" t="str" s="8" cm="1">
        <f t="array" ref="Q405">IF(O405&lt;30,"UNDER 30",IF(O405&lt;=50,"30-50","Over 50"))</f>
        <v>30-50</v>
      </c>
      <c r="R405" t="s" s="2">
        <v>17</v>
      </c>
      <c r="S405" s="3" cm="1">
        <f t="array" ref="S405">COUNTIF(A2:A1001,A405)</f>
        <v>1</v>
      </c>
      <c r="T405" t="str" s="8" cm="1">
        <f t="array" ref="T405">IF(ISNUMBER(F405),"Ok","check")</f>
        <v>Ok</v>
      </c>
      <c r="U405" t="str" s="8" cm="1">
        <f t="array" ref="U405">IF(ISNUMBER(O405),"ok","check")</f>
        <v>ok</v>
      </c>
    </row>
    <row r="406" ht="13.55" customHeight="1">
      <c r="A406" s="3">
        <v>15580</v>
      </c>
      <c r="B406" t="s" s="2">
        <v>13</v>
      </c>
      <c r="C406" t="str" s="8" cm="1">
        <f t="array" ref="C406">IF(B406="M","Married","Single")</f>
        <v>Married</v>
      </c>
      <c r="D406" t="s" s="2">
        <v>13</v>
      </c>
      <c r="E406" t="str" s="8" cm="1">
        <f t="array" ref="E406">IF(D406="M","Male",IF(D406="F","Female","Check"))</f>
        <v>Male</v>
      </c>
      <c r="F406" s="4">
        <v>60000</v>
      </c>
      <c r="G406" t="str" s="8" cm="1">
        <f t="array" ref="G406">IF(F406="","Check","okay")</f>
        <v>okay</v>
      </c>
      <c r="H406" s="3">
        <v>2</v>
      </c>
      <c r="I406" t="s" s="2">
        <v>15</v>
      </c>
      <c r="J406" t="s" s="2">
        <v>23</v>
      </c>
      <c r="K406" t="s" s="2">
        <v>17</v>
      </c>
      <c r="L406" s="3">
        <v>1</v>
      </c>
      <c r="M406" t="s" s="2">
        <v>24</v>
      </c>
      <c r="N406" t="s" s="2">
        <v>27</v>
      </c>
      <c r="O406" s="3">
        <v>38</v>
      </c>
      <c r="P406" t="str" s="8" cm="1">
        <f t="array" ref="P406">IF(O406="","check","Okay")</f>
        <v>Okay</v>
      </c>
      <c r="Q406" t="str" s="8" cm="1">
        <f t="array" ref="Q406">IF(O406&lt;30,"UNDER 30",IF(O406&lt;=50,"30-50","Over 50"))</f>
        <v>30-50</v>
      </c>
      <c r="R406" t="s" s="2">
        <v>17</v>
      </c>
      <c r="S406" s="3" cm="1">
        <f t="array" ref="S406">COUNTIF(A2:A1001,A406)</f>
        <v>1</v>
      </c>
      <c r="T406" t="str" s="8" cm="1">
        <f t="array" ref="T406">IF(ISNUMBER(F406),"Ok","check")</f>
        <v>Ok</v>
      </c>
      <c r="U406" t="str" s="8" cm="1">
        <f t="array" ref="U406">IF(ISNUMBER(O406),"ok","check")</f>
        <v>ok</v>
      </c>
    </row>
    <row r="407" ht="13.55" customHeight="1">
      <c r="A407" s="3">
        <v>16163</v>
      </c>
      <c r="B407" t="s" s="2">
        <v>25</v>
      </c>
      <c r="C407" t="str" s="8" cm="1">
        <f t="array" ref="C407">IF(B407="M","Married","Single")</f>
        <v>Single</v>
      </c>
      <c r="D407" t="s" s="2">
        <v>13</v>
      </c>
      <c r="E407" t="str" s="8" cm="1">
        <f t="array" ref="E407">IF(D407="M","Male",IF(D407="F","Female","Check"))</f>
        <v>Male</v>
      </c>
      <c r="F407" s="4">
        <v>60000</v>
      </c>
      <c r="G407" t="str" s="8" cm="1">
        <f t="array" ref="G407">IF(F407="","Check","okay")</f>
        <v>okay</v>
      </c>
      <c r="H407" s="3">
        <v>2</v>
      </c>
      <c r="I407" t="s" s="2">
        <v>15</v>
      </c>
      <c r="J407" t="s" s="2">
        <v>23</v>
      </c>
      <c r="K407" t="s" s="2">
        <v>17</v>
      </c>
      <c r="L407" s="3">
        <v>1</v>
      </c>
      <c r="M407" t="s" s="2">
        <v>24</v>
      </c>
      <c r="N407" t="s" s="2">
        <v>27</v>
      </c>
      <c r="O407" s="3">
        <v>38</v>
      </c>
      <c r="P407" t="str" s="8" cm="1">
        <f t="array" ref="P407">IF(O407="","check","Okay")</f>
        <v>Okay</v>
      </c>
      <c r="Q407" t="str" s="8" cm="1">
        <f t="array" ref="Q407">IF(O407&lt;30,"UNDER 30",IF(O407&lt;=50,"30-50","Over 50"))</f>
        <v>30-50</v>
      </c>
      <c r="R407" t="s" s="2">
        <v>17</v>
      </c>
      <c r="S407" s="3" cm="1">
        <f t="array" ref="S407">COUNTIF(A2:A1001,A407)</f>
        <v>1</v>
      </c>
      <c r="T407" t="str" s="8" cm="1">
        <f t="array" ref="T407">IF(ISNUMBER(F407),"Ok","check")</f>
        <v>Ok</v>
      </c>
      <c r="U407" t="str" s="8" cm="1">
        <f t="array" ref="U407">IF(ISNUMBER(O407),"ok","check")</f>
        <v>ok</v>
      </c>
    </row>
    <row r="408" ht="13.55" customHeight="1">
      <c r="A408" s="3">
        <v>18572</v>
      </c>
      <c r="B408" t="s" s="2">
        <v>13</v>
      </c>
      <c r="C408" t="str" s="8" cm="1">
        <f t="array" ref="C408">IF(B408="M","Married","Single")</f>
        <v>Married</v>
      </c>
      <c r="D408" t="s" s="2">
        <v>14</v>
      </c>
      <c r="E408" t="str" s="8" cm="1">
        <f t="array" ref="E408">IF(D408="M","Male",IF(D408="F","Female","Check"))</f>
        <v>Female</v>
      </c>
      <c r="F408" s="4">
        <v>60000</v>
      </c>
      <c r="G408" t="str" s="8" cm="1">
        <f t="array" ref="G408">IF(F408="","Check","okay")</f>
        <v>okay</v>
      </c>
      <c r="H408" s="3">
        <v>0</v>
      </c>
      <c r="I408" t="s" s="2">
        <v>34</v>
      </c>
      <c r="J408" t="s" s="2">
        <v>23</v>
      </c>
      <c r="K408" t="s" s="2">
        <v>17</v>
      </c>
      <c r="L408" s="3">
        <v>0</v>
      </c>
      <c r="M408" t="s" s="2">
        <v>18</v>
      </c>
      <c r="N408" t="s" s="2">
        <v>35</v>
      </c>
      <c r="O408" s="3">
        <v>39</v>
      </c>
      <c r="P408" t="str" s="8" cm="1">
        <f t="array" ref="P408">IF(O408="","check","Okay")</f>
        <v>Okay</v>
      </c>
      <c r="Q408" t="str" s="8" cm="1">
        <f t="array" ref="Q408">IF(O408&lt;30,"UNDER 30",IF(O408&lt;=50,"30-50","Over 50"))</f>
        <v>30-50</v>
      </c>
      <c r="R408" t="s" s="2">
        <v>20</v>
      </c>
      <c r="S408" s="3" cm="1">
        <f t="array" ref="S408">COUNTIF(A2:A1001,A408)</f>
        <v>1</v>
      </c>
      <c r="T408" t="str" s="8" cm="1">
        <f t="array" ref="T408">IF(ISNUMBER(F408),"Ok","check")</f>
        <v>Ok</v>
      </c>
      <c r="U408" t="str" s="8" cm="1">
        <f t="array" ref="U408">IF(ISNUMBER(O408),"ok","check")</f>
        <v>ok</v>
      </c>
    </row>
    <row r="409" ht="13.55" customHeight="1">
      <c r="A409" s="3">
        <v>16217</v>
      </c>
      <c r="B409" t="s" s="2">
        <v>25</v>
      </c>
      <c r="C409" t="str" s="8" cm="1">
        <f t="array" ref="C409">IF(B409="M","Married","Single")</f>
        <v>Single</v>
      </c>
      <c r="D409" t="s" s="2">
        <v>14</v>
      </c>
      <c r="E409" t="str" s="8" cm="1">
        <f t="array" ref="E409">IF(D409="M","Male",IF(D409="F","Female","Check"))</f>
        <v>Female</v>
      </c>
      <c r="F409" s="4">
        <v>60000</v>
      </c>
      <c r="G409" t="str" s="8" cm="1">
        <f t="array" ref="G409">IF(F409="","Check","okay")</f>
        <v>okay</v>
      </c>
      <c r="H409" s="3">
        <v>0</v>
      </c>
      <c r="I409" t="s" s="2">
        <v>34</v>
      </c>
      <c r="J409" t="s" s="2">
        <v>16</v>
      </c>
      <c r="K409" t="s" s="2">
        <v>17</v>
      </c>
      <c r="L409" s="3">
        <v>0</v>
      </c>
      <c r="M409" t="s" s="2">
        <v>18</v>
      </c>
      <c r="N409" t="s" s="2">
        <v>35</v>
      </c>
      <c r="O409" s="3">
        <v>39</v>
      </c>
      <c r="P409" t="str" s="8" cm="1">
        <f t="array" ref="P409">IF(O409="","check","Okay")</f>
        <v>Okay</v>
      </c>
      <c r="Q409" t="str" s="8" cm="1">
        <f t="array" ref="Q409">IF(O409&lt;30,"UNDER 30",IF(O409&lt;=50,"30-50","Over 50"))</f>
        <v>30-50</v>
      </c>
      <c r="R409" t="s" s="2">
        <v>20</v>
      </c>
      <c r="S409" s="3" cm="1">
        <f t="array" ref="S409">COUNTIF(A2:A1001,A409)</f>
        <v>1</v>
      </c>
      <c r="T409" t="str" s="8" cm="1">
        <f t="array" ref="T409">IF(ISNUMBER(F409),"Ok","check")</f>
        <v>Ok</v>
      </c>
      <c r="U409" t="str" s="8" cm="1">
        <f t="array" ref="U409">IF(ISNUMBER(O409),"ok","check")</f>
        <v>ok</v>
      </c>
    </row>
    <row r="410" ht="13.55" customHeight="1">
      <c r="A410" s="3">
        <v>26663</v>
      </c>
      <c r="B410" t="s" s="2">
        <v>25</v>
      </c>
      <c r="C410" t="str" s="8" cm="1">
        <f t="array" ref="C410">IF(B410="M","Married","Single")</f>
        <v>Single</v>
      </c>
      <c r="D410" t="s" s="2">
        <v>14</v>
      </c>
      <c r="E410" t="str" s="8" cm="1">
        <f t="array" ref="E410">IF(D410="M","Male",IF(D410="F","Female","Check"))</f>
        <v>Female</v>
      </c>
      <c r="F410" s="4">
        <v>60000</v>
      </c>
      <c r="G410" t="str" s="8" cm="1">
        <f t="array" ref="G410">IF(F410="","Check","okay")</f>
        <v>okay</v>
      </c>
      <c r="H410" s="3">
        <v>2</v>
      </c>
      <c r="I410" t="s" s="2">
        <v>15</v>
      </c>
      <c r="J410" t="s" s="2">
        <v>23</v>
      </c>
      <c r="K410" t="s" s="2">
        <v>20</v>
      </c>
      <c r="L410" s="3">
        <v>1</v>
      </c>
      <c r="M410" t="s" s="2">
        <v>18</v>
      </c>
      <c r="N410" t="s" s="2">
        <v>27</v>
      </c>
      <c r="O410" s="3">
        <v>39</v>
      </c>
      <c r="P410" t="str" s="8" cm="1">
        <f t="array" ref="P410">IF(O410="","check","Okay")</f>
        <v>Okay</v>
      </c>
      <c r="Q410" t="str" s="8" cm="1">
        <f t="array" ref="Q410">IF(O410&lt;30,"UNDER 30",IF(O410&lt;=50,"30-50","Over 50"))</f>
        <v>30-50</v>
      </c>
      <c r="R410" t="s" s="2">
        <v>17</v>
      </c>
      <c r="S410" s="3" cm="1">
        <f t="array" ref="S410">COUNTIF(A2:A1001,A410)</f>
        <v>1</v>
      </c>
      <c r="T410" t="str" s="8" cm="1">
        <f t="array" ref="T410">IF(ISNUMBER(F410),"Ok","check")</f>
        <v>Ok</v>
      </c>
      <c r="U410" t="str" s="8" cm="1">
        <f t="array" ref="U410">IF(ISNUMBER(O410),"ok","check")</f>
        <v>ok</v>
      </c>
    </row>
    <row r="411" ht="13.55" customHeight="1">
      <c r="A411" s="3">
        <v>21695</v>
      </c>
      <c r="B411" t="s" s="2">
        <v>13</v>
      </c>
      <c r="C411" t="str" s="8" cm="1">
        <f t="array" ref="C411">IF(B411="M","Married","Single")</f>
        <v>Married</v>
      </c>
      <c r="D411" t="s" s="2">
        <v>13</v>
      </c>
      <c r="E411" t="str" s="8" cm="1">
        <f t="array" ref="E411">IF(D411="M","Male",IF(D411="F","Female","Check"))</f>
        <v>Male</v>
      </c>
      <c r="F411" s="4">
        <v>60000</v>
      </c>
      <c r="G411" t="str" s="8" cm="1">
        <f t="array" ref="G411">IF(F411="","Check","okay")</f>
        <v>okay</v>
      </c>
      <c r="H411" s="3">
        <v>0</v>
      </c>
      <c r="I411" t="s" s="2">
        <v>34</v>
      </c>
      <c r="J411" t="s" s="2">
        <v>16</v>
      </c>
      <c r="K411" t="s" s="2">
        <v>17</v>
      </c>
      <c r="L411" s="3">
        <v>0</v>
      </c>
      <c r="M411" t="s" s="2">
        <v>29</v>
      </c>
      <c r="N411" t="s" s="2">
        <v>35</v>
      </c>
      <c r="O411" s="3">
        <v>39</v>
      </c>
      <c r="P411" t="str" s="8" cm="1">
        <f t="array" ref="P411">IF(O411="","check","Okay")</f>
        <v>Okay</v>
      </c>
      <c r="Q411" t="str" s="8" cm="1">
        <f t="array" ref="Q411">IF(O411&lt;30,"UNDER 30",IF(O411&lt;=50,"30-50","Over 50"))</f>
        <v>30-50</v>
      </c>
      <c r="R411" t="s" s="2">
        <v>17</v>
      </c>
      <c r="S411" s="3" cm="1">
        <f t="array" ref="S411">COUNTIF(A2:A1001,A411)</f>
        <v>1</v>
      </c>
      <c r="T411" t="str" s="8" cm="1">
        <f t="array" ref="T411">IF(ISNUMBER(F411),"Ok","check")</f>
        <v>Ok</v>
      </c>
      <c r="U411" t="str" s="8" cm="1">
        <f t="array" ref="U411">IF(ISNUMBER(O411),"ok","check")</f>
        <v>ok</v>
      </c>
    </row>
    <row r="412" ht="13.55" customHeight="1">
      <c r="A412" s="3">
        <v>29037</v>
      </c>
      <c r="B412" t="s" s="2">
        <v>13</v>
      </c>
      <c r="C412" t="str" s="8" cm="1">
        <f t="array" ref="C412">IF(B412="M","Married","Single")</f>
        <v>Married</v>
      </c>
      <c r="D412" t="s" s="2">
        <v>13</v>
      </c>
      <c r="E412" t="str" s="8" cm="1">
        <f t="array" ref="E412">IF(D412="M","Male",IF(D412="F","Female","Check"))</f>
        <v>Male</v>
      </c>
      <c r="F412" s="4">
        <v>60000</v>
      </c>
      <c r="G412" t="str" s="8" cm="1">
        <f t="array" ref="G412">IF(F412="","Check","okay")</f>
        <v>okay</v>
      </c>
      <c r="H412" s="3">
        <v>0</v>
      </c>
      <c r="I412" t="s" s="2">
        <v>34</v>
      </c>
      <c r="J412" t="s" s="2">
        <v>23</v>
      </c>
      <c r="K412" t="s" s="2">
        <v>20</v>
      </c>
      <c r="L412" s="3">
        <v>0</v>
      </c>
      <c r="M412" t="s" s="2">
        <v>18</v>
      </c>
      <c r="N412" t="s" s="2">
        <v>35</v>
      </c>
      <c r="O412" s="3">
        <v>39</v>
      </c>
      <c r="P412" t="str" s="8" cm="1">
        <f t="array" ref="P412">IF(O412="","check","Okay")</f>
        <v>Okay</v>
      </c>
      <c r="Q412" t="str" s="8" cm="1">
        <f t="array" ref="Q412">IF(O412&lt;30,"UNDER 30",IF(O412&lt;=50,"30-50","Over 50"))</f>
        <v>30-50</v>
      </c>
      <c r="R412" t="s" s="2">
        <v>20</v>
      </c>
      <c r="S412" s="3" cm="1">
        <f t="array" ref="S412">COUNTIF(A2:A1001,A412)</f>
        <v>1</v>
      </c>
      <c r="T412" t="str" s="8" cm="1">
        <f t="array" ref="T412">IF(ISNUMBER(F412),"Ok","check")</f>
        <v>Ok</v>
      </c>
      <c r="U412" t="str" s="8" cm="1">
        <f t="array" ref="U412">IF(ISNUMBER(O412),"ok","check")</f>
        <v>ok</v>
      </c>
    </row>
    <row r="413" ht="13.55" customHeight="1">
      <c r="A413" s="3">
        <v>14592</v>
      </c>
      <c r="B413" t="s" s="2">
        <v>13</v>
      </c>
      <c r="C413" t="str" s="8" cm="1">
        <f t="array" ref="C413">IF(B413="M","Married","Single")</f>
        <v>Married</v>
      </c>
      <c r="D413" t="s" s="2">
        <v>14</v>
      </c>
      <c r="E413" t="str" s="8" cm="1">
        <f t="array" ref="E413">IF(D413="M","Male",IF(D413="F","Female","Check"))</f>
        <v>Female</v>
      </c>
      <c r="F413" s="4">
        <v>60000</v>
      </c>
      <c r="G413" t="str" s="8" cm="1">
        <f t="array" ref="G413">IF(F413="","Check","okay")</f>
        <v>okay</v>
      </c>
      <c r="H413" s="3">
        <v>0</v>
      </c>
      <c r="I413" t="s" s="2">
        <v>34</v>
      </c>
      <c r="J413" t="s" s="2">
        <v>23</v>
      </c>
      <c r="K413" t="s" s="2">
        <v>17</v>
      </c>
      <c r="L413" s="3">
        <v>0</v>
      </c>
      <c r="M413" t="s" s="2">
        <v>18</v>
      </c>
      <c r="N413" t="s" s="2">
        <v>35</v>
      </c>
      <c r="O413" s="3">
        <v>40</v>
      </c>
      <c r="P413" t="str" s="8" cm="1">
        <f t="array" ref="P413">IF(O413="","check","Okay")</f>
        <v>Okay</v>
      </c>
      <c r="Q413" t="str" s="8" cm="1">
        <f t="array" ref="Q413">IF(O413&lt;30,"UNDER 30",IF(O413&lt;=50,"30-50","Over 50"))</f>
        <v>30-50</v>
      </c>
      <c r="R413" t="s" s="2">
        <v>20</v>
      </c>
      <c r="S413" s="3" cm="1">
        <f t="array" ref="S413">COUNTIF(A2:A1001,A413)</f>
        <v>1</v>
      </c>
      <c r="T413" t="str" s="8" cm="1">
        <f t="array" ref="T413">IF(ISNUMBER(F413),"Ok","check")</f>
        <v>Ok</v>
      </c>
      <c r="U413" t="str" s="8" cm="1">
        <f t="array" ref="U413">IF(ISNUMBER(O413),"ok","check")</f>
        <v>ok</v>
      </c>
    </row>
    <row r="414" ht="13.55" customHeight="1">
      <c r="A414" s="3">
        <v>18577</v>
      </c>
      <c r="B414" t="s" s="2">
        <v>13</v>
      </c>
      <c r="C414" t="str" s="8" cm="1">
        <f t="array" ref="C414">IF(B414="M","Married","Single")</f>
        <v>Married</v>
      </c>
      <c r="D414" t="s" s="2">
        <v>14</v>
      </c>
      <c r="E414" t="str" s="8" cm="1">
        <f t="array" ref="E414">IF(D414="M","Male",IF(D414="F","Female","Check"))</f>
        <v>Female</v>
      </c>
      <c r="F414" s="4">
        <v>60000</v>
      </c>
      <c r="G414" t="str" s="8" cm="1">
        <f t="array" ref="G414">IF(F414="","Check","okay")</f>
        <v>okay</v>
      </c>
      <c r="H414" s="3">
        <v>0</v>
      </c>
      <c r="I414" t="s" s="2">
        <v>34</v>
      </c>
      <c r="J414" t="s" s="2">
        <v>23</v>
      </c>
      <c r="K414" t="s" s="2">
        <v>17</v>
      </c>
      <c r="L414" s="3">
        <v>0</v>
      </c>
      <c r="M414" t="s" s="2">
        <v>18</v>
      </c>
      <c r="N414" t="s" s="2">
        <v>35</v>
      </c>
      <c r="O414" s="3">
        <v>40</v>
      </c>
      <c r="P414" t="str" s="8" cm="1">
        <f t="array" ref="P414">IF(O414="","check","Okay")</f>
        <v>Okay</v>
      </c>
      <c r="Q414" t="str" s="8" cm="1">
        <f t="array" ref="Q414">IF(O414&lt;30,"UNDER 30",IF(O414&lt;=50,"30-50","Over 50"))</f>
        <v>30-50</v>
      </c>
      <c r="R414" t="s" s="2">
        <v>20</v>
      </c>
      <c r="S414" s="3" cm="1">
        <f t="array" ref="S414">COUNTIF(A2:A1001,A414)</f>
        <v>1</v>
      </c>
      <c r="T414" t="str" s="8" cm="1">
        <f t="array" ref="T414">IF(ISNUMBER(F414),"Ok","check")</f>
        <v>Ok</v>
      </c>
      <c r="U414" t="str" s="8" cm="1">
        <f t="array" ref="U414">IF(ISNUMBER(O414),"ok","check")</f>
        <v>ok</v>
      </c>
    </row>
    <row r="415" ht="13.55" customHeight="1">
      <c r="A415" s="3">
        <v>18580</v>
      </c>
      <c r="B415" t="s" s="2">
        <v>13</v>
      </c>
      <c r="C415" t="str" s="8" cm="1">
        <f t="array" ref="C415">IF(B415="M","Married","Single")</f>
        <v>Married</v>
      </c>
      <c r="D415" t="s" s="2">
        <v>14</v>
      </c>
      <c r="E415" t="str" s="8" cm="1">
        <f t="array" ref="E415">IF(D415="M","Male",IF(D415="F","Female","Check"))</f>
        <v>Female</v>
      </c>
      <c r="F415" s="4">
        <v>60000</v>
      </c>
      <c r="G415" t="str" s="8" cm="1">
        <f t="array" ref="G415">IF(F415="","Check","okay")</f>
        <v>okay</v>
      </c>
      <c r="H415" s="3">
        <v>2</v>
      </c>
      <c r="I415" t="s" s="2">
        <v>34</v>
      </c>
      <c r="J415" t="s" s="2">
        <v>23</v>
      </c>
      <c r="K415" t="s" s="2">
        <v>17</v>
      </c>
      <c r="L415" s="3">
        <v>0</v>
      </c>
      <c r="M415" t="s" s="2">
        <v>24</v>
      </c>
      <c r="N415" t="s" s="2">
        <v>35</v>
      </c>
      <c r="O415" s="3">
        <v>40</v>
      </c>
      <c r="P415" t="str" s="8" cm="1">
        <f t="array" ref="P415">IF(O415="","check","Okay")</f>
        <v>Okay</v>
      </c>
      <c r="Q415" t="str" s="8" cm="1">
        <f t="array" ref="Q415">IF(O415&lt;30,"UNDER 30",IF(O415&lt;=50,"30-50","Over 50"))</f>
        <v>30-50</v>
      </c>
      <c r="R415" t="s" s="2">
        <v>17</v>
      </c>
      <c r="S415" s="3" cm="1">
        <f t="array" ref="S415">COUNTIF(A2:A1001,A415)</f>
        <v>1</v>
      </c>
      <c r="T415" t="str" s="8" cm="1">
        <f t="array" ref="T415">IF(ISNUMBER(F415),"Ok","check")</f>
        <v>Ok</v>
      </c>
      <c r="U415" t="str" s="8" cm="1">
        <f t="array" ref="U415">IF(ISNUMBER(O415),"ok","check")</f>
        <v>ok</v>
      </c>
    </row>
    <row r="416" ht="13.55" customHeight="1">
      <c r="A416" s="3">
        <v>12922</v>
      </c>
      <c r="B416" t="s" s="2">
        <v>25</v>
      </c>
      <c r="C416" t="str" s="8" cm="1">
        <f t="array" ref="C416">IF(B416="M","Married","Single")</f>
        <v>Single</v>
      </c>
      <c r="D416" t="s" s="2">
        <v>14</v>
      </c>
      <c r="E416" t="str" s="8" cm="1">
        <f t="array" ref="E416">IF(D416="M","Male",IF(D416="F","Female","Check"))</f>
        <v>Female</v>
      </c>
      <c r="F416" s="4">
        <v>60000</v>
      </c>
      <c r="G416" t="str" s="8" cm="1">
        <f t="array" ref="G416">IF(F416="","Check","okay")</f>
        <v>okay</v>
      </c>
      <c r="H416" s="3">
        <v>3</v>
      </c>
      <c r="I416" t="s" s="2">
        <v>15</v>
      </c>
      <c r="J416" t="s" s="2">
        <v>16</v>
      </c>
      <c r="K416" t="s" s="2">
        <v>17</v>
      </c>
      <c r="L416" s="3">
        <v>0</v>
      </c>
      <c r="M416" t="s" s="2">
        <v>24</v>
      </c>
      <c r="N416" t="s" s="2">
        <v>35</v>
      </c>
      <c r="O416" s="3">
        <v>40</v>
      </c>
      <c r="P416" t="str" s="8" cm="1">
        <f t="array" ref="P416">IF(O416="","check","Okay")</f>
        <v>Okay</v>
      </c>
      <c r="Q416" t="str" s="8" cm="1">
        <f t="array" ref="Q416">IF(O416&lt;30,"UNDER 30",IF(O416&lt;=50,"30-50","Over 50"))</f>
        <v>30-50</v>
      </c>
      <c r="R416" t="s" s="2">
        <v>17</v>
      </c>
      <c r="S416" s="3" cm="1">
        <f t="array" ref="S416">COUNTIF(A2:A1001,A416)</f>
        <v>1</v>
      </c>
      <c r="T416" t="str" s="8" cm="1">
        <f t="array" ref="T416">IF(ISNUMBER(F416),"Ok","check")</f>
        <v>Ok</v>
      </c>
      <c r="U416" t="str" s="8" cm="1">
        <f t="array" ref="U416">IF(ISNUMBER(O416),"ok","check")</f>
        <v>ok</v>
      </c>
    </row>
    <row r="417" ht="13.55" customHeight="1">
      <c r="A417" s="3">
        <v>20678</v>
      </c>
      <c r="B417" t="s" s="2">
        <v>25</v>
      </c>
      <c r="C417" t="str" s="8" cm="1">
        <f t="array" ref="C417">IF(B417="M","Married","Single")</f>
        <v>Single</v>
      </c>
      <c r="D417" t="s" s="2">
        <v>14</v>
      </c>
      <c r="E417" t="str" s="8" cm="1">
        <f t="array" ref="E417">IF(D417="M","Male",IF(D417="F","Female","Check"))</f>
        <v>Female</v>
      </c>
      <c r="F417" s="4">
        <v>60000</v>
      </c>
      <c r="G417" t="str" s="8" cm="1">
        <f t="array" ref="G417">IF(F417="","Check","okay")</f>
        <v>okay</v>
      </c>
      <c r="H417" s="3">
        <v>3</v>
      </c>
      <c r="I417" t="s" s="2">
        <v>15</v>
      </c>
      <c r="J417" t="s" s="2">
        <v>16</v>
      </c>
      <c r="K417" t="s" s="2">
        <v>17</v>
      </c>
      <c r="L417" s="3">
        <v>1</v>
      </c>
      <c r="M417" t="s" s="2">
        <v>24</v>
      </c>
      <c r="N417" t="s" s="2">
        <v>35</v>
      </c>
      <c r="O417" s="3">
        <v>40</v>
      </c>
      <c r="P417" t="str" s="8" cm="1">
        <f t="array" ref="P417">IF(O417="","check","Okay")</f>
        <v>Okay</v>
      </c>
      <c r="Q417" t="str" s="8" cm="1">
        <f t="array" ref="Q417">IF(O417&lt;30,"UNDER 30",IF(O417&lt;=50,"30-50","Over 50"))</f>
        <v>30-50</v>
      </c>
      <c r="R417" t="s" s="2">
        <v>17</v>
      </c>
      <c r="S417" s="3" cm="1">
        <f t="array" ref="S417">COUNTIF(A2:A1001,A417)</f>
        <v>1</v>
      </c>
      <c r="T417" t="str" s="8" cm="1">
        <f t="array" ref="T417">IF(ISNUMBER(F417),"Ok","check")</f>
        <v>Ok</v>
      </c>
      <c r="U417" t="str" s="8" cm="1">
        <f t="array" ref="U417">IF(ISNUMBER(O417),"ok","check")</f>
        <v>ok</v>
      </c>
    </row>
    <row r="418" ht="13.55" customHeight="1">
      <c r="A418" s="3">
        <v>21693</v>
      </c>
      <c r="B418" t="s" s="2">
        <v>25</v>
      </c>
      <c r="C418" t="str" s="8" cm="1">
        <f t="array" ref="C418">IF(B418="M","Married","Single")</f>
        <v>Single</v>
      </c>
      <c r="D418" t="s" s="2">
        <v>14</v>
      </c>
      <c r="E418" t="str" s="8" cm="1">
        <f t="array" ref="E418">IF(D418="M","Male",IF(D418="F","Female","Check"))</f>
        <v>Female</v>
      </c>
      <c r="F418" s="4">
        <v>60000</v>
      </c>
      <c r="G418" t="str" s="8" cm="1">
        <f t="array" ref="G418">IF(F418="","Check","okay")</f>
        <v>okay</v>
      </c>
      <c r="H418" s="3">
        <v>0</v>
      </c>
      <c r="I418" t="s" s="2">
        <v>34</v>
      </c>
      <c r="J418" t="s" s="2">
        <v>16</v>
      </c>
      <c r="K418" t="s" s="2">
        <v>20</v>
      </c>
      <c r="L418" s="3">
        <v>0</v>
      </c>
      <c r="M418" t="s" s="2">
        <v>18</v>
      </c>
      <c r="N418" t="s" s="2">
        <v>35</v>
      </c>
      <c r="O418" s="3">
        <v>40</v>
      </c>
      <c r="P418" t="str" s="8" cm="1">
        <f t="array" ref="P418">IF(O418="","check","Okay")</f>
        <v>Okay</v>
      </c>
      <c r="Q418" t="str" s="8" cm="1">
        <f t="array" ref="Q418">IF(O418&lt;30,"UNDER 30",IF(O418&lt;=50,"30-50","Over 50"))</f>
        <v>30-50</v>
      </c>
      <c r="R418" t="s" s="2">
        <v>20</v>
      </c>
      <c r="S418" s="3" cm="1">
        <f t="array" ref="S418">COUNTIF(A2:A1001,A418)</f>
        <v>1</v>
      </c>
      <c r="T418" t="str" s="8" cm="1">
        <f t="array" ref="T418">IF(ISNUMBER(F418),"Ok","check")</f>
        <v>Ok</v>
      </c>
      <c r="U418" t="str" s="8" cm="1">
        <f t="array" ref="U418">IF(ISNUMBER(O418),"ok","check")</f>
        <v>ok</v>
      </c>
    </row>
    <row r="419" ht="13.55" customHeight="1">
      <c r="A419" s="3">
        <v>23368</v>
      </c>
      <c r="B419" t="s" s="2">
        <v>13</v>
      </c>
      <c r="C419" t="str" s="8" cm="1">
        <f t="array" ref="C419">IF(B419="M","Married","Single")</f>
        <v>Married</v>
      </c>
      <c r="D419" t="s" s="2">
        <v>14</v>
      </c>
      <c r="E419" t="str" s="8" cm="1">
        <f t="array" ref="E419">IF(D419="M","Male",IF(D419="F","Female","Check"))</f>
        <v>Female</v>
      </c>
      <c r="F419" s="4">
        <v>60000</v>
      </c>
      <c r="G419" t="str" s="8" cm="1">
        <f t="array" ref="G419">IF(F419="","Check","okay")</f>
        <v>okay</v>
      </c>
      <c r="H419" s="3">
        <v>5</v>
      </c>
      <c r="I419" t="s" s="2">
        <v>15</v>
      </c>
      <c r="J419" t="s" s="2">
        <v>16</v>
      </c>
      <c r="K419" t="s" s="2">
        <v>17</v>
      </c>
      <c r="L419" s="3">
        <v>3</v>
      </c>
      <c r="M419" t="s" s="2">
        <v>33</v>
      </c>
      <c r="N419" t="s" s="2">
        <v>35</v>
      </c>
      <c r="O419" s="3">
        <v>41</v>
      </c>
      <c r="P419" t="str" s="8" cm="1">
        <f t="array" ref="P419">IF(O419="","check","Okay")</f>
        <v>Okay</v>
      </c>
      <c r="Q419" t="str" s="8" cm="1">
        <f t="array" ref="Q419">IF(O419&lt;30,"UNDER 30",IF(O419&lt;=50,"30-50","Over 50"))</f>
        <v>30-50</v>
      </c>
      <c r="R419" t="s" s="2">
        <v>20</v>
      </c>
      <c r="S419" s="3" cm="1">
        <f t="array" ref="S419">COUNTIF(A2:A1001,A419)</f>
        <v>1</v>
      </c>
      <c r="T419" t="str" s="8" cm="1">
        <f t="array" ref="T419">IF(ISNUMBER(F419),"Ok","check")</f>
        <v>Ok</v>
      </c>
      <c r="U419" t="str" s="8" cm="1">
        <f t="array" ref="U419">IF(ISNUMBER(O419),"ok","check")</f>
        <v>ok</v>
      </c>
    </row>
    <row r="420" ht="13.55" customHeight="1">
      <c r="A420" s="3">
        <v>24324</v>
      </c>
      <c r="B420" t="s" s="2">
        <v>25</v>
      </c>
      <c r="C420" t="str" s="8" cm="1">
        <f t="array" ref="C420">IF(B420="M","Married","Single")</f>
        <v>Single</v>
      </c>
      <c r="D420" t="s" s="2">
        <v>14</v>
      </c>
      <c r="E420" t="str" s="8" cm="1">
        <f t="array" ref="E420">IF(D420="M","Male",IF(D420="F","Female","Check"))</f>
        <v>Female</v>
      </c>
      <c r="F420" s="4">
        <v>60000</v>
      </c>
      <c r="G420" t="str" s="8" cm="1">
        <f t="array" ref="G420">IF(F420="","Check","okay")</f>
        <v>okay</v>
      </c>
      <c r="H420" s="3">
        <v>4</v>
      </c>
      <c r="I420" t="s" s="2">
        <v>15</v>
      </c>
      <c r="J420" t="s" s="2">
        <v>16</v>
      </c>
      <c r="K420" t="s" s="2">
        <v>17</v>
      </c>
      <c r="L420" s="3">
        <v>2</v>
      </c>
      <c r="M420" t="s" s="2">
        <v>24</v>
      </c>
      <c r="N420" t="s" s="2">
        <v>35</v>
      </c>
      <c r="O420" s="3">
        <v>41</v>
      </c>
      <c r="P420" t="str" s="8" cm="1">
        <f t="array" ref="P420">IF(O420="","check","Okay")</f>
        <v>Okay</v>
      </c>
      <c r="Q420" t="str" s="8" cm="1">
        <f t="array" ref="Q420">IF(O420&lt;30,"UNDER 30",IF(O420&lt;=50,"30-50","Over 50"))</f>
        <v>30-50</v>
      </c>
      <c r="R420" t="s" s="2">
        <v>17</v>
      </c>
      <c r="S420" s="3" cm="1">
        <f t="array" ref="S420">COUNTIF(A2:A1001,A420)</f>
        <v>1</v>
      </c>
      <c r="T420" t="str" s="8" cm="1">
        <f t="array" ref="T420">IF(ISNUMBER(F420),"Ok","check")</f>
        <v>Ok</v>
      </c>
      <c r="U420" t="str" s="8" cm="1">
        <f t="array" ref="U420">IF(ISNUMBER(O420),"ok","check")</f>
        <v>ok</v>
      </c>
    </row>
    <row r="421" ht="13.55" customHeight="1">
      <c r="A421" s="3">
        <v>25970</v>
      </c>
      <c r="B421" t="s" s="2">
        <v>25</v>
      </c>
      <c r="C421" t="str" s="8" cm="1">
        <f t="array" ref="C421">IF(B421="M","Married","Single")</f>
        <v>Single</v>
      </c>
      <c r="D421" t="s" s="2">
        <v>14</v>
      </c>
      <c r="E421" t="str" s="8" cm="1">
        <f t="array" ref="E421">IF(D421="M","Male",IF(D421="F","Female","Check"))</f>
        <v>Female</v>
      </c>
      <c r="F421" s="4">
        <v>60000</v>
      </c>
      <c r="G421" t="str" s="8" cm="1">
        <f t="array" ref="G421">IF(F421="","Check","okay")</f>
        <v>okay</v>
      </c>
      <c r="H421" s="3">
        <v>4</v>
      </c>
      <c r="I421" t="s" s="2">
        <v>15</v>
      </c>
      <c r="J421" t="s" s="2">
        <v>16</v>
      </c>
      <c r="K421" t="s" s="2">
        <v>20</v>
      </c>
      <c r="L421" s="3">
        <v>2</v>
      </c>
      <c r="M421" t="s" s="2">
        <v>18</v>
      </c>
      <c r="N421" t="s" s="2">
        <v>35</v>
      </c>
      <c r="O421" s="3">
        <v>41</v>
      </c>
      <c r="P421" t="str" s="8" cm="1">
        <f t="array" ref="P421">IF(O421="","check","Okay")</f>
        <v>Okay</v>
      </c>
      <c r="Q421" t="str" s="8" cm="1">
        <f t="array" ref="Q421">IF(O421&lt;30,"UNDER 30",IF(O421&lt;=50,"30-50","Over 50"))</f>
        <v>30-50</v>
      </c>
      <c r="R421" t="s" s="2">
        <v>17</v>
      </c>
      <c r="S421" s="3" cm="1">
        <f t="array" ref="S421">COUNTIF(A2:A1001,A421)</f>
        <v>1</v>
      </c>
      <c r="T421" t="str" s="8" cm="1">
        <f t="array" ref="T421">IF(ISNUMBER(F421),"Ok","check")</f>
        <v>Ok</v>
      </c>
      <c r="U421" t="str" s="8" cm="1">
        <f t="array" ref="U421">IF(ISNUMBER(O421),"ok","check")</f>
        <v>ok</v>
      </c>
    </row>
    <row r="422" ht="13.55" customHeight="1">
      <c r="A422" s="3">
        <v>16185</v>
      </c>
      <c r="B422" t="s" s="2">
        <v>25</v>
      </c>
      <c r="C422" t="str" s="8" cm="1">
        <f t="array" ref="C422">IF(B422="M","Married","Single")</f>
        <v>Single</v>
      </c>
      <c r="D422" t="s" s="2">
        <v>13</v>
      </c>
      <c r="E422" t="str" s="8" cm="1">
        <f t="array" ref="E422">IF(D422="M","Male",IF(D422="F","Female","Check"))</f>
        <v>Male</v>
      </c>
      <c r="F422" s="4">
        <v>60000</v>
      </c>
      <c r="G422" t="str" s="8" cm="1">
        <f t="array" ref="G422">IF(F422="","Check","okay")</f>
        <v>okay</v>
      </c>
      <c r="H422" s="3">
        <v>4</v>
      </c>
      <c r="I422" t="s" s="2">
        <v>15</v>
      </c>
      <c r="J422" t="s" s="2">
        <v>23</v>
      </c>
      <c r="K422" t="s" s="2">
        <v>17</v>
      </c>
      <c r="L422" s="3">
        <v>3</v>
      </c>
      <c r="M422" t="s" s="2">
        <v>33</v>
      </c>
      <c r="N422" t="s" s="2">
        <v>27</v>
      </c>
      <c r="O422" s="3">
        <v>41</v>
      </c>
      <c r="P422" t="str" s="8" cm="1">
        <f t="array" ref="P422">IF(O422="","check","Okay")</f>
        <v>Okay</v>
      </c>
      <c r="Q422" t="str" s="8" cm="1">
        <f t="array" ref="Q422">IF(O422&lt;30,"UNDER 30",IF(O422&lt;=50,"30-50","Over 50"))</f>
        <v>30-50</v>
      </c>
      <c r="R422" t="s" s="2">
        <v>20</v>
      </c>
      <c r="S422" s="3" cm="1">
        <f t="array" ref="S422">COUNTIF(A2:A1001,A422)</f>
        <v>1</v>
      </c>
      <c r="T422" t="str" s="8" cm="1">
        <f t="array" ref="T422">IF(ISNUMBER(F422),"Ok","check")</f>
        <v>Ok</v>
      </c>
      <c r="U422" t="str" s="8" cm="1">
        <f t="array" ref="U422">IF(ISNUMBER(O422),"ok","check")</f>
        <v>ok</v>
      </c>
    </row>
    <row r="423" ht="13.55" customHeight="1">
      <c r="A423" s="3">
        <v>17012</v>
      </c>
      <c r="B423" t="s" s="2">
        <v>13</v>
      </c>
      <c r="C423" t="str" s="8" cm="1">
        <f t="array" ref="C423">IF(B423="M","Married","Single")</f>
        <v>Married</v>
      </c>
      <c r="D423" t="s" s="2">
        <v>14</v>
      </c>
      <c r="E423" t="str" s="8" cm="1">
        <f t="array" ref="E423">IF(D423="M","Male",IF(D423="F","Female","Check"))</f>
        <v>Female</v>
      </c>
      <c r="F423" s="4">
        <v>60000</v>
      </c>
      <c r="G423" t="str" s="8" cm="1">
        <f t="array" ref="G423">IF(F423="","Check","okay")</f>
        <v>okay</v>
      </c>
      <c r="H423" s="3">
        <v>3</v>
      </c>
      <c r="I423" t="s" s="2">
        <v>34</v>
      </c>
      <c r="J423" t="s" s="2">
        <v>23</v>
      </c>
      <c r="K423" t="s" s="2">
        <v>17</v>
      </c>
      <c r="L423" s="3">
        <v>0</v>
      </c>
      <c r="M423" t="s" s="2">
        <v>24</v>
      </c>
      <c r="N423" t="s" s="2">
        <v>35</v>
      </c>
      <c r="O423" s="3">
        <v>42</v>
      </c>
      <c r="P423" t="str" s="8" cm="1">
        <f t="array" ref="P423">IF(O423="","check","Okay")</f>
        <v>Okay</v>
      </c>
      <c r="Q423" t="str" s="8" cm="1">
        <f t="array" ref="Q423">IF(O423&lt;30,"UNDER 30",IF(O423&lt;=50,"30-50","Over 50"))</f>
        <v>30-50</v>
      </c>
      <c r="R423" t="s" s="2">
        <v>17</v>
      </c>
      <c r="S423" s="3" cm="1">
        <f t="array" ref="S423">COUNTIF(A2:A1001,A423)</f>
        <v>1</v>
      </c>
      <c r="T423" t="str" s="8" cm="1">
        <f t="array" ref="T423">IF(ISNUMBER(F423),"Ok","check")</f>
        <v>Ok</v>
      </c>
      <c r="U423" t="str" s="8" cm="1">
        <f t="array" ref="U423">IF(ISNUMBER(O423),"ok","check")</f>
        <v>ok</v>
      </c>
    </row>
    <row r="424" ht="13.55" customHeight="1">
      <c r="A424" s="3">
        <v>24322</v>
      </c>
      <c r="B424" t="s" s="2">
        <v>13</v>
      </c>
      <c r="C424" t="str" s="8" cm="1">
        <f t="array" ref="C424">IF(B424="M","Married","Single")</f>
        <v>Married</v>
      </c>
      <c r="D424" t="s" s="2">
        <v>14</v>
      </c>
      <c r="E424" t="str" s="8" cm="1">
        <f t="array" ref="E424">IF(D424="M","Male",IF(D424="F","Female","Check"))</f>
        <v>Female</v>
      </c>
      <c r="F424" s="4">
        <v>60000</v>
      </c>
      <c r="G424" t="str" s="8" cm="1">
        <f t="array" ref="G424">IF(F424="","Check","okay")</f>
        <v>okay</v>
      </c>
      <c r="H424" s="3">
        <v>4</v>
      </c>
      <c r="I424" t="s" s="2">
        <v>15</v>
      </c>
      <c r="J424" t="s" s="2">
        <v>16</v>
      </c>
      <c r="K424" t="s" s="2">
        <v>20</v>
      </c>
      <c r="L424" s="3">
        <v>2</v>
      </c>
      <c r="M424" t="s" s="2">
        <v>18</v>
      </c>
      <c r="N424" t="s" s="2">
        <v>35</v>
      </c>
      <c r="O424" s="3">
        <v>42</v>
      </c>
      <c r="P424" t="str" s="8" cm="1">
        <f t="array" ref="P424">IF(O424="","check","Okay")</f>
        <v>Okay</v>
      </c>
      <c r="Q424" t="str" s="8" cm="1">
        <f t="array" ref="Q424">IF(O424&lt;30,"UNDER 30",IF(O424&lt;=50,"30-50","Over 50"))</f>
        <v>30-50</v>
      </c>
      <c r="R424" t="s" s="2">
        <v>20</v>
      </c>
      <c r="S424" s="3" cm="1">
        <f t="array" ref="S424">COUNTIF(A2:A1001,A424)</f>
        <v>1</v>
      </c>
      <c r="T424" t="str" s="8" cm="1">
        <f t="array" ref="T424">IF(ISNUMBER(F424),"Ok","check")</f>
        <v>Ok</v>
      </c>
      <c r="U424" t="str" s="8" cm="1">
        <f t="array" ref="U424">IF(ISNUMBER(O424),"ok","check")</f>
        <v>ok</v>
      </c>
    </row>
    <row r="425" ht="13.55" customHeight="1">
      <c r="A425" s="3">
        <v>18607</v>
      </c>
      <c r="B425" t="s" s="2">
        <v>25</v>
      </c>
      <c r="C425" t="str" s="8" cm="1">
        <f t="array" ref="C425">IF(B425="M","Married","Single")</f>
        <v>Single</v>
      </c>
      <c r="D425" t="s" s="2">
        <v>14</v>
      </c>
      <c r="E425" t="str" s="8" cm="1">
        <f t="array" ref="E425">IF(D425="M","Male",IF(D425="F","Female","Check"))</f>
        <v>Female</v>
      </c>
      <c r="F425" s="4">
        <v>60000</v>
      </c>
      <c r="G425" t="str" s="8" cm="1">
        <f t="array" ref="G425">IF(F425="","Check","okay")</f>
        <v>okay</v>
      </c>
      <c r="H425" s="3">
        <v>4</v>
      </c>
      <c r="I425" t="s" s="2">
        <v>15</v>
      </c>
      <c r="J425" t="s" s="2">
        <v>16</v>
      </c>
      <c r="K425" t="s" s="2">
        <v>17</v>
      </c>
      <c r="L425" s="3">
        <v>2</v>
      </c>
      <c r="M425" t="s" s="2">
        <v>24</v>
      </c>
      <c r="N425" t="s" s="2">
        <v>35</v>
      </c>
      <c r="O425" s="3">
        <v>42</v>
      </c>
      <c r="P425" t="str" s="8" cm="1">
        <f t="array" ref="P425">IF(O425="","check","Okay")</f>
        <v>Okay</v>
      </c>
      <c r="Q425" t="str" s="8" cm="1">
        <f t="array" ref="Q425">IF(O425&lt;30,"UNDER 30",IF(O425&lt;=50,"30-50","Over 50"))</f>
        <v>30-50</v>
      </c>
      <c r="R425" t="s" s="2">
        <v>17</v>
      </c>
      <c r="S425" s="3" cm="1">
        <f t="array" ref="S425">COUNTIF(A2:A1001,A425)</f>
        <v>1</v>
      </c>
      <c r="T425" t="str" s="8" cm="1">
        <f t="array" ref="T425">IF(ISNUMBER(F425),"Ok","check")</f>
        <v>Ok</v>
      </c>
      <c r="U425" t="str" s="8" cm="1">
        <f t="array" ref="U425">IF(ISNUMBER(O425),"ok","check")</f>
        <v>ok</v>
      </c>
    </row>
    <row r="426" ht="13.55" customHeight="1">
      <c r="A426" s="3">
        <v>26597</v>
      </c>
      <c r="B426" t="s" s="2">
        <v>25</v>
      </c>
      <c r="C426" t="str" s="8" cm="1">
        <f t="array" ref="C426">IF(B426="M","Married","Single")</f>
        <v>Single</v>
      </c>
      <c r="D426" t="s" s="2">
        <v>14</v>
      </c>
      <c r="E426" t="str" s="8" cm="1">
        <f t="array" ref="E426">IF(D426="M","Male",IF(D426="F","Female","Check"))</f>
        <v>Female</v>
      </c>
      <c r="F426" s="4">
        <v>60000</v>
      </c>
      <c r="G426" t="str" s="8" cm="1">
        <f t="array" ref="G426">IF(F426="","Check","okay")</f>
        <v>okay</v>
      </c>
      <c r="H426" s="3">
        <v>4</v>
      </c>
      <c r="I426" t="s" s="2">
        <v>15</v>
      </c>
      <c r="J426" t="s" s="2">
        <v>16</v>
      </c>
      <c r="K426" t="s" s="2">
        <v>20</v>
      </c>
      <c r="L426" s="3">
        <v>2</v>
      </c>
      <c r="M426" t="s" s="2">
        <v>18</v>
      </c>
      <c r="N426" t="s" s="2">
        <v>35</v>
      </c>
      <c r="O426" s="3">
        <v>42</v>
      </c>
      <c r="P426" t="str" s="8" cm="1">
        <f t="array" ref="P426">IF(O426="","check","Okay")</f>
        <v>Okay</v>
      </c>
      <c r="Q426" t="str" s="8" cm="1">
        <f t="array" ref="Q426">IF(O426&lt;30,"UNDER 30",IF(O426&lt;=50,"30-50","Over 50"))</f>
        <v>30-50</v>
      </c>
      <c r="R426" t="s" s="2">
        <v>20</v>
      </c>
      <c r="S426" s="3" cm="1">
        <f t="array" ref="S426">COUNTIF(A2:A1001,A426)</f>
        <v>1</v>
      </c>
      <c r="T426" t="str" s="8" cm="1">
        <f t="array" ref="T426">IF(ISNUMBER(F426),"Ok","check")</f>
        <v>Ok</v>
      </c>
      <c r="U426" t="str" s="8" cm="1">
        <f t="array" ref="U426">IF(ISNUMBER(O426),"ok","check")</f>
        <v>ok</v>
      </c>
    </row>
    <row r="427" ht="13.55" customHeight="1">
      <c r="A427" s="3">
        <v>29133</v>
      </c>
      <c r="B427" t="s" s="2">
        <v>25</v>
      </c>
      <c r="C427" t="str" s="8" cm="1">
        <f t="array" ref="C427">IF(B427="M","Married","Single")</f>
        <v>Single</v>
      </c>
      <c r="D427" t="s" s="2">
        <v>14</v>
      </c>
      <c r="E427" t="str" s="8" cm="1">
        <f t="array" ref="E427">IF(D427="M","Male",IF(D427="F","Female","Check"))</f>
        <v>Female</v>
      </c>
      <c r="F427" s="4">
        <v>60000</v>
      </c>
      <c r="G427" t="str" s="8" cm="1">
        <f t="array" ref="G427">IF(F427="","Check","okay")</f>
        <v>okay</v>
      </c>
      <c r="H427" s="3">
        <v>4</v>
      </c>
      <c r="I427" t="s" s="2">
        <v>15</v>
      </c>
      <c r="J427" t="s" s="2">
        <v>16</v>
      </c>
      <c r="K427" t="s" s="2">
        <v>20</v>
      </c>
      <c r="L427" s="3">
        <v>2</v>
      </c>
      <c r="M427" t="s" s="2">
        <v>18</v>
      </c>
      <c r="N427" t="s" s="2">
        <v>35</v>
      </c>
      <c r="O427" s="3">
        <v>42</v>
      </c>
      <c r="P427" t="str" s="8" cm="1">
        <f t="array" ref="P427">IF(O427="","check","Okay")</f>
        <v>Okay</v>
      </c>
      <c r="Q427" t="str" s="8" cm="1">
        <f t="array" ref="Q427">IF(O427&lt;30,"UNDER 30",IF(O427&lt;=50,"30-50","Over 50"))</f>
        <v>30-50</v>
      </c>
      <c r="R427" t="s" s="2">
        <v>20</v>
      </c>
      <c r="S427" s="3" cm="1">
        <f t="array" ref="S427">COUNTIF(A2:A1001,A427)</f>
        <v>1</v>
      </c>
      <c r="T427" t="str" s="8" cm="1">
        <f t="array" ref="T427">IF(ISNUMBER(F427),"Ok","check")</f>
        <v>Ok</v>
      </c>
      <c r="U427" t="str" s="8" cm="1">
        <f t="array" ref="U427">IF(ISNUMBER(O427),"ok","check")</f>
        <v>ok</v>
      </c>
    </row>
    <row r="428" ht="13.55" customHeight="1">
      <c r="A428" s="3">
        <v>20698</v>
      </c>
      <c r="B428" t="s" s="2">
        <v>13</v>
      </c>
      <c r="C428" t="str" s="8" cm="1">
        <f t="array" ref="C428">IF(B428="M","Married","Single")</f>
        <v>Married</v>
      </c>
      <c r="D428" t="s" s="2">
        <v>13</v>
      </c>
      <c r="E428" t="str" s="8" cm="1">
        <f t="array" ref="E428">IF(D428="M","Male",IF(D428="F","Female","Check"))</f>
        <v>Male</v>
      </c>
      <c r="F428" s="4">
        <v>60000</v>
      </c>
      <c r="G428" t="str" s="8" cm="1">
        <f t="array" ref="G428">IF(F428="","Check","okay")</f>
        <v>okay</v>
      </c>
      <c r="H428" s="3">
        <v>4</v>
      </c>
      <c r="I428" t="s" s="2">
        <v>15</v>
      </c>
      <c r="J428" t="s" s="2">
        <v>16</v>
      </c>
      <c r="K428" t="s" s="2">
        <v>17</v>
      </c>
      <c r="L428" s="3">
        <v>3</v>
      </c>
      <c r="M428" t="s" s="2">
        <v>26</v>
      </c>
      <c r="N428" t="s" s="2">
        <v>35</v>
      </c>
      <c r="O428" s="3">
        <v>42</v>
      </c>
      <c r="P428" t="str" s="8" cm="1">
        <f t="array" ref="P428">IF(O428="","check","Okay")</f>
        <v>Okay</v>
      </c>
      <c r="Q428" t="str" s="8" cm="1">
        <f t="array" ref="Q428">IF(O428&lt;30,"UNDER 30",IF(O428&lt;=50,"30-50","Over 50"))</f>
        <v>30-50</v>
      </c>
      <c r="R428" t="s" s="2">
        <v>20</v>
      </c>
      <c r="S428" s="3" cm="1">
        <f t="array" ref="S428">COUNTIF(A2:A1001,A428)</f>
        <v>1</v>
      </c>
      <c r="T428" t="str" s="8" cm="1">
        <f t="array" ref="T428">IF(ISNUMBER(F428),"Ok","check")</f>
        <v>Ok</v>
      </c>
      <c r="U428" t="str" s="8" cm="1">
        <f t="array" ref="U428">IF(ISNUMBER(O428),"ok","check")</f>
        <v>ok</v>
      </c>
    </row>
    <row r="429" ht="13.55" customHeight="1">
      <c r="A429" s="3">
        <v>29134</v>
      </c>
      <c r="B429" t="s" s="2">
        <v>13</v>
      </c>
      <c r="C429" t="str" s="8" cm="1">
        <f t="array" ref="C429">IF(B429="M","Married","Single")</f>
        <v>Married</v>
      </c>
      <c r="D429" t="s" s="2">
        <v>13</v>
      </c>
      <c r="E429" t="str" s="8" cm="1">
        <f t="array" ref="E429">IF(D429="M","Male",IF(D429="F","Female","Check"))</f>
        <v>Male</v>
      </c>
      <c r="F429" s="4">
        <v>60000</v>
      </c>
      <c r="G429" t="str" s="8" cm="1">
        <f t="array" ref="G429">IF(F429="","Check","okay")</f>
        <v>okay</v>
      </c>
      <c r="H429" s="3">
        <v>4</v>
      </c>
      <c r="I429" t="s" s="2">
        <v>15</v>
      </c>
      <c r="J429" t="s" s="2">
        <v>16</v>
      </c>
      <c r="K429" t="s" s="2">
        <v>20</v>
      </c>
      <c r="L429" s="3">
        <v>3</v>
      </c>
      <c r="M429" t="s" s="2">
        <v>33</v>
      </c>
      <c r="N429" t="s" s="2">
        <v>35</v>
      </c>
      <c r="O429" s="3">
        <v>42</v>
      </c>
      <c r="P429" t="str" s="8" cm="1">
        <f t="array" ref="P429">IF(O429="","check","Okay")</f>
        <v>Okay</v>
      </c>
      <c r="Q429" t="str" s="8" cm="1">
        <f t="array" ref="Q429">IF(O429&lt;30,"UNDER 30",IF(O429&lt;=50,"30-50","Over 50"))</f>
        <v>30-50</v>
      </c>
      <c r="R429" t="s" s="2">
        <v>20</v>
      </c>
      <c r="S429" s="3" cm="1">
        <f t="array" ref="S429">COUNTIF(A2:A1001,A429)</f>
        <v>1</v>
      </c>
      <c r="T429" t="str" s="8" cm="1">
        <f t="array" ref="T429">IF(ISNUMBER(F429),"Ok","check")</f>
        <v>Ok</v>
      </c>
      <c r="U429" t="str" s="8" cm="1">
        <f t="array" ref="U429">IF(ISNUMBER(O429),"ok","check")</f>
        <v>ok</v>
      </c>
    </row>
    <row r="430" ht="13.55" customHeight="1">
      <c r="A430" s="3">
        <v>21660</v>
      </c>
      <c r="B430" t="s" s="2">
        <v>13</v>
      </c>
      <c r="C430" t="str" s="8" cm="1">
        <f t="array" ref="C430">IF(B430="M","Married","Single")</f>
        <v>Married</v>
      </c>
      <c r="D430" t="s" s="2">
        <v>14</v>
      </c>
      <c r="E430" t="str" s="8" cm="1">
        <f t="array" ref="E430">IF(D430="M","Male",IF(D430="F","Female","Check"))</f>
        <v>Female</v>
      </c>
      <c r="F430" s="4">
        <v>60000</v>
      </c>
      <c r="G430" t="str" s="8" cm="1">
        <f t="array" ref="G430">IF(F430="","Check","okay")</f>
        <v>okay</v>
      </c>
      <c r="H430" s="3">
        <v>3</v>
      </c>
      <c r="I430" t="s" s="2">
        <v>34</v>
      </c>
      <c r="J430" t="s" s="2">
        <v>23</v>
      </c>
      <c r="K430" t="s" s="2">
        <v>17</v>
      </c>
      <c r="L430" s="3">
        <v>0</v>
      </c>
      <c r="M430" t="s" s="2">
        <v>24</v>
      </c>
      <c r="N430" t="s" s="2">
        <v>35</v>
      </c>
      <c r="O430" s="3">
        <v>43</v>
      </c>
      <c r="P430" t="str" s="8" cm="1">
        <f t="array" ref="P430">IF(O430="","check","Okay")</f>
        <v>Okay</v>
      </c>
      <c r="Q430" t="str" s="8" cm="1">
        <f t="array" ref="Q430">IF(O430&lt;30,"UNDER 30",IF(O430&lt;=50,"30-50","Over 50"))</f>
        <v>30-50</v>
      </c>
      <c r="R430" t="s" s="2">
        <v>17</v>
      </c>
      <c r="S430" s="3" cm="1">
        <f t="array" ref="S430">COUNTIF(A2:A1001,A430)</f>
        <v>1</v>
      </c>
      <c r="T430" t="str" s="8" cm="1">
        <f t="array" ref="T430">IF(ISNUMBER(F430),"Ok","check")</f>
        <v>Ok</v>
      </c>
      <c r="U430" t="str" s="8" cm="1">
        <f t="array" ref="U430">IF(ISNUMBER(O430),"ok","check")</f>
        <v>ok</v>
      </c>
    </row>
    <row r="431" ht="13.55" customHeight="1">
      <c r="A431" s="3">
        <v>23217</v>
      </c>
      <c r="B431" t="s" s="2">
        <v>25</v>
      </c>
      <c r="C431" t="str" s="8" cm="1">
        <f t="array" ref="C431">IF(B431="M","Married","Single")</f>
        <v>Single</v>
      </c>
      <c r="D431" t="s" s="2">
        <v>14</v>
      </c>
      <c r="E431" t="str" s="8" cm="1">
        <f t="array" ref="E431">IF(D431="M","Male",IF(D431="F","Female","Check"))</f>
        <v>Female</v>
      </c>
      <c r="F431" s="4">
        <v>60000</v>
      </c>
      <c r="G431" t="str" s="8" cm="1">
        <f t="array" ref="G431">IF(F431="","Check","okay")</f>
        <v>okay</v>
      </c>
      <c r="H431" s="3">
        <v>3</v>
      </c>
      <c r="I431" t="s" s="2">
        <v>34</v>
      </c>
      <c r="J431" t="s" s="2">
        <v>23</v>
      </c>
      <c r="K431" t="s" s="2">
        <v>17</v>
      </c>
      <c r="L431" s="3">
        <v>0</v>
      </c>
      <c r="M431" t="s" s="2">
        <v>24</v>
      </c>
      <c r="N431" t="s" s="2">
        <v>35</v>
      </c>
      <c r="O431" s="3">
        <v>43</v>
      </c>
      <c r="P431" t="str" s="8" cm="1">
        <f t="array" ref="P431">IF(O431="","check","Okay")</f>
        <v>Okay</v>
      </c>
      <c r="Q431" t="str" s="8" cm="1">
        <f t="array" ref="Q431">IF(O431&lt;30,"UNDER 30",IF(O431&lt;=50,"30-50","Over 50"))</f>
        <v>30-50</v>
      </c>
      <c r="R431" t="s" s="2">
        <v>17</v>
      </c>
      <c r="S431" s="3" cm="1">
        <f t="array" ref="S431">COUNTIF(A2:A1001,A431)</f>
        <v>1</v>
      </c>
      <c r="T431" t="str" s="8" cm="1">
        <f t="array" ref="T431">IF(ISNUMBER(F431),"Ok","check")</f>
        <v>Ok</v>
      </c>
      <c r="U431" t="str" s="8" cm="1">
        <f t="array" ref="U431">IF(ISNUMBER(O431),"ok","check")</f>
        <v>ok</v>
      </c>
    </row>
    <row r="432" ht="13.55" customHeight="1">
      <c r="A432" s="3">
        <v>15529</v>
      </c>
      <c r="B432" t="s" s="2">
        <v>13</v>
      </c>
      <c r="C432" t="str" s="8" cm="1">
        <f t="array" ref="C432">IF(B432="M","Married","Single")</f>
        <v>Married</v>
      </c>
      <c r="D432" t="s" s="2">
        <v>13</v>
      </c>
      <c r="E432" t="str" s="8" cm="1">
        <f t="array" ref="E432">IF(D432="M","Male",IF(D432="F","Female","Check"))</f>
        <v>Male</v>
      </c>
      <c r="F432" s="4">
        <v>60000</v>
      </c>
      <c r="G432" t="str" s="8" cm="1">
        <f t="array" ref="G432">IF(F432="","Check","okay")</f>
        <v>okay</v>
      </c>
      <c r="H432" s="3">
        <v>4</v>
      </c>
      <c r="I432" t="s" s="2">
        <v>15</v>
      </c>
      <c r="J432" t="s" s="2">
        <v>23</v>
      </c>
      <c r="K432" t="s" s="2">
        <v>17</v>
      </c>
      <c r="L432" s="3">
        <v>2</v>
      </c>
      <c r="M432" t="s" s="2">
        <v>24</v>
      </c>
      <c r="N432" t="s" s="2">
        <v>35</v>
      </c>
      <c r="O432" s="3">
        <v>43</v>
      </c>
      <c r="P432" t="str" s="8" cm="1">
        <f t="array" ref="P432">IF(O432="","check","Okay")</f>
        <v>Okay</v>
      </c>
      <c r="Q432" t="str" s="8" cm="1">
        <f t="array" ref="Q432">IF(O432&lt;30,"UNDER 30",IF(O432&lt;=50,"30-50","Over 50"))</f>
        <v>30-50</v>
      </c>
      <c r="R432" t="s" s="2">
        <v>17</v>
      </c>
      <c r="S432" s="3" cm="1">
        <f t="array" ref="S432">COUNTIF(A2:A1001,A432)</f>
        <v>1</v>
      </c>
      <c r="T432" t="str" s="8" cm="1">
        <f t="array" ref="T432">IF(ISNUMBER(F432),"Ok","check")</f>
        <v>Ok</v>
      </c>
      <c r="U432" t="str" s="8" cm="1">
        <f t="array" ref="U432">IF(ISNUMBER(O432),"ok","check")</f>
        <v>ok</v>
      </c>
    </row>
    <row r="433" ht="13.55" customHeight="1">
      <c r="A433" s="3">
        <v>18267</v>
      </c>
      <c r="B433" t="s" s="2">
        <v>13</v>
      </c>
      <c r="C433" t="str" s="8" cm="1">
        <f t="array" ref="C433">IF(B433="M","Married","Single")</f>
        <v>Married</v>
      </c>
      <c r="D433" t="s" s="2">
        <v>13</v>
      </c>
      <c r="E433" t="str" s="8" cm="1">
        <f t="array" ref="E433">IF(D433="M","Male",IF(D433="F","Female","Check"))</f>
        <v>Male</v>
      </c>
      <c r="F433" s="4">
        <v>60000</v>
      </c>
      <c r="G433" t="str" s="8" cm="1">
        <f t="array" ref="G433">IF(F433="","Check","okay")</f>
        <v>okay</v>
      </c>
      <c r="H433" s="3">
        <v>3</v>
      </c>
      <c r="I433" t="s" s="2">
        <v>15</v>
      </c>
      <c r="J433" t="s" s="2">
        <v>23</v>
      </c>
      <c r="K433" t="s" s="2">
        <v>17</v>
      </c>
      <c r="L433" s="3">
        <v>2</v>
      </c>
      <c r="M433" t="s" s="2">
        <v>26</v>
      </c>
      <c r="N433" t="s" s="2">
        <v>27</v>
      </c>
      <c r="O433" s="3">
        <v>43</v>
      </c>
      <c r="P433" t="str" s="8" cm="1">
        <f t="array" ref="P433">IF(O433="","check","Okay")</f>
        <v>Okay</v>
      </c>
      <c r="Q433" t="str" s="8" cm="1">
        <f t="array" ref="Q433">IF(O433&lt;30,"UNDER 30",IF(O433&lt;=50,"30-50","Over 50"))</f>
        <v>30-50</v>
      </c>
      <c r="R433" t="s" s="2">
        <v>20</v>
      </c>
      <c r="S433" s="3" cm="1">
        <f t="array" ref="S433">COUNTIF(A2:A1001,A433)</f>
        <v>1</v>
      </c>
      <c r="T433" t="str" s="8" cm="1">
        <f t="array" ref="T433">IF(ISNUMBER(F433),"Ok","check")</f>
        <v>Ok</v>
      </c>
      <c r="U433" t="str" s="8" cm="1">
        <f t="array" ref="U433">IF(ISNUMBER(O433),"ok","check")</f>
        <v>ok</v>
      </c>
    </row>
    <row r="434" ht="13.55" customHeight="1">
      <c r="A434" s="3">
        <v>26154</v>
      </c>
      <c r="B434" t="s" s="2">
        <v>13</v>
      </c>
      <c r="C434" t="str" s="8" cm="1">
        <f t="array" ref="C434">IF(B434="M","Married","Single")</f>
        <v>Married</v>
      </c>
      <c r="D434" t="s" s="2">
        <v>13</v>
      </c>
      <c r="E434" t="str" s="8" cm="1">
        <f t="array" ref="E434">IF(D434="M","Male",IF(D434="F","Female","Check"))</f>
        <v>Male</v>
      </c>
      <c r="F434" s="4">
        <v>60000</v>
      </c>
      <c r="G434" t="str" s="8" cm="1">
        <f t="array" ref="G434">IF(F434="","Check","okay")</f>
        <v>okay</v>
      </c>
      <c r="H434" s="3">
        <v>1</v>
      </c>
      <c r="I434" t="s" s="2">
        <v>21</v>
      </c>
      <c r="J434" t="s" s="2">
        <v>16</v>
      </c>
      <c r="K434" t="s" s="2">
        <v>17</v>
      </c>
      <c r="L434" s="3">
        <v>1</v>
      </c>
      <c r="M434" t="s" s="2">
        <v>26</v>
      </c>
      <c r="N434" t="s" s="2">
        <v>27</v>
      </c>
      <c r="O434" s="3">
        <v>43</v>
      </c>
      <c r="P434" t="str" s="8" cm="1">
        <f t="array" ref="P434">IF(O434="","check","Okay")</f>
        <v>Okay</v>
      </c>
      <c r="Q434" t="str" s="8" cm="1">
        <f t="array" ref="Q434">IF(O434&lt;30,"UNDER 30",IF(O434&lt;=50,"30-50","Over 50"))</f>
        <v>30-50</v>
      </c>
      <c r="R434" t="s" s="2">
        <v>17</v>
      </c>
      <c r="S434" s="3" cm="1">
        <f t="array" ref="S434">COUNTIF(A2:A1001,A434)</f>
        <v>1</v>
      </c>
      <c r="T434" t="str" s="8" cm="1">
        <f t="array" ref="T434">IF(ISNUMBER(F434),"Ok","check")</f>
        <v>Ok</v>
      </c>
      <c r="U434" t="str" s="8" cm="1">
        <f t="array" ref="U434">IF(ISNUMBER(O434),"ok","check")</f>
        <v>ok</v>
      </c>
    </row>
    <row r="435" ht="13.55" customHeight="1">
      <c r="A435" s="3">
        <v>27696</v>
      </c>
      <c r="B435" t="s" s="2">
        <v>13</v>
      </c>
      <c r="C435" t="str" s="8" cm="1">
        <f t="array" ref="C435">IF(B435="M","Married","Single")</f>
        <v>Married</v>
      </c>
      <c r="D435" t="s" s="2">
        <v>13</v>
      </c>
      <c r="E435" t="str" s="8" cm="1">
        <f t="array" ref="E435">IF(D435="M","Male",IF(D435="F","Female","Check"))</f>
        <v>Male</v>
      </c>
      <c r="F435" s="4">
        <v>60000</v>
      </c>
      <c r="G435" t="str" s="8" cm="1">
        <f t="array" ref="G435">IF(F435="","Check","okay")</f>
        <v>okay</v>
      </c>
      <c r="H435" s="3">
        <v>1</v>
      </c>
      <c r="I435" t="s" s="2">
        <v>15</v>
      </c>
      <c r="J435" t="s" s="2">
        <v>23</v>
      </c>
      <c r="K435" t="s" s="2">
        <v>17</v>
      </c>
      <c r="L435" s="3">
        <v>1</v>
      </c>
      <c r="M435" t="s" s="2">
        <v>26</v>
      </c>
      <c r="N435" t="s" s="2">
        <v>27</v>
      </c>
      <c r="O435" s="3">
        <v>43</v>
      </c>
      <c r="P435" t="str" s="8" cm="1">
        <f t="array" ref="P435">IF(O435="","check","Okay")</f>
        <v>Okay</v>
      </c>
      <c r="Q435" t="str" s="8" cm="1">
        <f t="array" ref="Q435">IF(O435&lt;30,"UNDER 30",IF(O435&lt;=50,"30-50","Over 50"))</f>
        <v>30-50</v>
      </c>
      <c r="R435" t="s" s="2">
        <v>17</v>
      </c>
      <c r="S435" s="3" cm="1">
        <f t="array" ref="S435">COUNTIF(A2:A1001,A435)</f>
        <v>1</v>
      </c>
      <c r="T435" t="str" s="8" cm="1">
        <f t="array" ref="T435">IF(ISNUMBER(F435),"Ok","check")</f>
        <v>Ok</v>
      </c>
      <c r="U435" t="str" s="8" cm="1">
        <f t="array" ref="U435">IF(ISNUMBER(O435),"ok","check")</f>
        <v>ok</v>
      </c>
    </row>
    <row r="436" ht="13.55" customHeight="1">
      <c r="A436" s="3">
        <v>15532</v>
      </c>
      <c r="B436" t="s" s="2">
        <v>25</v>
      </c>
      <c r="C436" t="str" s="8" cm="1">
        <f t="array" ref="C436">IF(B436="M","Married","Single")</f>
        <v>Single</v>
      </c>
      <c r="D436" t="s" s="2">
        <v>13</v>
      </c>
      <c r="E436" t="str" s="8" cm="1">
        <f t="array" ref="E436">IF(D436="M","Male",IF(D436="F","Female","Check"))</f>
        <v>Male</v>
      </c>
      <c r="F436" s="4">
        <v>60000</v>
      </c>
      <c r="G436" t="str" s="8" cm="1">
        <f t="array" ref="G436">IF(F436="","Check","okay")</f>
        <v>okay</v>
      </c>
      <c r="H436" s="3">
        <v>4</v>
      </c>
      <c r="I436" t="s" s="2">
        <v>15</v>
      </c>
      <c r="J436" t="s" s="2">
        <v>23</v>
      </c>
      <c r="K436" t="s" s="2">
        <v>17</v>
      </c>
      <c r="L436" s="3">
        <v>2</v>
      </c>
      <c r="M436" t="s" s="2">
        <v>24</v>
      </c>
      <c r="N436" t="s" s="2">
        <v>35</v>
      </c>
      <c r="O436" s="3">
        <v>43</v>
      </c>
      <c r="P436" t="str" s="8" cm="1">
        <f t="array" ref="P436">IF(O436="","check","Okay")</f>
        <v>Okay</v>
      </c>
      <c r="Q436" t="str" s="8" cm="1">
        <f t="array" ref="Q436">IF(O436&lt;30,"UNDER 30",IF(O436&lt;=50,"30-50","Over 50"))</f>
        <v>30-50</v>
      </c>
      <c r="R436" t="s" s="2">
        <v>17</v>
      </c>
      <c r="S436" s="3" cm="1">
        <f t="array" ref="S436">COUNTIF(A2:A1001,A436)</f>
        <v>1</v>
      </c>
      <c r="T436" t="str" s="8" cm="1">
        <f t="array" ref="T436">IF(ISNUMBER(F436),"Ok","check")</f>
        <v>Ok</v>
      </c>
      <c r="U436" t="str" s="8" cm="1">
        <f t="array" ref="U436">IF(ISNUMBER(O436),"ok","check")</f>
        <v>ok</v>
      </c>
    </row>
    <row r="437" ht="13.55" customHeight="1">
      <c r="A437" s="3">
        <v>20236</v>
      </c>
      <c r="B437" t="s" s="2">
        <v>25</v>
      </c>
      <c r="C437" t="str" s="8" cm="1">
        <f t="array" ref="C437">IF(B437="M","Married","Single")</f>
        <v>Single</v>
      </c>
      <c r="D437" t="s" s="2">
        <v>13</v>
      </c>
      <c r="E437" t="str" s="8" cm="1">
        <f t="array" ref="E437">IF(D437="M","Male",IF(D437="F","Female","Check"))</f>
        <v>Male</v>
      </c>
      <c r="F437" s="4">
        <v>60000</v>
      </c>
      <c r="G437" t="str" s="8" cm="1">
        <f t="array" ref="G437">IF(F437="","Check","okay")</f>
        <v>okay</v>
      </c>
      <c r="H437" s="3">
        <v>3</v>
      </c>
      <c r="I437" t="s" s="2">
        <v>15</v>
      </c>
      <c r="J437" t="s" s="2">
        <v>23</v>
      </c>
      <c r="K437" t="s" s="2">
        <v>20</v>
      </c>
      <c r="L437" s="3">
        <v>2</v>
      </c>
      <c r="M437" t="s" s="2">
        <v>18</v>
      </c>
      <c r="N437" t="s" s="2">
        <v>27</v>
      </c>
      <c r="O437" s="3">
        <v>43</v>
      </c>
      <c r="P437" t="str" s="8" cm="1">
        <f t="array" ref="P437">IF(O437="","check","Okay")</f>
        <v>Okay</v>
      </c>
      <c r="Q437" t="str" s="8" cm="1">
        <f t="array" ref="Q437">IF(O437&lt;30,"UNDER 30",IF(O437&lt;=50,"30-50","Over 50"))</f>
        <v>30-50</v>
      </c>
      <c r="R437" t="s" s="2">
        <v>17</v>
      </c>
      <c r="S437" s="3" cm="1">
        <f t="array" ref="S437">COUNTIF(A2:A1001,A437)</f>
        <v>1</v>
      </c>
      <c r="T437" t="str" s="8" cm="1">
        <f t="array" ref="T437">IF(ISNUMBER(F437),"Ok","check")</f>
        <v>Ok</v>
      </c>
      <c r="U437" t="str" s="8" cm="1">
        <f t="array" ref="U437">IF(ISNUMBER(O437),"ok","check")</f>
        <v>ok</v>
      </c>
    </row>
    <row r="438" ht="13.55" customHeight="1">
      <c r="A438" s="3">
        <v>21980</v>
      </c>
      <c r="B438" t="s" s="2">
        <v>25</v>
      </c>
      <c r="C438" t="str" s="8" cm="1">
        <f t="array" ref="C438">IF(B438="M","Married","Single")</f>
        <v>Single</v>
      </c>
      <c r="D438" t="s" s="2">
        <v>14</v>
      </c>
      <c r="E438" t="str" s="8" cm="1">
        <f t="array" ref="E438">IF(D438="M","Male",IF(D438="F","Female","Check"))</f>
        <v>Female</v>
      </c>
      <c r="F438" s="4">
        <v>60000</v>
      </c>
      <c r="G438" t="str" s="8" cm="1">
        <f t="array" ref="G438">IF(F438="","Check","okay")</f>
        <v>okay</v>
      </c>
      <c r="H438" s="3">
        <v>1</v>
      </c>
      <c r="I438" t="s" s="2">
        <v>15</v>
      </c>
      <c r="J438" t="s" s="2">
        <v>23</v>
      </c>
      <c r="K438" t="s" s="2">
        <v>17</v>
      </c>
      <c r="L438" s="3">
        <v>1</v>
      </c>
      <c r="M438" t="s" s="2">
        <v>26</v>
      </c>
      <c r="N438" t="s" s="2">
        <v>27</v>
      </c>
      <c r="O438" s="3">
        <v>44</v>
      </c>
      <c r="P438" t="str" s="8" cm="1">
        <f t="array" ref="P438">IF(O438="","check","Okay")</f>
        <v>Okay</v>
      </c>
      <c r="Q438" t="str" s="8" cm="1">
        <f t="array" ref="Q438">IF(O438&lt;30,"UNDER 30",IF(O438&lt;=50,"30-50","Over 50"))</f>
        <v>30-50</v>
      </c>
      <c r="R438" t="s" s="2">
        <v>17</v>
      </c>
      <c r="S438" s="3" cm="1">
        <f t="array" ref="S438">COUNTIF(A2:A1001,A438)</f>
        <v>1</v>
      </c>
      <c r="T438" t="str" s="8" cm="1">
        <f t="array" ref="T438">IF(ISNUMBER(F438),"Ok","check")</f>
        <v>Ok</v>
      </c>
      <c r="U438" t="str" s="8" cm="1">
        <f t="array" ref="U438">IF(ISNUMBER(O438),"ok","check")</f>
        <v>ok</v>
      </c>
    </row>
    <row r="439" ht="13.55" customHeight="1">
      <c r="A439" s="3">
        <v>29143</v>
      </c>
      <c r="B439" t="s" s="2">
        <v>25</v>
      </c>
      <c r="C439" t="str" s="8" cm="1">
        <f t="array" ref="C439">IF(B439="M","Married","Single")</f>
        <v>Single</v>
      </c>
      <c r="D439" t="s" s="2">
        <v>14</v>
      </c>
      <c r="E439" t="str" s="8" cm="1">
        <f t="array" ref="E439">IF(D439="M","Male",IF(D439="F","Female","Check"))</f>
        <v>Female</v>
      </c>
      <c r="F439" s="4">
        <v>60000</v>
      </c>
      <c r="G439" t="str" s="8" cm="1">
        <f t="array" ref="G439">IF(F439="","Check","okay")</f>
        <v>okay</v>
      </c>
      <c r="H439" s="3">
        <v>1</v>
      </c>
      <c r="I439" t="s" s="2">
        <v>15</v>
      </c>
      <c r="J439" t="s" s="2">
        <v>23</v>
      </c>
      <c r="K439" t="s" s="2">
        <v>20</v>
      </c>
      <c r="L439" s="3">
        <v>1</v>
      </c>
      <c r="M439" t="s" s="2">
        <v>18</v>
      </c>
      <c r="N439" t="s" s="2">
        <v>35</v>
      </c>
      <c r="O439" s="3">
        <v>44</v>
      </c>
      <c r="P439" t="str" s="8" cm="1">
        <f t="array" ref="P439">IF(O439="","check","Okay")</f>
        <v>Okay</v>
      </c>
      <c r="Q439" t="str" s="8" cm="1">
        <f t="array" ref="Q439">IF(O439&lt;30,"UNDER 30",IF(O439&lt;=50,"30-50","Over 50"))</f>
        <v>30-50</v>
      </c>
      <c r="R439" t="s" s="2">
        <v>17</v>
      </c>
      <c r="S439" s="3" cm="1">
        <f t="array" ref="S439">COUNTIF(A2:A1001,A439)</f>
        <v>1</v>
      </c>
      <c r="T439" t="str" s="8" cm="1">
        <f t="array" ref="T439">IF(ISNUMBER(F439),"Ok","check")</f>
        <v>Ok</v>
      </c>
      <c r="U439" t="str" s="8" cm="1">
        <f t="array" ref="U439">IF(ISNUMBER(O439),"ok","check")</f>
        <v>ok</v>
      </c>
    </row>
    <row r="440" ht="13.55" customHeight="1">
      <c r="A440" s="3">
        <v>14633</v>
      </c>
      <c r="B440" t="s" s="2">
        <v>13</v>
      </c>
      <c r="C440" t="str" s="8" cm="1">
        <f t="array" ref="C440">IF(B440="M","Married","Single")</f>
        <v>Married</v>
      </c>
      <c r="D440" t="s" s="2">
        <v>13</v>
      </c>
      <c r="E440" t="str" s="8" cm="1">
        <f t="array" ref="E440">IF(D440="M","Male",IF(D440="F","Female","Check"))</f>
        <v>Male</v>
      </c>
      <c r="F440" s="4">
        <v>60000</v>
      </c>
      <c r="G440" t="str" s="8" cm="1">
        <f t="array" ref="G440">IF(F440="","Check","okay")</f>
        <v>okay</v>
      </c>
      <c r="H440" s="3">
        <v>1</v>
      </c>
      <c r="I440" t="s" s="2">
        <v>21</v>
      </c>
      <c r="J440" t="s" s="2">
        <v>16</v>
      </c>
      <c r="K440" t="s" s="2">
        <v>17</v>
      </c>
      <c r="L440" s="3">
        <v>1</v>
      </c>
      <c r="M440" t="s" s="2">
        <v>24</v>
      </c>
      <c r="N440" t="s" s="2">
        <v>35</v>
      </c>
      <c r="O440" s="3">
        <v>44</v>
      </c>
      <c r="P440" t="str" s="8" cm="1">
        <f t="array" ref="P440">IF(O440="","check","Okay")</f>
        <v>Okay</v>
      </c>
      <c r="Q440" t="str" s="8" cm="1">
        <f t="array" ref="Q440">IF(O440&lt;30,"UNDER 30",IF(O440&lt;=50,"30-50","Over 50"))</f>
        <v>30-50</v>
      </c>
      <c r="R440" t="s" s="2">
        <v>20</v>
      </c>
      <c r="S440" s="3" cm="1">
        <f t="array" ref="S440">COUNTIF(A2:A1001,A440)</f>
        <v>1</v>
      </c>
      <c r="T440" t="str" s="8" cm="1">
        <f t="array" ref="T440">IF(ISNUMBER(F440),"Ok","check")</f>
        <v>Ok</v>
      </c>
      <c r="U440" t="str" s="8" cm="1">
        <f t="array" ref="U440">IF(ISNUMBER(O440),"ok","check")</f>
        <v>ok</v>
      </c>
    </row>
    <row r="441" ht="13.55" customHeight="1">
      <c r="A441" s="3">
        <v>14312</v>
      </c>
      <c r="B441" t="s" s="2">
        <v>13</v>
      </c>
      <c r="C441" t="str" s="8" cm="1">
        <f t="array" ref="C441">IF(B441="M","Married","Single")</f>
        <v>Married</v>
      </c>
      <c r="D441" t="s" s="2">
        <v>14</v>
      </c>
      <c r="E441" t="str" s="8" cm="1">
        <f t="array" ref="E441">IF(D441="M","Male",IF(D441="F","Female","Check"))</f>
        <v>Female</v>
      </c>
      <c r="F441" s="4">
        <v>60000</v>
      </c>
      <c r="G441" t="str" s="8" cm="1">
        <f t="array" ref="G441">IF(F441="","Check","okay")</f>
        <v>okay</v>
      </c>
      <c r="H441" s="3">
        <v>1</v>
      </c>
      <c r="I441" t="s" s="2">
        <v>21</v>
      </c>
      <c r="J441" t="s" s="2">
        <v>16</v>
      </c>
      <c r="K441" t="s" s="2">
        <v>17</v>
      </c>
      <c r="L441" s="3">
        <v>1</v>
      </c>
      <c r="M441" t="s" s="2">
        <v>26</v>
      </c>
      <c r="N441" t="s" s="2">
        <v>27</v>
      </c>
      <c r="O441" s="3">
        <v>45</v>
      </c>
      <c r="P441" t="str" s="8" cm="1">
        <f t="array" ref="P441">IF(O441="","check","Okay")</f>
        <v>Okay</v>
      </c>
      <c r="Q441" t="str" s="8" cm="1">
        <f t="array" ref="Q441">IF(O441&lt;30,"UNDER 30",IF(O441&lt;=50,"30-50","Over 50"))</f>
        <v>30-50</v>
      </c>
      <c r="R441" t="s" s="2">
        <v>20</v>
      </c>
      <c r="S441" s="3" cm="1">
        <f t="array" ref="S441">COUNTIF(A2:A1001,A441)</f>
        <v>1</v>
      </c>
      <c r="T441" t="str" s="8" cm="1">
        <f t="array" ref="T441">IF(ISNUMBER(F441),"Ok","check")</f>
        <v>Ok</v>
      </c>
      <c r="U441" t="str" s="8" cm="1">
        <f t="array" ref="U441">IF(ISNUMBER(O441),"ok","check")</f>
        <v>ok</v>
      </c>
    </row>
    <row r="442" ht="13.55" customHeight="1">
      <c r="A442" s="3">
        <v>15555</v>
      </c>
      <c r="B442" t="s" s="2">
        <v>13</v>
      </c>
      <c r="C442" t="str" s="8" cm="1">
        <f t="array" ref="C442">IF(B442="M","Married","Single")</f>
        <v>Married</v>
      </c>
      <c r="D442" t="s" s="2">
        <v>14</v>
      </c>
      <c r="E442" t="str" s="8" cm="1">
        <f t="array" ref="E442">IF(D442="M","Male",IF(D442="F","Female","Check"))</f>
        <v>Female</v>
      </c>
      <c r="F442" s="4">
        <v>60000</v>
      </c>
      <c r="G442" t="str" s="8" cm="1">
        <f t="array" ref="G442">IF(F442="","Check","okay")</f>
        <v>okay</v>
      </c>
      <c r="H442" s="3">
        <v>1</v>
      </c>
      <c r="I442" t="s" s="2">
        <v>21</v>
      </c>
      <c r="J442" t="s" s="2">
        <v>16</v>
      </c>
      <c r="K442" t="s" s="2">
        <v>17</v>
      </c>
      <c r="L442" s="3">
        <v>1</v>
      </c>
      <c r="M442" t="s" s="2">
        <v>24</v>
      </c>
      <c r="N442" t="s" s="2">
        <v>35</v>
      </c>
      <c r="O442" s="3">
        <v>45</v>
      </c>
      <c r="P442" t="str" s="8" cm="1">
        <f t="array" ref="P442">IF(O442="","check","Okay")</f>
        <v>Okay</v>
      </c>
      <c r="Q442" t="str" s="8" cm="1">
        <f t="array" ref="Q442">IF(O442&lt;30,"UNDER 30",IF(O442&lt;=50,"30-50","Over 50"))</f>
        <v>30-50</v>
      </c>
      <c r="R442" t="s" s="2">
        <v>17</v>
      </c>
      <c r="S442" s="3" cm="1">
        <f t="array" ref="S442">COUNTIF(A2:A1001,A442)</f>
        <v>1</v>
      </c>
      <c r="T442" t="str" s="8" cm="1">
        <f t="array" ref="T442">IF(ISNUMBER(F442),"Ok","check")</f>
        <v>Ok</v>
      </c>
      <c r="U442" t="str" s="8" cm="1">
        <f t="array" ref="U442">IF(ISNUMBER(O442),"ok","check")</f>
        <v>ok</v>
      </c>
    </row>
    <row r="443" ht="13.55" customHeight="1">
      <c r="A443" s="3">
        <v>18050</v>
      </c>
      <c r="B443" t="s" s="2">
        <v>13</v>
      </c>
      <c r="C443" t="str" s="8" cm="1">
        <f t="array" ref="C443">IF(B443="M","Married","Single")</f>
        <v>Married</v>
      </c>
      <c r="D443" t="s" s="2">
        <v>14</v>
      </c>
      <c r="E443" t="str" s="8" cm="1">
        <f t="array" ref="E443">IF(D443="M","Male",IF(D443="F","Female","Check"))</f>
        <v>Female</v>
      </c>
      <c r="F443" s="4">
        <v>60000</v>
      </c>
      <c r="G443" t="str" s="8" cm="1">
        <f t="array" ref="G443">IF(F443="","Check","okay")</f>
        <v>okay</v>
      </c>
      <c r="H443" s="3">
        <v>1</v>
      </c>
      <c r="I443" t="s" s="2">
        <v>21</v>
      </c>
      <c r="J443" t="s" s="2">
        <v>16</v>
      </c>
      <c r="K443" t="s" s="2">
        <v>17</v>
      </c>
      <c r="L443" s="3">
        <v>1</v>
      </c>
      <c r="M443" t="s" s="2">
        <v>18</v>
      </c>
      <c r="N443" t="s" s="2">
        <v>35</v>
      </c>
      <c r="O443" s="3">
        <v>45</v>
      </c>
      <c r="P443" t="str" s="8" cm="1">
        <f t="array" ref="P443">IF(O443="","check","Okay")</f>
        <v>Okay</v>
      </c>
      <c r="Q443" t="str" s="8" cm="1">
        <f t="array" ref="Q443">IF(O443&lt;30,"UNDER 30",IF(O443&lt;=50,"30-50","Over 50"))</f>
        <v>30-50</v>
      </c>
      <c r="R443" t="s" s="2">
        <v>17</v>
      </c>
      <c r="S443" s="3" cm="1">
        <f t="array" ref="S443">COUNTIF(A2:A1001,A443)</f>
        <v>1</v>
      </c>
      <c r="T443" t="str" s="8" cm="1">
        <f t="array" ref="T443">IF(ISNUMBER(F443),"Ok","check")</f>
        <v>Ok</v>
      </c>
      <c r="U443" t="str" s="8" cm="1">
        <f t="array" ref="U443">IF(ISNUMBER(O443),"ok","check")</f>
        <v>ok</v>
      </c>
    </row>
    <row r="444" ht="13.55" customHeight="1">
      <c r="A444" s="3">
        <v>18052</v>
      </c>
      <c r="B444" t="s" s="2">
        <v>13</v>
      </c>
      <c r="C444" t="str" s="8" cm="1">
        <f t="array" ref="C444">IF(B444="M","Married","Single")</f>
        <v>Married</v>
      </c>
      <c r="D444" t="s" s="2">
        <v>14</v>
      </c>
      <c r="E444" t="str" s="8" cm="1">
        <f t="array" ref="E444">IF(D444="M","Male",IF(D444="F","Female","Check"))</f>
        <v>Female</v>
      </c>
      <c r="F444" s="4">
        <v>60000</v>
      </c>
      <c r="G444" t="str" s="8" cm="1">
        <f t="array" ref="G444">IF(F444="","Check","okay")</f>
        <v>okay</v>
      </c>
      <c r="H444" s="3">
        <v>1</v>
      </c>
      <c r="I444" t="s" s="2">
        <v>21</v>
      </c>
      <c r="J444" t="s" s="2">
        <v>16</v>
      </c>
      <c r="K444" t="s" s="2">
        <v>17</v>
      </c>
      <c r="L444" s="3">
        <v>1</v>
      </c>
      <c r="M444" t="s" s="2">
        <v>18</v>
      </c>
      <c r="N444" t="s" s="2">
        <v>35</v>
      </c>
      <c r="O444" s="3">
        <v>45</v>
      </c>
      <c r="P444" t="str" s="8" cm="1">
        <f t="array" ref="P444">IF(O444="","check","Okay")</f>
        <v>Okay</v>
      </c>
      <c r="Q444" t="str" s="8" cm="1">
        <f t="array" ref="Q444">IF(O444&lt;30,"UNDER 30",IF(O444&lt;=50,"30-50","Over 50"))</f>
        <v>30-50</v>
      </c>
      <c r="R444" t="s" s="2">
        <v>17</v>
      </c>
      <c r="S444" s="3" cm="1">
        <f t="array" ref="S444">COUNTIF(A2:A1001,A444)</f>
        <v>1</v>
      </c>
      <c r="T444" t="str" s="8" cm="1">
        <f t="array" ref="T444">IF(ISNUMBER(F444),"Ok","check")</f>
        <v>Ok</v>
      </c>
      <c r="U444" t="str" s="8" cm="1">
        <f t="array" ref="U444">IF(ISNUMBER(O444),"ok","check")</f>
        <v>ok</v>
      </c>
    </row>
    <row r="445" ht="13.55" customHeight="1">
      <c r="A445" s="3">
        <v>22936</v>
      </c>
      <c r="B445" t="s" s="2">
        <v>25</v>
      </c>
      <c r="C445" t="str" s="8" cm="1">
        <f t="array" ref="C445">IF(B445="M","Married","Single")</f>
        <v>Single</v>
      </c>
      <c r="D445" t="s" s="2">
        <v>14</v>
      </c>
      <c r="E445" t="str" s="8" cm="1">
        <f t="array" ref="E445">IF(D445="M","Male",IF(D445="F","Female","Check"))</f>
        <v>Female</v>
      </c>
      <c r="F445" s="4">
        <v>60000</v>
      </c>
      <c r="G445" t="str" s="8" cm="1">
        <f t="array" ref="G445">IF(F445="","Check","okay")</f>
        <v>okay</v>
      </c>
      <c r="H445" s="3">
        <v>1</v>
      </c>
      <c r="I445" t="s" s="2">
        <v>21</v>
      </c>
      <c r="J445" t="s" s="2">
        <v>16</v>
      </c>
      <c r="K445" t="s" s="2">
        <v>20</v>
      </c>
      <c r="L445" s="3">
        <v>1</v>
      </c>
      <c r="M445" t="s" s="2">
        <v>18</v>
      </c>
      <c r="N445" t="s" s="2">
        <v>27</v>
      </c>
      <c r="O445" s="3">
        <v>45</v>
      </c>
      <c r="P445" t="str" s="8" cm="1">
        <f t="array" ref="P445">IF(O445="","check","Okay")</f>
        <v>Okay</v>
      </c>
      <c r="Q445" t="str" s="8" cm="1">
        <f t="array" ref="Q445">IF(O445&lt;30,"UNDER 30",IF(O445&lt;=50,"30-50","Over 50"))</f>
        <v>30-50</v>
      </c>
      <c r="R445" t="s" s="2">
        <v>17</v>
      </c>
      <c r="S445" s="3" cm="1">
        <f t="array" ref="S445">COUNTIF(A2:A1001,A445)</f>
        <v>1</v>
      </c>
      <c r="T445" t="str" s="8" cm="1">
        <f t="array" ref="T445">IF(ISNUMBER(F445),"Ok","check")</f>
        <v>Ok</v>
      </c>
      <c r="U445" t="str" s="8" cm="1">
        <f t="array" ref="U445">IF(ISNUMBER(O445),"ok","check")</f>
        <v>ok</v>
      </c>
    </row>
    <row r="446" ht="13.55" customHeight="1">
      <c r="A446" s="3">
        <v>17310</v>
      </c>
      <c r="B446" t="s" s="2">
        <v>13</v>
      </c>
      <c r="C446" t="str" s="8" cm="1">
        <f t="array" ref="C446">IF(B446="M","Married","Single")</f>
        <v>Married</v>
      </c>
      <c r="D446" t="s" s="2">
        <v>13</v>
      </c>
      <c r="E446" t="str" s="8" cm="1">
        <f t="array" ref="E446">IF(D446="M","Male",IF(D446="F","Female","Check"))</f>
        <v>Male</v>
      </c>
      <c r="F446" s="4">
        <v>60000</v>
      </c>
      <c r="G446" t="str" s="8" cm="1">
        <f t="array" ref="G446">IF(F446="","Check","okay")</f>
        <v>okay</v>
      </c>
      <c r="H446" s="3">
        <v>1</v>
      </c>
      <c r="I446" t="s" s="2">
        <v>21</v>
      </c>
      <c r="J446" t="s" s="2">
        <v>16</v>
      </c>
      <c r="K446" t="s" s="2">
        <v>17</v>
      </c>
      <c r="L446" s="3">
        <v>1</v>
      </c>
      <c r="M446" t="s" s="2">
        <v>18</v>
      </c>
      <c r="N446" t="s" s="2">
        <v>27</v>
      </c>
      <c r="O446" s="3">
        <v>45</v>
      </c>
      <c r="P446" t="str" s="8" cm="1">
        <f t="array" ref="P446">IF(O446="","check","Okay")</f>
        <v>Okay</v>
      </c>
      <c r="Q446" t="str" s="8" cm="1">
        <f t="array" ref="Q446">IF(O446&lt;30,"UNDER 30",IF(O446&lt;=50,"30-50","Over 50"))</f>
        <v>30-50</v>
      </c>
      <c r="R446" t="s" s="2">
        <v>17</v>
      </c>
      <c r="S446" s="3" cm="1">
        <f t="array" ref="S446">COUNTIF(A2:A1001,A446)</f>
        <v>1</v>
      </c>
      <c r="T446" t="str" s="8" cm="1">
        <f t="array" ref="T446">IF(ISNUMBER(F446),"Ok","check")</f>
        <v>Ok</v>
      </c>
      <c r="U446" t="str" s="8" cm="1">
        <f t="array" ref="U446">IF(ISNUMBER(O446),"ok","check")</f>
        <v>ok</v>
      </c>
    </row>
    <row r="447" ht="13.55" customHeight="1">
      <c r="A447" s="3">
        <v>20196</v>
      </c>
      <c r="B447" t="s" s="2">
        <v>13</v>
      </c>
      <c r="C447" t="str" s="8" cm="1">
        <f t="array" ref="C447">IF(B447="M","Married","Single")</f>
        <v>Married</v>
      </c>
      <c r="D447" t="s" s="2">
        <v>13</v>
      </c>
      <c r="E447" t="str" s="8" cm="1">
        <f t="array" ref="E447">IF(D447="M","Male",IF(D447="F","Female","Check"))</f>
        <v>Male</v>
      </c>
      <c r="F447" s="4">
        <v>60000</v>
      </c>
      <c r="G447" t="str" s="8" cm="1">
        <f t="array" ref="G447">IF(F447="","Check","okay")</f>
        <v>okay</v>
      </c>
      <c r="H447" s="3">
        <v>1</v>
      </c>
      <c r="I447" t="s" s="2">
        <v>21</v>
      </c>
      <c r="J447" t="s" s="2">
        <v>16</v>
      </c>
      <c r="K447" t="s" s="2">
        <v>17</v>
      </c>
      <c r="L447" s="3">
        <v>1</v>
      </c>
      <c r="M447" t="s" s="2">
        <v>24</v>
      </c>
      <c r="N447" t="s" s="2">
        <v>35</v>
      </c>
      <c r="O447" s="3">
        <v>45</v>
      </c>
      <c r="P447" t="str" s="8" cm="1">
        <f t="array" ref="P447">IF(O447="","check","Okay")</f>
        <v>Okay</v>
      </c>
      <c r="Q447" t="str" s="8" cm="1">
        <f t="array" ref="Q447">IF(O447&lt;30,"UNDER 30",IF(O447&lt;=50,"30-50","Over 50"))</f>
        <v>30-50</v>
      </c>
      <c r="R447" t="s" s="2">
        <v>17</v>
      </c>
      <c r="S447" s="3" cm="1">
        <f t="array" ref="S447">COUNTIF(A2:A1001,A447)</f>
        <v>1</v>
      </c>
      <c r="T447" t="str" s="8" cm="1">
        <f t="array" ref="T447">IF(ISNUMBER(F447),"Ok","check")</f>
        <v>Ok</v>
      </c>
      <c r="U447" t="str" s="8" cm="1">
        <f t="array" ref="U447">IF(ISNUMBER(O447),"ok","check")</f>
        <v>ok</v>
      </c>
    </row>
    <row r="448" ht="13.55" customHeight="1">
      <c r="A448" s="3">
        <v>23542</v>
      </c>
      <c r="B448" t="s" s="2">
        <v>25</v>
      </c>
      <c r="C448" t="str" s="8" cm="1">
        <f t="array" ref="C448">IF(B448="M","Married","Single")</f>
        <v>Single</v>
      </c>
      <c r="D448" t="s" s="2">
        <v>13</v>
      </c>
      <c r="E448" t="str" s="8" cm="1">
        <f t="array" ref="E448">IF(D448="M","Male",IF(D448="F","Female","Check"))</f>
        <v>Male</v>
      </c>
      <c r="F448" s="4">
        <v>60000</v>
      </c>
      <c r="G448" t="str" s="8" cm="1">
        <f t="array" ref="G448">IF(F448="","Check","okay")</f>
        <v>okay</v>
      </c>
      <c r="H448" s="3">
        <v>1</v>
      </c>
      <c r="I448" t="s" s="2">
        <v>21</v>
      </c>
      <c r="J448" t="s" s="2">
        <v>16</v>
      </c>
      <c r="K448" t="s" s="2">
        <v>20</v>
      </c>
      <c r="L448" s="3">
        <v>1</v>
      </c>
      <c r="M448" t="s" s="2">
        <v>18</v>
      </c>
      <c r="N448" t="s" s="2">
        <v>27</v>
      </c>
      <c r="O448" s="3">
        <v>45</v>
      </c>
      <c r="P448" t="str" s="8" cm="1">
        <f t="array" ref="P448">IF(O448="","check","Okay")</f>
        <v>Okay</v>
      </c>
      <c r="Q448" t="str" s="8" cm="1">
        <f t="array" ref="Q448">IF(O448&lt;30,"UNDER 30",IF(O448&lt;=50,"30-50","Over 50"))</f>
        <v>30-50</v>
      </c>
      <c r="R448" t="s" s="2">
        <v>17</v>
      </c>
      <c r="S448" s="3" cm="1">
        <f t="array" ref="S448">COUNTIF(A2:A1001,A448)</f>
        <v>1</v>
      </c>
      <c r="T448" t="str" s="8" cm="1">
        <f t="array" ref="T448">IF(ISNUMBER(F448),"Ok","check")</f>
        <v>Ok</v>
      </c>
      <c r="U448" t="str" s="8" cm="1">
        <f t="array" ref="U448">IF(ISNUMBER(O448),"ok","check")</f>
        <v>ok</v>
      </c>
    </row>
    <row r="449" ht="13.55" customHeight="1">
      <c r="A449" s="3">
        <v>26139</v>
      </c>
      <c r="B449" t="s" s="2">
        <v>25</v>
      </c>
      <c r="C449" t="str" s="8" cm="1">
        <f t="array" ref="C449">IF(B449="M","Married","Single")</f>
        <v>Single</v>
      </c>
      <c r="D449" t="s" s="2">
        <v>13</v>
      </c>
      <c r="E449" t="str" s="8" cm="1">
        <f t="array" ref="E449">IF(D449="M","Male",IF(D449="F","Female","Check"))</f>
        <v>Male</v>
      </c>
      <c r="F449" s="4">
        <v>60000</v>
      </c>
      <c r="G449" t="str" s="8" cm="1">
        <f t="array" ref="G449">IF(F449="","Check","okay")</f>
        <v>okay</v>
      </c>
      <c r="H449" s="3">
        <v>1</v>
      </c>
      <c r="I449" t="s" s="2">
        <v>21</v>
      </c>
      <c r="J449" t="s" s="2">
        <v>16</v>
      </c>
      <c r="K449" t="s" s="2">
        <v>17</v>
      </c>
      <c r="L449" s="3">
        <v>1</v>
      </c>
      <c r="M449" t="s" s="2">
        <v>26</v>
      </c>
      <c r="N449" t="s" s="2">
        <v>27</v>
      </c>
      <c r="O449" s="3">
        <v>45</v>
      </c>
      <c r="P449" t="str" s="8" cm="1">
        <f t="array" ref="P449">IF(O449="","check","Okay")</f>
        <v>Okay</v>
      </c>
      <c r="Q449" t="str" s="8" cm="1">
        <f t="array" ref="Q449">IF(O449&lt;30,"UNDER 30",IF(O449&lt;=50,"30-50","Over 50"))</f>
        <v>30-50</v>
      </c>
      <c r="R449" t="s" s="2">
        <v>20</v>
      </c>
      <c r="S449" s="3" cm="1">
        <f t="array" ref="S449">COUNTIF(A2:A1001,A449)</f>
        <v>1</v>
      </c>
      <c r="T449" t="str" s="8" cm="1">
        <f t="array" ref="T449">IF(ISNUMBER(F449),"Ok","check")</f>
        <v>Ok</v>
      </c>
      <c r="U449" t="str" s="8" cm="1">
        <f t="array" ref="U449">IF(ISNUMBER(O449),"ok","check")</f>
        <v>ok</v>
      </c>
    </row>
    <row r="450" ht="13.55" customHeight="1">
      <c r="A450" s="3">
        <v>17864</v>
      </c>
      <c r="B450" t="s" s="2">
        <v>13</v>
      </c>
      <c r="C450" t="str" s="8" cm="1">
        <f t="array" ref="C450">IF(B450="M","Married","Single")</f>
        <v>Married</v>
      </c>
      <c r="D450" t="s" s="2">
        <v>14</v>
      </c>
      <c r="E450" t="str" s="8" cm="1">
        <f t="array" ref="E450">IF(D450="M","Male",IF(D450="F","Female","Check"))</f>
        <v>Female</v>
      </c>
      <c r="F450" s="4">
        <v>60000</v>
      </c>
      <c r="G450" t="str" s="8" cm="1">
        <f t="array" ref="G450">IF(F450="","Check","okay")</f>
        <v>okay</v>
      </c>
      <c r="H450" s="3">
        <v>1</v>
      </c>
      <c r="I450" t="s" s="2">
        <v>21</v>
      </c>
      <c r="J450" t="s" s="2">
        <v>16</v>
      </c>
      <c r="K450" t="s" s="2">
        <v>17</v>
      </c>
      <c r="L450" s="3">
        <v>1</v>
      </c>
      <c r="M450" t="s" s="2">
        <v>24</v>
      </c>
      <c r="N450" t="s" s="2">
        <v>35</v>
      </c>
      <c r="O450" s="3">
        <v>46</v>
      </c>
      <c r="P450" t="str" s="8" cm="1">
        <f t="array" ref="P450">IF(O450="","check","Okay")</f>
        <v>Okay</v>
      </c>
      <c r="Q450" t="str" s="8" cm="1">
        <f t="array" ref="Q450">IF(O450&lt;30,"UNDER 30",IF(O450&lt;=50,"30-50","Over 50"))</f>
        <v>30-50</v>
      </c>
      <c r="R450" t="s" s="2">
        <v>17</v>
      </c>
      <c r="S450" s="3" cm="1">
        <f t="array" ref="S450">COUNTIF(A2:A1001,A450)</f>
        <v>1</v>
      </c>
      <c r="T450" t="str" s="8" cm="1">
        <f t="array" ref="T450">IF(ISNUMBER(F450),"Ok","check")</f>
        <v>Ok</v>
      </c>
      <c r="U450" t="str" s="8" cm="1">
        <f t="array" ref="U450">IF(ISNUMBER(O450),"ok","check")</f>
        <v>ok</v>
      </c>
    </row>
    <row r="451" ht="13.55" customHeight="1">
      <c r="A451" s="3">
        <v>24466</v>
      </c>
      <c r="B451" t="s" s="2">
        <v>13</v>
      </c>
      <c r="C451" t="str" s="8" cm="1">
        <f t="array" ref="C451">IF(B451="M","Married","Single")</f>
        <v>Married</v>
      </c>
      <c r="D451" t="s" s="2">
        <v>14</v>
      </c>
      <c r="E451" t="str" s="8" cm="1">
        <f t="array" ref="E451">IF(D451="M","Male",IF(D451="F","Female","Check"))</f>
        <v>Female</v>
      </c>
      <c r="F451" s="4">
        <v>60000</v>
      </c>
      <c r="G451" t="str" s="8" cm="1">
        <f t="array" ref="G451">IF(F451="","Check","okay")</f>
        <v>okay</v>
      </c>
      <c r="H451" s="3">
        <v>1</v>
      </c>
      <c r="I451" t="s" s="2">
        <v>21</v>
      </c>
      <c r="J451" t="s" s="2">
        <v>16</v>
      </c>
      <c r="K451" t="s" s="2">
        <v>17</v>
      </c>
      <c r="L451" s="3">
        <v>1</v>
      </c>
      <c r="M451" t="s" s="2">
        <v>26</v>
      </c>
      <c r="N451" t="s" s="2">
        <v>27</v>
      </c>
      <c r="O451" s="3">
        <v>46</v>
      </c>
      <c r="P451" t="str" s="8" cm="1">
        <f t="array" ref="P451">IF(O451="","check","Okay")</f>
        <v>Okay</v>
      </c>
      <c r="Q451" t="str" s="8" cm="1">
        <f t="array" ref="Q451">IF(O451&lt;30,"UNDER 30",IF(O451&lt;=50,"30-50","Over 50"))</f>
        <v>30-50</v>
      </c>
      <c r="R451" t="s" s="2">
        <v>17</v>
      </c>
      <c r="S451" s="3" cm="1">
        <f t="array" ref="S451">COUNTIF(A2:A1001,A451)</f>
        <v>1</v>
      </c>
      <c r="T451" t="str" s="8" cm="1">
        <f t="array" ref="T451">IF(ISNUMBER(F451),"Ok","check")</f>
        <v>Ok</v>
      </c>
      <c r="U451" t="str" s="8" cm="1">
        <f t="array" ref="U451">IF(ISNUMBER(O451),"ok","check")</f>
        <v>ok</v>
      </c>
    </row>
    <row r="452" ht="13.55" customHeight="1">
      <c r="A452" s="3">
        <v>28319</v>
      </c>
      <c r="B452" t="s" s="2">
        <v>25</v>
      </c>
      <c r="C452" t="str" s="8" cm="1">
        <f t="array" ref="C452">IF(B452="M","Married","Single")</f>
        <v>Single</v>
      </c>
      <c r="D452" t="s" s="2">
        <v>14</v>
      </c>
      <c r="E452" t="str" s="8" cm="1">
        <f t="array" ref="E452">IF(D452="M","Male",IF(D452="F","Female","Check"))</f>
        <v>Female</v>
      </c>
      <c r="F452" s="4">
        <v>60000</v>
      </c>
      <c r="G452" t="str" s="8" cm="1">
        <f t="array" ref="G452">IF(F452="","Check","okay")</f>
        <v>okay</v>
      </c>
      <c r="H452" s="3">
        <v>1</v>
      </c>
      <c r="I452" t="s" s="2">
        <v>21</v>
      </c>
      <c r="J452" t="s" s="2">
        <v>16</v>
      </c>
      <c r="K452" t="s" s="2">
        <v>20</v>
      </c>
      <c r="L452" s="3">
        <v>1</v>
      </c>
      <c r="M452" t="s" s="2">
        <v>18</v>
      </c>
      <c r="N452" t="s" s="2">
        <v>27</v>
      </c>
      <c r="O452" s="3">
        <v>46</v>
      </c>
      <c r="P452" t="str" s="8" cm="1">
        <f t="array" ref="P452">IF(O452="","check","Okay")</f>
        <v>Okay</v>
      </c>
      <c r="Q452" t="str" s="8" cm="1">
        <f t="array" ref="Q452">IF(O452&lt;30,"UNDER 30",IF(O452&lt;=50,"30-50","Over 50"))</f>
        <v>30-50</v>
      </c>
      <c r="R452" t="s" s="2">
        <v>17</v>
      </c>
      <c r="S452" s="3" cm="1">
        <f t="array" ref="S452">COUNTIF(A2:A1001,A452)</f>
        <v>1</v>
      </c>
      <c r="T452" t="str" s="8" cm="1">
        <f t="array" ref="T452">IF(ISNUMBER(F452),"Ok","check")</f>
        <v>Ok</v>
      </c>
      <c r="U452" t="str" s="8" cm="1">
        <f t="array" ref="U452">IF(ISNUMBER(O452),"ok","check")</f>
        <v>ok</v>
      </c>
    </row>
    <row r="453" ht="13.55" customHeight="1">
      <c r="A453" s="3">
        <v>29298</v>
      </c>
      <c r="B453" t="s" s="2">
        <v>25</v>
      </c>
      <c r="C453" t="str" s="8" cm="1">
        <f t="array" ref="C453">IF(B453="M","Married","Single")</f>
        <v>Single</v>
      </c>
      <c r="D453" t="s" s="2">
        <v>14</v>
      </c>
      <c r="E453" t="str" s="8" cm="1">
        <f t="array" ref="E453">IF(D453="M","Male",IF(D453="F","Female","Check"))</f>
        <v>Female</v>
      </c>
      <c r="F453" s="4">
        <v>60000</v>
      </c>
      <c r="G453" t="str" s="8" cm="1">
        <f t="array" ref="G453">IF(F453="","Check","okay")</f>
        <v>okay</v>
      </c>
      <c r="H453" s="3">
        <v>1</v>
      </c>
      <c r="I453" t="s" s="2">
        <v>21</v>
      </c>
      <c r="J453" t="s" s="2">
        <v>16</v>
      </c>
      <c r="K453" t="s" s="2">
        <v>17</v>
      </c>
      <c r="L453" s="3">
        <v>1</v>
      </c>
      <c r="M453" t="s" s="2">
        <v>26</v>
      </c>
      <c r="N453" t="s" s="2">
        <v>27</v>
      </c>
      <c r="O453" s="3">
        <v>46</v>
      </c>
      <c r="P453" t="str" s="8" cm="1">
        <f t="array" ref="P453">IF(O453="","check","Okay")</f>
        <v>Okay</v>
      </c>
      <c r="Q453" t="str" s="8" cm="1">
        <f t="array" ref="Q453">IF(O453&lt;30,"UNDER 30",IF(O453&lt;=50,"30-50","Over 50"))</f>
        <v>30-50</v>
      </c>
      <c r="R453" t="s" s="2">
        <v>17</v>
      </c>
      <c r="S453" s="3" cm="1">
        <f t="array" ref="S453">COUNTIF(A2:A1001,A453)</f>
        <v>1</v>
      </c>
      <c r="T453" t="str" s="8" cm="1">
        <f t="array" ref="T453">IF(ISNUMBER(F453),"Ok","check")</f>
        <v>Ok</v>
      </c>
      <c r="U453" t="str" s="8" cm="1">
        <f t="array" ref="U453">IF(ISNUMBER(O453),"ok","check")</f>
        <v>ok</v>
      </c>
    </row>
    <row r="454" ht="13.55" customHeight="1">
      <c r="A454" s="3">
        <v>11738</v>
      </c>
      <c r="B454" t="s" s="2">
        <v>13</v>
      </c>
      <c r="C454" t="str" s="8" cm="1">
        <f t="array" ref="C454">IF(B454="M","Married","Single")</f>
        <v>Married</v>
      </c>
      <c r="D454" t="s" s="2">
        <v>13</v>
      </c>
      <c r="E454" t="str" s="8" cm="1">
        <f t="array" ref="E454">IF(D454="M","Male",IF(D454="F","Female","Check"))</f>
        <v>Male</v>
      </c>
      <c r="F454" s="4">
        <v>60000</v>
      </c>
      <c r="G454" t="str" s="8" cm="1">
        <f t="array" ref="G454">IF(F454="","Check","okay")</f>
        <v>okay</v>
      </c>
      <c r="H454" s="3">
        <v>4</v>
      </c>
      <c r="I454" t="s" s="2">
        <v>15</v>
      </c>
      <c r="J454" t="s" s="2">
        <v>23</v>
      </c>
      <c r="K454" t="s" s="2">
        <v>17</v>
      </c>
      <c r="L454" s="3">
        <v>0</v>
      </c>
      <c r="M454" t="s" s="2">
        <v>24</v>
      </c>
      <c r="N454" t="s" s="2">
        <v>35</v>
      </c>
      <c r="O454" s="3">
        <v>46</v>
      </c>
      <c r="P454" t="str" s="8" cm="1">
        <f t="array" ref="P454">IF(O454="","check","Okay")</f>
        <v>Okay</v>
      </c>
      <c r="Q454" t="str" s="8" cm="1">
        <f t="array" ref="Q454">IF(O454&lt;30,"UNDER 30",IF(O454&lt;=50,"30-50","Over 50"))</f>
        <v>30-50</v>
      </c>
      <c r="R454" t="s" s="2">
        <v>20</v>
      </c>
      <c r="S454" s="3" cm="1">
        <f t="array" ref="S454">COUNTIF(A2:A1001,A454)</f>
        <v>1</v>
      </c>
      <c r="T454" t="str" s="8" cm="1">
        <f t="array" ref="T454">IF(ISNUMBER(F454),"Ok","check")</f>
        <v>Ok</v>
      </c>
      <c r="U454" t="str" s="8" cm="1">
        <f t="array" ref="U454">IF(ISNUMBER(O454),"ok","check")</f>
        <v>ok</v>
      </c>
    </row>
    <row r="455" ht="13.55" customHeight="1">
      <c r="A455" s="3">
        <v>13942</v>
      </c>
      <c r="B455" t="s" s="2">
        <v>13</v>
      </c>
      <c r="C455" t="str" s="8" cm="1">
        <f t="array" ref="C455">IF(B455="M","Married","Single")</f>
        <v>Married</v>
      </c>
      <c r="D455" t="s" s="2">
        <v>13</v>
      </c>
      <c r="E455" t="str" s="8" cm="1">
        <f t="array" ref="E455">IF(D455="M","Male",IF(D455="F","Female","Check"))</f>
        <v>Male</v>
      </c>
      <c r="F455" s="4">
        <v>60000</v>
      </c>
      <c r="G455" t="str" s="8" cm="1">
        <f t="array" ref="G455">IF(F455="","Check","okay")</f>
        <v>okay</v>
      </c>
      <c r="H455" s="3">
        <v>1</v>
      </c>
      <c r="I455" t="s" s="2">
        <v>21</v>
      </c>
      <c r="J455" t="s" s="2">
        <v>16</v>
      </c>
      <c r="K455" t="s" s="2">
        <v>17</v>
      </c>
      <c r="L455" s="3">
        <v>1</v>
      </c>
      <c r="M455" t="s" s="2">
        <v>18</v>
      </c>
      <c r="N455" t="s" s="2">
        <v>35</v>
      </c>
      <c r="O455" s="3">
        <v>46</v>
      </c>
      <c r="P455" t="str" s="8" cm="1">
        <f t="array" ref="P455">IF(O455="","check","Okay")</f>
        <v>Okay</v>
      </c>
      <c r="Q455" t="str" s="8" cm="1">
        <f t="array" ref="Q455">IF(O455&lt;30,"UNDER 30",IF(O455&lt;=50,"30-50","Over 50"))</f>
        <v>30-50</v>
      </c>
      <c r="R455" t="s" s="2">
        <v>20</v>
      </c>
      <c r="S455" s="3" cm="1">
        <f t="array" ref="S455">COUNTIF(A2:A1001,A455)</f>
        <v>1</v>
      </c>
      <c r="T455" t="str" s="8" cm="1">
        <f t="array" ref="T455">IF(ISNUMBER(F455),"Ok","check")</f>
        <v>Ok</v>
      </c>
      <c r="U455" t="str" s="8" cm="1">
        <f t="array" ref="U455">IF(ISNUMBER(O455),"ok","check")</f>
        <v>ok</v>
      </c>
    </row>
    <row r="456" ht="13.55" customHeight="1">
      <c r="A456" s="3">
        <v>21207</v>
      </c>
      <c r="B456" t="s" s="2">
        <v>13</v>
      </c>
      <c r="C456" t="str" s="8" cm="1">
        <f t="array" ref="C456">IF(B456="M","Married","Single")</f>
        <v>Married</v>
      </c>
      <c r="D456" t="s" s="2">
        <v>13</v>
      </c>
      <c r="E456" t="str" s="8" cm="1">
        <f t="array" ref="E456">IF(D456="M","Male",IF(D456="F","Female","Check"))</f>
        <v>Male</v>
      </c>
      <c r="F456" s="4">
        <v>60000</v>
      </c>
      <c r="G456" t="str" s="8" cm="1">
        <f t="array" ref="G456">IF(F456="","Check","okay")</f>
        <v>okay</v>
      </c>
      <c r="H456" s="3">
        <v>1</v>
      </c>
      <c r="I456" t="s" s="2">
        <v>21</v>
      </c>
      <c r="J456" t="s" s="2">
        <v>16</v>
      </c>
      <c r="K456" t="s" s="2">
        <v>17</v>
      </c>
      <c r="L456" s="3">
        <v>1</v>
      </c>
      <c r="M456" t="s" s="2">
        <v>26</v>
      </c>
      <c r="N456" t="s" s="2">
        <v>27</v>
      </c>
      <c r="O456" s="3">
        <v>46</v>
      </c>
      <c r="P456" t="str" s="8" cm="1">
        <f t="array" ref="P456">IF(O456="","check","Okay")</f>
        <v>Okay</v>
      </c>
      <c r="Q456" t="str" s="8" cm="1">
        <f t="array" ref="Q456">IF(O456&lt;30,"UNDER 30",IF(O456&lt;=50,"30-50","Over 50"))</f>
        <v>30-50</v>
      </c>
      <c r="R456" t="s" s="2">
        <v>20</v>
      </c>
      <c r="S456" s="3" cm="1">
        <f t="array" ref="S456">COUNTIF(A2:A1001,A456)</f>
        <v>1</v>
      </c>
      <c r="T456" t="str" s="8" cm="1">
        <f t="array" ref="T456">IF(ISNUMBER(F456),"Ok","check")</f>
        <v>Ok</v>
      </c>
      <c r="U456" t="str" s="8" cm="1">
        <f t="array" ref="U456">IF(ISNUMBER(O456),"ok","check")</f>
        <v>ok</v>
      </c>
    </row>
    <row r="457" ht="13.55" customHeight="1">
      <c r="A457" s="3">
        <v>11745</v>
      </c>
      <c r="B457" t="s" s="2">
        <v>13</v>
      </c>
      <c r="C457" t="str" s="8" cm="1">
        <f t="array" ref="C457">IF(B457="M","Married","Single")</f>
        <v>Married</v>
      </c>
      <c r="D457" t="s" s="2">
        <v>14</v>
      </c>
      <c r="E457" t="str" s="8" cm="1">
        <f t="array" ref="E457">IF(D457="M","Male",IF(D457="F","Female","Check"))</f>
        <v>Female</v>
      </c>
      <c r="F457" s="4">
        <v>60000</v>
      </c>
      <c r="G457" t="str" s="8" cm="1">
        <f t="array" ref="G457">IF(F457="","Check","okay")</f>
        <v>okay</v>
      </c>
      <c r="H457" s="3">
        <v>1</v>
      </c>
      <c r="I457" t="s" s="2">
        <v>15</v>
      </c>
      <c r="J457" t="s" s="2">
        <v>23</v>
      </c>
      <c r="K457" t="s" s="2">
        <v>17</v>
      </c>
      <c r="L457" s="3">
        <v>1</v>
      </c>
      <c r="M457" t="s" s="2">
        <v>18</v>
      </c>
      <c r="N457" t="s" s="2">
        <v>35</v>
      </c>
      <c r="O457" s="3">
        <v>47</v>
      </c>
      <c r="P457" t="str" s="8" cm="1">
        <f t="array" ref="P457">IF(O457="","check","Okay")</f>
        <v>Okay</v>
      </c>
      <c r="Q457" t="str" s="8" cm="1">
        <f t="array" ref="Q457">IF(O457&lt;30,"UNDER 30",IF(O457&lt;=50,"30-50","Over 50"))</f>
        <v>30-50</v>
      </c>
      <c r="R457" t="s" s="2">
        <v>17</v>
      </c>
      <c r="S457" s="3" cm="1">
        <f t="array" ref="S457">COUNTIF(A2:A1001,A457)</f>
        <v>1</v>
      </c>
      <c r="T457" t="str" s="8" cm="1">
        <f t="array" ref="T457">IF(ISNUMBER(F457),"Ok","check")</f>
        <v>Ok</v>
      </c>
      <c r="U457" t="str" s="8" cm="1">
        <f t="array" ref="U457">IF(ISNUMBER(O457),"ok","check")</f>
        <v>ok</v>
      </c>
    </row>
    <row r="458" ht="13.55" customHeight="1">
      <c r="A458" s="3">
        <v>11538</v>
      </c>
      <c r="B458" t="s" s="2">
        <v>25</v>
      </c>
      <c r="C458" t="str" s="8" cm="1">
        <f t="array" ref="C458">IF(B458="M","Married","Single")</f>
        <v>Single</v>
      </c>
      <c r="D458" t="s" s="2">
        <v>14</v>
      </c>
      <c r="E458" t="str" s="8" cm="1">
        <f t="array" ref="E458">IF(D458="M","Male",IF(D458="F","Female","Check"))</f>
        <v>Female</v>
      </c>
      <c r="F458" s="4">
        <v>60000</v>
      </c>
      <c r="G458" t="str" s="8" cm="1">
        <f t="array" ref="G458">IF(F458="","Check","okay")</f>
        <v>okay</v>
      </c>
      <c r="H458" s="3">
        <v>4</v>
      </c>
      <c r="I458" t="s" s="2">
        <v>34</v>
      </c>
      <c r="J458" t="s" s="2">
        <v>16</v>
      </c>
      <c r="K458" t="s" s="2">
        <v>20</v>
      </c>
      <c r="L458" s="3">
        <v>0</v>
      </c>
      <c r="M458" t="s" s="2">
        <v>18</v>
      </c>
      <c r="N458" t="s" s="2">
        <v>35</v>
      </c>
      <c r="O458" s="3">
        <v>47</v>
      </c>
      <c r="P458" t="str" s="8" cm="1">
        <f t="array" ref="P458">IF(O458="","check","Okay")</f>
        <v>Okay</v>
      </c>
      <c r="Q458" t="str" s="8" cm="1">
        <f t="array" ref="Q458">IF(O458&lt;30,"UNDER 30",IF(O458&lt;=50,"30-50","Over 50"))</f>
        <v>30-50</v>
      </c>
      <c r="R458" t="s" s="2">
        <v>17</v>
      </c>
      <c r="S458" s="3" cm="1">
        <f t="array" ref="S458">COUNTIF(A2:A1001,A458)</f>
        <v>1</v>
      </c>
      <c r="T458" t="str" s="8" cm="1">
        <f t="array" ref="T458">IF(ISNUMBER(F458),"Ok","check")</f>
        <v>Ok</v>
      </c>
      <c r="U458" t="str" s="8" cm="1">
        <f t="array" ref="U458">IF(ISNUMBER(O458),"ok","check")</f>
        <v>ok</v>
      </c>
    </row>
    <row r="459" ht="13.55" customHeight="1">
      <c r="A459" s="3">
        <v>16247</v>
      </c>
      <c r="B459" t="s" s="2">
        <v>25</v>
      </c>
      <c r="C459" t="str" s="8" cm="1">
        <f t="array" ref="C459">IF(B459="M","Married","Single")</f>
        <v>Single</v>
      </c>
      <c r="D459" t="s" s="2">
        <v>14</v>
      </c>
      <c r="E459" t="str" s="8" cm="1">
        <f t="array" ref="E459">IF(D459="M","Male",IF(D459="F","Female","Check"))</f>
        <v>Female</v>
      </c>
      <c r="F459" s="4">
        <v>60000</v>
      </c>
      <c r="G459" t="str" s="8" cm="1">
        <f t="array" ref="G459">IF(F459="","Check","okay")</f>
        <v>okay</v>
      </c>
      <c r="H459" s="3">
        <v>4</v>
      </c>
      <c r="I459" t="s" s="2">
        <v>34</v>
      </c>
      <c r="J459" t="s" s="2">
        <v>16</v>
      </c>
      <c r="K459" t="s" s="2">
        <v>20</v>
      </c>
      <c r="L459" s="3">
        <v>0</v>
      </c>
      <c r="M459" t="s" s="2">
        <v>29</v>
      </c>
      <c r="N459" t="s" s="2">
        <v>35</v>
      </c>
      <c r="O459" s="3">
        <v>47</v>
      </c>
      <c r="P459" t="str" s="8" cm="1">
        <f t="array" ref="P459">IF(O459="","check","Okay")</f>
        <v>Okay</v>
      </c>
      <c r="Q459" t="str" s="8" cm="1">
        <f t="array" ref="Q459">IF(O459&lt;30,"UNDER 30",IF(O459&lt;=50,"30-50","Over 50"))</f>
        <v>30-50</v>
      </c>
      <c r="R459" t="s" s="2">
        <v>20</v>
      </c>
      <c r="S459" s="3" cm="1">
        <f t="array" ref="S459">COUNTIF(A2:A1001,A459)</f>
        <v>1</v>
      </c>
      <c r="T459" t="str" s="8" cm="1">
        <f t="array" ref="T459">IF(ISNUMBER(F459),"Ok","check")</f>
        <v>Ok</v>
      </c>
      <c r="U459" t="str" s="8" cm="1">
        <f t="array" ref="U459">IF(ISNUMBER(O459),"ok","check")</f>
        <v>ok</v>
      </c>
    </row>
    <row r="460" ht="13.55" customHeight="1">
      <c r="A460" s="3">
        <v>11734</v>
      </c>
      <c r="B460" t="s" s="2">
        <v>13</v>
      </c>
      <c r="C460" t="str" s="8" cm="1">
        <f t="array" ref="C460">IF(B460="M","Married","Single")</f>
        <v>Married</v>
      </c>
      <c r="D460" t="s" s="2">
        <v>13</v>
      </c>
      <c r="E460" t="str" s="8" cm="1">
        <f t="array" ref="E460">IF(D460="M","Male",IF(D460="F","Female","Check"))</f>
        <v>Male</v>
      </c>
      <c r="F460" s="4">
        <v>60000</v>
      </c>
      <c r="G460" t="str" s="8" cm="1">
        <f t="array" ref="G460">IF(F460="","Check","okay")</f>
        <v>okay</v>
      </c>
      <c r="H460" s="3">
        <v>1</v>
      </c>
      <c r="I460" t="s" s="2">
        <v>21</v>
      </c>
      <c r="J460" t="s" s="2">
        <v>16</v>
      </c>
      <c r="K460" t="s" s="2">
        <v>20</v>
      </c>
      <c r="L460" s="3">
        <v>1</v>
      </c>
      <c r="M460" t="s" s="2">
        <v>18</v>
      </c>
      <c r="N460" t="s" s="2">
        <v>35</v>
      </c>
      <c r="O460" s="3">
        <v>47</v>
      </c>
      <c r="P460" t="str" s="8" cm="1">
        <f t="array" ref="P460">IF(O460="","check","Okay")</f>
        <v>Okay</v>
      </c>
      <c r="Q460" t="str" s="8" cm="1">
        <f t="array" ref="Q460">IF(O460&lt;30,"UNDER 30",IF(O460&lt;=50,"30-50","Over 50"))</f>
        <v>30-50</v>
      </c>
      <c r="R460" t="s" s="2">
        <v>20</v>
      </c>
      <c r="S460" s="3" cm="1">
        <f t="array" ref="S460">COUNTIF(A2:A1001,A460)</f>
        <v>1</v>
      </c>
      <c r="T460" t="str" s="8" cm="1">
        <f t="array" ref="T460">IF(ISNUMBER(F460),"Ok","check")</f>
        <v>Ok</v>
      </c>
      <c r="U460" t="str" s="8" cm="1">
        <f t="array" ref="U460">IF(ISNUMBER(O460),"ok","check")</f>
        <v>ok</v>
      </c>
    </row>
    <row r="461" ht="13.55" customHeight="1">
      <c r="A461" s="3">
        <v>12452</v>
      </c>
      <c r="B461" t="s" s="2">
        <v>13</v>
      </c>
      <c r="C461" t="str" s="8" cm="1">
        <f t="array" ref="C461">IF(B461="M","Married","Single")</f>
        <v>Married</v>
      </c>
      <c r="D461" t="s" s="2">
        <v>13</v>
      </c>
      <c r="E461" t="str" s="8" cm="1">
        <f t="array" ref="E461">IF(D461="M","Male",IF(D461="F","Female","Check"))</f>
        <v>Male</v>
      </c>
      <c r="F461" s="4">
        <v>60000</v>
      </c>
      <c r="G461" t="str" s="8" cm="1">
        <f t="array" ref="G461">IF(F461="","Check","okay")</f>
        <v>okay</v>
      </c>
      <c r="H461" s="3">
        <v>4</v>
      </c>
      <c r="I461" t="s" s="2">
        <v>34</v>
      </c>
      <c r="J461" t="s" s="2">
        <v>16</v>
      </c>
      <c r="K461" t="s" s="2">
        <v>17</v>
      </c>
      <c r="L461" s="3">
        <v>0</v>
      </c>
      <c r="M461" t="s" s="2">
        <v>29</v>
      </c>
      <c r="N461" t="s" s="2">
        <v>35</v>
      </c>
      <c r="O461" s="3">
        <v>47</v>
      </c>
      <c r="P461" t="str" s="8" cm="1">
        <f t="array" ref="P461">IF(O461="","check","Okay")</f>
        <v>Okay</v>
      </c>
      <c r="Q461" t="str" s="8" cm="1">
        <f t="array" ref="Q461">IF(O461&lt;30,"UNDER 30",IF(O461&lt;=50,"30-50","Over 50"))</f>
        <v>30-50</v>
      </c>
      <c r="R461" t="s" s="2">
        <v>17</v>
      </c>
      <c r="S461" s="3" cm="1">
        <f t="array" ref="S461">COUNTIF(A2:A1001,A461)</f>
        <v>1</v>
      </c>
      <c r="T461" t="str" s="8" cm="1">
        <f t="array" ref="T461">IF(ISNUMBER(F461),"Ok","check")</f>
        <v>Ok</v>
      </c>
      <c r="U461" t="str" s="8" cm="1">
        <f t="array" ref="U461">IF(ISNUMBER(O461),"ok","check")</f>
        <v>ok</v>
      </c>
    </row>
    <row r="462" ht="13.55" customHeight="1">
      <c r="A462" s="3">
        <v>13760</v>
      </c>
      <c r="B462" t="s" s="2">
        <v>13</v>
      </c>
      <c r="C462" t="str" s="8" cm="1">
        <f t="array" ref="C462">IF(B462="M","Married","Single")</f>
        <v>Married</v>
      </c>
      <c r="D462" t="s" s="2">
        <v>13</v>
      </c>
      <c r="E462" t="str" s="8" cm="1">
        <f t="array" ref="E462">IF(D462="M","Male",IF(D462="F","Female","Check"))</f>
        <v>Male</v>
      </c>
      <c r="F462" s="4">
        <v>60000</v>
      </c>
      <c r="G462" t="str" s="8" cm="1">
        <f t="array" ref="G462">IF(F462="","Check","okay")</f>
        <v>okay</v>
      </c>
      <c r="H462" s="3">
        <v>4</v>
      </c>
      <c r="I462" t="s" s="2">
        <v>34</v>
      </c>
      <c r="J462" t="s" s="2">
        <v>16</v>
      </c>
      <c r="K462" t="s" s="2">
        <v>20</v>
      </c>
      <c r="L462" s="3">
        <v>0</v>
      </c>
      <c r="M462" t="s" s="2">
        <v>18</v>
      </c>
      <c r="N462" t="s" s="2">
        <v>35</v>
      </c>
      <c r="O462" s="3">
        <v>47</v>
      </c>
      <c r="P462" t="str" s="8" cm="1">
        <f t="array" ref="P462">IF(O462="","check","Okay")</f>
        <v>Okay</v>
      </c>
      <c r="Q462" t="str" s="8" cm="1">
        <f t="array" ref="Q462">IF(O462&lt;30,"UNDER 30",IF(O462&lt;=50,"30-50","Over 50"))</f>
        <v>30-50</v>
      </c>
      <c r="R462" t="s" s="2">
        <v>20</v>
      </c>
      <c r="S462" s="3" cm="1">
        <f t="array" ref="S462">COUNTIF(A2:A1001,A462)</f>
        <v>1</v>
      </c>
      <c r="T462" t="str" s="8" cm="1">
        <f t="array" ref="T462">IF(ISNUMBER(F462),"Ok","check")</f>
        <v>Ok</v>
      </c>
      <c r="U462" t="str" s="8" cm="1">
        <f t="array" ref="U462">IF(ISNUMBER(O462),"ok","check")</f>
        <v>ok</v>
      </c>
    </row>
    <row r="463" ht="13.55" customHeight="1">
      <c r="A463" s="3">
        <v>15559</v>
      </c>
      <c r="B463" t="s" s="2">
        <v>13</v>
      </c>
      <c r="C463" t="str" s="8" cm="1">
        <f t="array" ref="C463">IF(B463="M","Married","Single")</f>
        <v>Married</v>
      </c>
      <c r="D463" t="s" s="2">
        <v>13</v>
      </c>
      <c r="E463" t="str" s="8" cm="1">
        <f t="array" ref="E463">IF(D463="M","Male",IF(D463="F","Female","Check"))</f>
        <v>Male</v>
      </c>
      <c r="F463" s="4">
        <v>60000</v>
      </c>
      <c r="G463" t="str" s="8" cm="1">
        <f t="array" ref="G463">IF(F463="","Check","okay")</f>
        <v>okay</v>
      </c>
      <c r="H463" s="3">
        <v>5</v>
      </c>
      <c r="I463" t="s" s="2">
        <v>15</v>
      </c>
      <c r="J463" t="s" s="2">
        <v>23</v>
      </c>
      <c r="K463" t="s" s="2">
        <v>17</v>
      </c>
      <c r="L463" s="3">
        <v>1</v>
      </c>
      <c r="M463" t="s" s="2">
        <v>24</v>
      </c>
      <c r="N463" t="s" s="2">
        <v>35</v>
      </c>
      <c r="O463" s="3">
        <v>47</v>
      </c>
      <c r="P463" t="str" s="8" cm="1">
        <f t="array" ref="P463">IF(O463="","check","Okay")</f>
        <v>Okay</v>
      </c>
      <c r="Q463" t="str" s="8" cm="1">
        <f t="array" ref="Q463">IF(O463&lt;30,"UNDER 30",IF(O463&lt;=50,"30-50","Over 50"))</f>
        <v>30-50</v>
      </c>
      <c r="R463" t="s" s="2">
        <v>20</v>
      </c>
      <c r="S463" s="3" cm="1">
        <f t="array" ref="S463">COUNTIF(A2:A1001,A463)</f>
        <v>1</v>
      </c>
      <c r="T463" t="str" s="8" cm="1">
        <f t="array" ref="T463">IF(ISNUMBER(F463),"Ok","check")</f>
        <v>Ok</v>
      </c>
      <c r="U463" t="str" s="8" cm="1">
        <f t="array" ref="U463">IF(ISNUMBER(O463),"ok","check")</f>
        <v>ok</v>
      </c>
    </row>
    <row r="464" ht="13.55" customHeight="1">
      <c r="A464" s="3">
        <v>25101</v>
      </c>
      <c r="B464" t="s" s="2">
        <v>13</v>
      </c>
      <c r="C464" t="str" s="8" cm="1">
        <f t="array" ref="C464">IF(B464="M","Married","Single")</f>
        <v>Married</v>
      </c>
      <c r="D464" t="s" s="2">
        <v>13</v>
      </c>
      <c r="E464" t="str" s="8" cm="1">
        <f t="array" ref="E464">IF(D464="M","Male",IF(D464="F","Female","Check"))</f>
        <v>Male</v>
      </c>
      <c r="F464" s="4">
        <v>60000</v>
      </c>
      <c r="G464" t="str" s="8" cm="1">
        <f t="array" ref="G464">IF(F464="","Check","okay")</f>
        <v>okay</v>
      </c>
      <c r="H464" s="3">
        <v>5</v>
      </c>
      <c r="I464" t="s" s="2">
        <v>15</v>
      </c>
      <c r="J464" t="s" s="2">
        <v>23</v>
      </c>
      <c r="K464" t="s" s="2">
        <v>17</v>
      </c>
      <c r="L464" s="3">
        <v>1</v>
      </c>
      <c r="M464" t="s" s="2">
        <v>24</v>
      </c>
      <c r="N464" t="s" s="2">
        <v>35</v>
      </c>
      <c r="O464" s="3">
        <v>47</v>
      </c>
      <c r="P464" t="str" s="8" cm="1">
        <f t="array" ref="P464">IF(O464="","check","Okay")</f>
        <v>Okay</v>
      </c>
      <c r="Q464" t="str" s="8" cm="1">
        <f t="array" ref="Q464">IF(O464&lt;30,"UNDER 30",IF(O464&lt;=50,"30-50","Over 50"))</f>
        <v>30-50</v>
      </c>
      <c r="R464" t="s" s="2">
        <v>20</v>
      </c>
      <c r="S464" s="3" cm="1">
        <f t="array" ref="S464">COUNTIF(A2:A1001,A464)</f>
        <v>1</v>
      </c>
      <c r="T464" t="str" s="8" cm="1">
        <f t="array" ref="T464">IF(ISNUMBER(F464),"Ok","check")</f>
        <v>Ok</v>
      </c>
      <c r="U464" t="str" s="8" cm="1">
        <f t="array" ref="U464">IF(ISNUMBER(O464),"ok","check")</f>
        <v>ok</v>
      </c>
    </row>
    <row r="465" ht="13.55" customHeight="1">
      <c r="A465" s="3">
        <v>11540</v>
      </c>
      <c r="B465" t="s" s="2">
        <v>25</v>
      </c>
      <c r="C465" t="str" s="8" cm="1">
        <f t="array" ref="C465">IF(B465="M","Married","Single")</f>
        <v>Single</v>
      </c>
      <c r="D465" t="s" s="2">
        <v>13</v>
      </c>
      <c r="E465" t="str" s="8" cm="1">
        <f t="array" ref="E465">IF(D465="M","Male",IF(D465="F","Female","Check"))</f>
        <v>Male</v>
      </c>
      <c r="F465" s="4">
        <v>60000</v>
      </c>
      <c r="G465" t="str" s="8" cm="1">
        <f t="array" ref="G465">IF(F465="","Check","okay")</f>
        <v>okay</v>
      </c>
      <c r="H465" s="3">
        <v>4</v>
      </c>
      <c r="I465" t="s" s="2">
        <v>34</v>
      </c>
      <c r="J465" t="s" s="2">
        <v>16</v>
      </c>
      <c r="K465" t="s" s="2">
        <v>17</v>
      </c>
      <c r="L465" s="3">
        <v>0</v>
      </c>
      <c r="M465" t="s" s="2">
        <v>29</v>
      </c>
      <c r="N465" t="s" s="2">
        <v>35</v>
      </c>
      <c r="O465" s="3">
        <v>47</v>
      </c>
      <c r="P465" t="str" s="8" cm="1">
        <f t="array" ref="P465">IF(O465="","check","Okay")</f>
        <v>Okay</v>
      </c>
      <c r="Q465" t="str" s="8" cm="1">
        <f t="array" ref="Q465">IF(O465&lt;30,"UNDER 30",IF(O465&lt;=50,"30-50","Over 50"))</f>
        <v>30-50</v>
      </c>
      <c r="R465" t="s" s="2">
        <v>17</v>
      </c>
      <c r="S465" s="3" cm="1">
        <f t="array" ref="S465">COUNTIF(A2:A1001,A465)</f>
        <v>1</v>
      </c>
      <c r="T465" t="str" s="8" cm="1">
        <f t="array" ref="T465">IF(ISNUMBER(F465),"Ok","check")</f>
        <v>Ok</v>
      </c>
      <c r="U465" t="str" s="8" cm="1">
        <f t="array" ref="U465">IF(ISNUMBER(O465),"ok","check")</f>
        <v>ok</v>
      </c>
    </row>
    <row r="466" ht="13.55" customHeight="1">
      <c r="A466" s="3">
        <v>17269</v>
      </c>
      <c r="B466" t="s" s="2">
        <v>25</v>
      </c>
      <c r="C466" t="str" s="8" cm="1">
        <f t="array" ref="C466">IF(B466="M","Married","Single")</f>
        <v>Single</v>
      </c>
      <c r="D466" t="s" s="2">
        <v>13</v>
      </c>
      <c r="E466" t="str" s="8" cm="1">
        <f t="array" ref="E466">IF(D466="M","Male",IF(D466="F","Female","Check"))</f>
        <v>Male</v>
      </c>
      <c r="F466" s="4">
        <v>60000</v>
      </c>
      <c r="G466" t="str" s="8" cm="1">
        <f t="array" ref="G466">IF(F466="","Check","okay")</f>
        <v>okay</v>
      </c>
      <c r="H466" s="3">
        <v>3</v>
      </c>
      <c r="I466" t="s" s="2">
        <v>15</v>
      </c>
      <c r="J466" t="s" s="2">
        <v>23</v>
      </c>
      <c r="K466" t="s" s="2">
        <v>20</v>
      </c>
      <c r="L466" s="3">
        <v>0</v>
      </c>
      <c r="M466" t="s" s="2">
        <v>18</v>
      </c>
      <c r="N466" t="s" s="2">
        <v>35</v>
      </c>
      <c r="O466" s="3">
        <v>47</v>
      </c>
      <c r="P466" t="str" s="8" cm="1">
        <f t="array" ref="P466">IF(O466="","check","Okay")</f>
        <v>Okay</v>
      </c>
      <c r="Q466" t="str" s="8" cm="1">
        <f t="array" ref="Q466">IF(O466&lt;30,"UNDER 30",IF(O466&lt;=50,"30-50","Over 50"))</f>
        <v>30-50</v>
      </c>
      <c r="R466" t="s" s="2">
        <v>17</v>
      </c>
      <c r="S466" s="3" cm="1">
        <f t="array" ref="S466">COUNTIF(A2:A1001,A466)</f>
        <v>1</v>
      </c>
      <c r="T466" t="str" s="8" cm="1">
        <f t="array" ref="T466">IF(ISNUMBER(F466),"Ok","check")</f>
        <v>Ok</v>
      </c>
      <c r="U466" t="str" s="8" cm="1">
        <f t="array" ref="U466">IF(ISNUMBER(O466),"ok","check")</f>
        <v>ok</v>
      </c>
    </row>
    <row r="467" ht="13.55" customHeight="1">
      <c r="A467" s="3">
        <v>19413</v>
      </c>
      <c r="B467" t="s" s="2">
        <v>25</v>
      </c>
      <c r="C467" t="str" s="8" cm="1">
        <f t="array" ref="C467">IF(B467="M","Married","Single")</f>
        <v>Single</v>
      </c>
      <c r="D467" t="s" s="2">
        <v>13</v>
      </c>
      <c r="E467" t="str" s="8" cm="1">
        <f t="array" ref="E467">IF(D467="M","Male",IF(D467="F","Female","Check"))</f>
        <v>Male</v>
      </c>
      <c r="F467" s="4">
        <v>60000</v>
      </c>
      <c r="G467" t="str" s="8" cm="1">
        <f t="array" ref="G467">IF(F467="","Check","okay")</f>
        <v>okay</v>
      </c>
      <c r="H467" s="3">
        <v>3</v>
      </c>
      <c r="I467" t="s" s="2">
        <v>15</v>
      </c>
      <c r="J467" t="s" s="2">
        <v>23</v>
      </c>
      <c r="K467" t="s" s="2">
        <v>20</v>
      </c>
      <c r="L467" s="3">
        <v>1</v>
      </c>
      <c r="M467" t="s" s="2">
        <v>18</v>
      </c>
      <c r="N467" t="s" s="2">
        <v>35</v>
      </c>
      <c r="O467" s="3">
        <v>47</v>
      </c>
      <c r="P467" t="str" s="8" cm="1">
        <f t="array" ref="P467">IF(O467="","check","Okay")</f>
        <v>Okay</v>
      </c>
      <c r="Q467" t="str" s="8" cm="1">
        <f t="array" ref="Q467">IF(O467&lt;30,"UNDER 30",IF(O467&lt;=50,"30-50","Over 50"))</f>
        <v>30-50</v>
      </c>
      <c r="R467" t="s" s="2">
        <v>17</v>
      </c>
      <c r="S467" s="3" cm="1">
        <f t="array" ref="S467">COUNTIF(A2:A1001,A467)</f>
        <v>1</v>
      </c>
      <c r="T467" t="str" s="8" cm="1">
        <f t="array" ref="T467">IF(ISNUMBER(F467),"Ok","check")</f>
        <v>Ok</v>
      </c>
      <c r="U467" t="str" s="8" cm="1">
        <f t="array" ref="U467">IF(ISNUMBER(O467),"ok","check")</f>
        <v>ok</v>
      </c>
    </row>
    <row r="468" ht="13.55" customHeight="1">
      <c r="A468" s="3">
        <v>11886</v>
      </c>
      <c r="B468" t="s" s="2">
        <v>13</v>
      </c>
      <c r="C468" t="str" s="8" cm="1">
        <f t="array" ref="C468">IF(B468="M","Married","Single")</f>
        <v>Married</v>
      </c>
      <c r="D468" t="s" s="2">
        <v>14</v>
      </c>
      <c r="E468" t="str" s="8" cm="1">
        <f t="array" ref="E468">IF(D468="M","Male",IF(D468="F","Female","Check"))</f>
        <v>Female</v>
      </c>
      <c r="F468" s="4">
        <v>60000</v>
      </c>
      <c r="G468" t="str" s="8" cm="1">
        <f t="array" ref="G468">IF(F468="","Check","okay")</f>
        <v>okay</v>
      </c>
      <c r="H468" s="3">
        <v>3</v>
      </c>
      <c r="I468" t="s" s="2">
        <v>15</v>
      </c>
      <c r="J468" t="s" s="2">
        <v>23</v>
      </c>
      <c r="K468" t="s" s="2">
        <v>17</v>
      </c>
      <c r="L468" s="3">
        <v>1</v>
      </c>
      <c r="M468" t="s" s="2">
        <v>18</v>
      </c>
      <c r="N468" t="s" s="2">
        <v>35</v>
      </c>
      <c r="O468" s="3">
        <v>48</v>
      </c>
      <c r="P468" t="str" s="8" cm="1">
        <f t="array" ref="P468">IF(O468="","check","Okay")</f>
        <v>Okay</v>
      </c>
      <c r="Q468" t="str" s="8" cm="1">
        <f t="array" ref="Q468">IF(O468&lt;30,"UNDER 30",IF(O468&lt;=50,"30-50","Over 50"))</f>
        <v>30-50</v>
      </c>
      <c r="R468" t="s" s="2">
        <v>17</v>
      </c>
      <c r="S468" s="3" cm="1">
        <f t="array" ref="S468">COUNTIF(A2:A1001,A468)</f>
        <v>1</v>
      </c>
      <c r="T468" t="str" s="8" cm="1">
        <f t="array" ref="T468">IF(ISNUMBER(F468),"Ok","check")</f>
        <v>Ok</v>
      </c>
      <c r="U468" t="str" s="8" cm="1">
        <f t="array" ref="U468">IF(ISNUMBER(O468),"ok","check")</f>
        <v>ok</v>
      </c>
    </row>
    <row r="469" ht="13.55" customHeight="1">
      <c r="A469" s="3">
        <v>16151</v>
      </c>
      <c r="B469" t="s" s="2">
        <v>13</v>
      </c>
      <c r="C469" t="str" s="8" cm="1">
        <f t="array" ref="C469">IF(B469="M","Married","Single")</f>
        <v>Married</v>
      </c>
      <c r="D469" t="s" s="2">
        <v>14</v>
      </c>
      <c r="E469" t="str" s="8" cm="1">
        <f t="array" ref="E469">IF(D469="M","Male",IF(D469="F","Female","Check"))</f>
        <v>Female</v>
      </c>
      <c r="F469" s="4">
        <v>60000</v>
      </c>
      <c r="G469" t="str" s="8" cm="1">
        <f t="array" ref="G469">IF(F469="","Check","okay")</f>
        <v>okay</v>
      </c>
      <c r="H469" s="3">
        <v>1</v>
      </c>
      <c r="I469" t="s" s="2">
        <v>15</v>
      </c>
      <c r="J469" t="s" s="2">
        <v>23</v>
      </c>
      <c r="K469" t="s" s="2">
        <v>17</v>
      </c>
      <c r="L469" s="3">
        <v>1</v>
      </c>
      <c r="M469" t="s" s="2">
        <v>24</v>
      </c>
      <c r="N469" t="s" s="2">
        <v>35</v>
      </c>
      <c r="O469" s="3">
        <v>48</v>
      </c>
      <c r="P469" t="str" s="8" cm="1">
        <f t="array" ref="P469">IF(O469="","check","Okay")</f>
        <v>Okay</v>
      </c>
      <c r="Q469" t="str" s="8" cm="1">
        <f t="array" ref="Q469">IF(O469&lt;30,"UNDER 30",IF(O469&lt;=50,"30-50","Over 50"))</f>
        <v>30-50</v>
      </c>
      <c r="R469" t="s" s="2">
        <v>17</v>
      </c>
      <c r="S469" s="3" cm="1">
        <f t="array" ref="S469">COUNTIF(A2:A1001,A469)</f>
        <v>1</v>
      </c>
      <c r="T469" t="str" s="8" cm="1">
        <f t="array" ref="T469">IF(ISNUMBER(F469),"Ok","check")</f>
        <v>Ok</v>
      </c>
      <c r="U469" t="str" s="8" cm="1">
        <f t="array" ref="U469">IF(ISNUMBER(O469),"ok","check")</f>
        <v>ok</v>
      </c>
    </row>
    <row r="470" ht="13.55" customHeight="1">
      <c r="A470" s="3">
        <v>14662</v>
      </c>
      <c r="B470" t="s" s="2">
        <v>13</v>
      </c>
      <c r="C470" t="str" s="8" cm="1">
        <f t="array" ref="C470">IF(B470="M","Married","Single")</f>
        <v>Married</v>
      </c>
      <c r="D470" t="s" s="2">
        <v>13</v>
      </c>
      <c r="E470" t="str" s="8" cm="1">
        <f t="array" ref="E470">IF(D470="M","Male",IF(D470="F","Female","Check"))</f>
        <v>Male</v>
      </c>
      <c r="F470" s="4">
        <v>60000</v>
      </c>
      <c r="G470" t="str" s="8" cm="1">
        <f t="array" ref="G470">IF(F470="","Check","okay")</f>
        <v>okay</v>
      </c>
      <c r="H470" s="3">
        <v>1</v>
      </c>
      <c r="I470" t="s" s="2">
        <v>15</v>
      </c>
      <c r="J470" t="s" s="2">
        <v>23</v>
      </c>
      <c r="K470" t="s" s="2">
        <v>17</v>
      </c>
      <c r="L470" s="3">
        <v>1</v>
      </c>
      <c r="M470" t="s" s="2">
        <v>18</v>
      </c>
      <c r="N470" t="s" s="2">
        <v>35</v>
      </c>
      <c r="O470" s="3">
        <v>48</v>
      </c>
      <c r="P470" t="str" s="8" cm="1">
        <f t="array" ref="P470">IF(O470="","check","Okay")</f>
        <v>Okay</v>
      </c>
      <c r="Q470" t="str" s="8" cm="1">
        <f t="array" ref="Q470">IF(O470&lt;30,"UNDER 30",IF(O470&lt;=50,"30-50","Over 50"))</f>
        <v>30-50</v>
      </c>
      <c r="R470" t="s" s="2">
        <v>17</v>
      </c>
      <c r="S470" s="3" cm="1">
        <f t="array" ref="S470">COUNTIF(A2:A1001,A470)</f>
        <v>1</v>
      </c>
      <c r="T470" t="str" s="8" cm="1">
        <f t="array" ref="T470">IF(ISNUMBER(F470),"Ok","check")</f>
        <v>Ok</v>
      </c>
      <c r="U470" t="str" s="8" cm="1">
        <f t="array" ref="U470">IF(ISNUMBER(O470),"ok","check")</f>
        <v>ok</v>
      </c>
    </row>
    <row r="471" ht="13.55" customHeight="1">
      <c r="A471" s="3">
        <v>22221</v>
      </c>
      <c r="B471" t="s" s="2">
        <v>13</v>
      </c>
      <c r="C471" t="str" s="8" cm="1">
        <f t="array" ref="C471">IF(B471="M","Married","Single")</f>
        <v>Married</v>
      </c>
      <c r="D471" t="s" s="2">
        <v>13</v>
      </c>
      <c r="E471" t="str" s="8" cm="1">
        <f t="array" ref="E471">IF(D471="M","Male",IF(D471="F","Female","Check"))</f>
        <v>Male</v>
      </c>
      <c r="F471" s="4">
        <v>60000</v>
      </c>
      <c r="G471" t="str" s="8" cm="1">
        <f t="array" ref="G471">IF(F471="","Check","okay")</f>
        <v>okay</v>
      </c>
      <c r="H471" s="3">
        <v>2</v>
      </c>
      <c r="I471" t="s" s="2">
        <v>30</v>
      </c>
      <c r="J471" t="s" s="2">
        <v>23</v>
      </c>
      <c r="K471" t="s" s="2">
        <v>20</v>
      </c>
      <c r="L471" s="3">
        <v>2</v>
      </c>
      <c r="M471" t="s" s="2">
        <v>29</v>
      </c>
      <c r="N471" t="s" s="2">
        <v>35</v>
      </c>
      <c r="O471" s="3">
        <v>48</v>
      </c>
      <c r="P471" t="str" s="8" cm="1">
        <f t="array" ref="P471">IF(O471="","check","Okay")</f>
        <v>Okay</v>
      </c>
      <c r="Q471" t="str" s="8" cm="1">
        <f t="array" ref="Q471">IF(O471&lt;30,"UNDER 30",IF(O471&lt;=50,"30-50","Over 50"))</f>
        <v>30-50</v>
      </c>
      <c r="R471" t="s" s="2">
        <v>17</v>
      </c>
      <c r="S471" s="3" cm="1">
        <f t="array" ref="S471">COUNTIF(A2:A1001,A471)</f>
        <v>1</v>
      </c>
      <c r="T471" t="str" s="8" cm="1">
        <f t="array" ref="T471">IF(ISNUMBER(F471),"Ok","check")</f>
        <v>Ok</v>
      </c>
      <c r="U471" t="str" s="8" cm="1">
        <f t="array" ref="U471">IF(ISNUMBER(O471),"ok","check")</f>
        <v>ok</v>
      </c>
    </row>
    <row r="472" ht="13.55" customHeight="1">
      <c r="A472" s="3">
        <v>23449</v>
      </c>
      <c r="B472" t="s" s="2">
        <v>13</v>
      </c>
      <c r="C472" t="str" s="8" cm="1">
        <f t="array" ref="C472">IF(B472="M","Married","Single")</f>
        <v>Married</v>
      </c>
      <c r="D472" t="s" s="2">
        <v>13</v>
      </c>
      <c r="E472" t="str" s="8" cm="1">
        <f t="array" ref="E472">IF(D472="M","Male",IF(D472="F","Female","Check"))</f>
        <v>Male</v>
      </c>
      <c r="F472" s="4">
        <v>60000</v>
      </c>
      <c r="G472" t="str" s="8" cm="1">
        <f t="array" ref="G472">IF(F472="","Check","okay")</f>
        <v>okay</v>
      </c>
      <c r="H472" s="3">
        <v>2</v>
      </c>
      <c r="I472" t="s" s="2">
        <v>30</v>
      </c>
      <c r="J472" t="s" s="2">
        <v>23</v>
      </c>
      <c r="K472" t="s" s="2">
        <v>17</v>
      </c>
      <c r="L472" s="3">
        <v>2</v>
      </c>
      <c r="M472" t="s" s="2">
        <v>26</v>
      </c>
      <c r="N472" t="s" s="2">
        <v>35</v>
      </c>
      <c r="O472" s="3">
        <v>48</v>
      </c>
      <c r="P472" t="str" s="8" cm="1">
        <f t="array" ref="P472">IF(O472="","check","Okay")</f>
        <v>Okay</v>
      </c>
      <c r="Q472" t="str" s="8" cm="1">
        <f t="array" ref="Q472">IF(O472&lt;30,"UNDER 30",IF(O472&lt;=50,"30-50","Over 50"))</f>
        <v>30-50</v>
      </c>
      <c r="R472" t="s" s="2">
        <v>20</v>
      </c>
      <c r="S472" s="3" cm="1">
        <f t="array" ref="S472">COUNTIF(A2:A1001,A472)</f>
        <v>1</v>
      </c>
      <c r="T472" t="str" s="8" cm="1">
        <f t="array" ref="T472">IF(ISNUMBER(F472),"Ok","check")</f>
        <v>Ok</v>
      </c>
      <c r="U472" t="str" s="8" cm="1">
        <f t="array" ref="U472">IF(ISNUMBER(O472),"ok","check")</f>
        <v>ok</v>
      </c>
    </row>
    <row r="473" ht="13.55" customHeight="1">
      <c r="A473" s="3">
        <v>25148</v>
      </c>
      <c r="B473" t="s" s="2">
        <v>13</v>
      </c>
      <c r="C473" t="str" s="8" cm="1">
        <f t="array" ref="C473">IF(B473="M","Married","Single")</f>
        <v>Married</v>
      </c>
      <c r="D473" t="s" s="2">
        <v>13</v>
      </c>
      <c r="E473" t="str" s="8" cm="1">
        <f t="array" ref="E473">IF(D473="M","Male",IF(D473="F","Female","Check"))</f>
        <v>Male</v>
      </c>
      <c r="F473" s="4">
        <v>60000</v>
      </c>
      <c r="G473" t="str" s="8" cm="1">
        <f t="array" ref="G473">IF(F473="","Check","okay")</f>
        <v>okay</v>
      </c>
      <c r="H473" s="3">
        <v>2</v>
      </c>
      <c r="I473" t="s" s="2">
        <v>30</v>
      </c>
      <c r="J473" t="s" s="2">
        <v>23</v>
      </c>
      <c r="K473" t="s" s="2">
        <v>20</v>
      </c>
      <c r="L473" s="3">
        <v>2</v>
      </c>
      <c r="M473" t="s" s="2">
        <v>29</v>
      </c>
      <c r="N473" t="s" s="2">
        <v>35</v>
      </c>
      <c r="O473" s="3">
        <v>48</v>
      </c>
      <c r="P473" t="str" s="8" cm="1">
        <f t="array" ref="P473">IF(O473="","check","Okay")</f>
        <v>Okay</v>
      </c>
      <c r="Q473" t="str" s="8" cm="1">
        <f t="array" ref="Q473">IF(O473&lt;30,"UNDER 30",IF(O473&lt;=50,"30-50","Over 50"))</f>
        <v>30-50</v>
      </c>
      <c r="R473" t="s" s="2">
        <v>17</v>
      </c>
      <c r="S473" s="3" cm="1">
        <f t="array" ref="S473">COUNTIF(A2:A1001,A473)</f>
        <v>1</v>
      </c>
      <c r="T473" t="str" s="8" cm="1">
        <f t="array" ref="T473">IF(ISNUMBER(F473),"Ok","check")</f>
        <v>Ok</v>
      </c>
      <c r="U473" t="str" s="8" cm="1">
        <f t="array" ref="U473">IF(ISNUMBER(O473),"ok","check")</f>
        <v>ok</v>
      </c>
    </row>
    <row r="474" ht="13.55" customHeight="1">
      <c r="A474" s="3">
        <v>22219</v>
      </c>
      <c r="B474" t="s" s="2">
        <v>13</v>
      </c>
      <c r="C474" t="str" s="8" cm="1">
        <f t="array" ref="C474">IF(B474="M","Married","Single")</f>
        <v>Married</v>
      </c>
      <c r="D474" t="s" s="2">
        <v>14</v>
      </c>
      <c r="E474" t="str" s="8" cm="1">
        <f t="array" ref="E474">IF(D474="M","Male",IF(D474="F","Female","Check"))</f>
        <v>Female</v>
      </c>
      <c r="F474" s="4">
        <v>60000</v>
      </c>
      <c r="G474" t="str" s="8" cm="1">
        <f t="array" ref="G474">IF(F474="","Check","okay")</f>
        <v>okay</v>
      </c>
      <c r="H474" s="3">
        <v>2</v>
      </c>
      <c r="I474" t="s" s="2">
        <v>30</v>
      </c>
      <c r="J474" t="s" s="2">
        <v>23</v>
      </c>
      <c r="K474" t="s" s="2">
        <v>17</v>
      </c>
      <c r="L474" s="3">
        <v>2</v>
      </c>
      <c r="M474" t="s" s="2">
        <v>26</v>
      </c>
      <c r="N474" t="s" s="2">
        <v>35</v>
      </c>
      <c r="O474" s="3">
        <v>49</v>
      </c>
      <c r="P474" t="str" s="8" cm="1">
        <f t="array" ref="P474">IF(O474="","check","Okay")</f>
        <v>Okay</v>
      </c>
      <c r="Q474" t="str" s="8" cm="1">
        <f t="array" ref="Q474">IF(O474&lt;30,"UNDER 30",IF(O474&lt;=50,"30-50","Over 50"))</f>
        <v>30-50</v>
      </c>
      <c r="R474" t="s" s="2">
        <v>20</v>
      </c>
      <c r="S474" s="3" cm="1">
        <f t="array" ref="S474">COUNTIF(A2:A1001,A474)</f>
        <v>1</v>
      </c>
      <c r="T474" t="str" s="8" cm="1">
        <f t="array" ref="T474">IF(ISNUMBER(F474),"Ok","check")</f>
        <v>Ok</v>
      </c>
      <c r="U474" t="str" s="8" cm="1">
        <f t="array" ref="U474">IF(ISNUMBER(O474),"ok","check")</f>
        <v>ok</v>
      </c>
    </row>
    <row r="475" ht="13.55" customHeight="1">
      <c r="A475" s="3">
        <v>22220</v>
      </c>
      <c r="B475" t="s" s="2">
        <v>13</v>
      </c>
      <c r="C475" t="str" s="8" cm="1">
        <f t="array" ref="C475">IF(B475="M","Married","Single")</f>
        <v>Married</v>
      </c>
      <c r="D475" t="s" s="2">
        <v>13</v>
      </c>
      <c r="E475" t="str" s="8" cm="1">
        <f t="array" ref="E475">IF(D475="M","Male",IF(D475="F","Female","Check"))</f>
        <v>Male</v>
      </c>
      <c r="F475" s="4">
        <v>60000</v>
      </c>
      <c r="G475" t="str" s="8" cm="1">
        <f t="array" ref="G475">IF(F475="","Check","okay")</f>
        <v>okay</v>
      </c>
      <c r="H475" s="3">
        <v>2</v>
      </c>
      <c r="I475" t="s" s="2">
        <v>30</v>
      </c>
      <c r="J475" t="s" s="2">
        <v>23</v>
      </c>
      <c r="K475" t="s" s="2">
        <v>20</v>
      </c>
      <c r="L475" s="3">
        <v>2</v>
      </c>
      <c r="M475" t="s" s="2">
        <v>29</v>
      </c>
      <c r="N475" t="s" s="2">
        <v>35</v>
      </c>
      <c r="O475" s="3">
        <v>49</v>
      </c>
      <c r="P475" t="str" s="8" cm="1">
        <f t="array" ref="P475">IF(O475="","check","Okay")</f>
        <v>Okay</v>
      </c>
      <c r="Q475" t="str" s="8" cm="1">
        <f t="array" ref="Q475">IF(O475&lt;30,"UNDER 30",IF(O475&lt;=50,"30-50","Over 50"))</f>
        <v>30-50</v>
      </c>
      <c r="R475" t="s" s="2">
        <v>17</v>
      </c>
      <c r="S475" s="3" cm="1">
        <f t="array" ref="S475">COUNTIF(A2:A1001,A475)</f>
        <v>1</v>
      </c>
      <c r="T475" t="str" s="8" cm="1">
        <f t="array" ref="T475">IF(ISNUMBER(F475),"Ok","check")</f>
        <v>Ok</v>
      </c>
      <c r="U475" t="str" s="8" cm="1">
        <f t="array" ref="U475">IF(ISNUMBER(O475),"ok","check")</f>
        <v>ok</v>
      </c>
    </row>
    <row r="476" ht="13.55" customHeight="1">
      <c r="A476" s="3">
        <v>22227</v>
      </c>
      <c r="B476" t="s" s="2">
        <v>13</v>
      </c>
      <c r="C476" t="str" s="8" cm="1">
        <f t="array" ref="C476">IF(B476="M","Married","Single")</f>
        <v>Married</v>
      </c>
      <c r="D476" t="s" s="2">
        <v>14</v>
      </c>
      <c r="E476" t="str" s="8" cm="1">
        <f t="array" ref="E476">IF(D476="M","Male",IF(D476="F","Female","Check"))</f>
        <v>Female</v>
      </c>
      <c r="F476" s="4">
        <v>60000</v>
      </c>
      <c r="G476" t="str" s="8" cm="1">
        <f t="array" ref="G476">IF(F476="","Check","okay")</f>
        <v>okay</v>
      </c>
      <c r="H476" s="3">
        <v>2</v>
      </c>
      <c r="I476" t="s" s="2">
        <v>30</v>
      </c>
      <c r="J476" t="s" s="2">
        <v>23</v>
      </c>
      <c r="K476" t="s" s="2">
        <v>17</v>
      </c>
      <c r="L476" s="3">
        <v>2</v>
      </c>
      <c r="M476" t="s" s="2">
        <v>26</v>
      </c>
      <c r="N476" t="s" s="2">
        <v>35</v>
      </c>
      <c r="O476" s="3">
        <v>50</v>
      </c>
      <c r="P476" t="str" s="8" cm="1">
        <f t="array" ref="P476">IF(O476="","check","Okay")</f>
        <v>Okay</v>
      </c>
      <c r="Q476" t="str" s="8" cm="1">
        <f t="array" ref="Q476">IF(O476&lt;30,"UNDER 30",IF(O476&lt;=50,"30-50","Over 50"))</f>
        <v>30-50</v>
      </c>
      <c r="R476" t="s" s="2">
        <v>20</v>
      </c>
      <c r="S476" s="3" cm="1">
        <f t="array" ref="S476">COUNTIF(A2:A1001,A476)</f>
        <v>1</v>
      </c>
      <c r="T476" t="str" s="8" cm="1">
        <f t="array" ref="T476">IF(ISNUMBER(F476),"Ok","check")</f>
        <v>Ok</v>
      </c>
      <c r="U476" t="str" s="8" cm="1">
        <f t="array" ref="U476">IF(ISNUMBER(O476),"ok","check")</f>
        <v>ok</v>
      </c>
    </row>
    <row r="477" ht="13.55" customHeight="1">
      <c r="A477" s="3">
        <v>17531</v>
      </c>
      <c r="B477" t="s" s="2">
        <v>13</v>
      </c>
      <c r="C477" t="str" s="8" cm="1">
        <f t="array" ref="C477">IF(B477="M","Married","Single")</f>
        <v>Married</v>
      </c>
      <c r="D477" t="s" s="2">
        <v>13</v>
      </c>
      <c r="E477" t="str" s="8" cm="1">
        <f t="array" ref="E477">IF(D477="M","Male",IF(D477="F","Female","Check"))</f>
        <v>Male</v>
      </c>
      <c r="F477" s="4">
        <v>60000</v>
      </c>
      <c r="G477" t="str" s="8" cm="1">
        <f t="array" ref="G477">IF(F477="","Check","okay")</f>
        <v>okay</v>
      </c>
      <c r="H477" s="3">
        <v>2</v>
      </c>
      <c r="I477" t="s" s="2">
        <v>30</v>
      </c>
      <c r="J477" t="s" s="2">
        <v>23</v>
      </c>
      <c r="K477" t="s" s="2">
        <v>20</v>
      </c>
      <c r="L477" s="3">
        <v>2</v>
      </c>
      <c r="M477" t="s" s="2">
        <v>26</v>
      </c>
      <c r="N477" t="s" s="2">
        <v>35</v>
      </c>
      <c r="O477" s="3">
        <v>50</v>
      </c>
      <c r="P477" t="str" s="8" cm="1">
        <f t="array" ref="P477">IF(O477="","check","Okay")</f>
        <v>Okay</v>
      </c>
      <c r="Q477" t="str" s="8" cm="1">
        <f t="array" ref="Q477">IF(O477&lt;30,"UNDER 30",IF(O477&lt;=50,"30-50","Over 50"))</f>
        <v>30-50</v>
      </c>
      <c r="R477" t="s" s="2">
        <v>20</v>
      </c>
      <c r="S477" s="3" cm="1">
        <f t="array" ref="S477">COUNTIF(A2:A1001,A477)</f>
        <v>1</v>
      </c>
      <c r="T477" t="str" s="8" cm="1">
        <f t="array" ref="T477">IF(ISNUMBER(F477),"Ok","check")</f>
        <v>Ok</v>
      </c>
      <c r="U477" t="str" s="8" cm="1">
        <f t="array" ref="U477">IF(ISNUMBER(O477),"ok","check")</f>
        <v>ok</v>
      </c>
    </row>
    <row r="478" ht="13.55" customHeight="1">
      <c r="A478" s="3">
        <v>23459</v>
      </c>
      <c r="B478" t="s" s="2">
        <v>13</v>
      </c>
      <c r="C478" t="str" s="8" cm="1">
        <f t="array" ref="C478">IF(B478="M","Married","Single")</f>
        <v>Married</v>
      </c>
      <c r="D478" t="s" s="2">
        <v>13</v>
      </c>
      <c r="E478" t="str" s="8" cm="1">
        <f t="array" ref="E478">IF(D478="M","Male",IF(D478="F","Female","Check"))</f>
        <v>Male</v>
      </c>
      <c r="F478" s="4">
        <v>60000</v>
      </c>
      <c r="G478" t="str" s="8" cm="1">
        <f t="array" ref="G478">IF(F478="","Check","okay")</f>
        <v>okay</v>
      </c>
      <c r="H478" s="3">
        <v>2</v>
      </c>
      <c r="I478" t="s" s="2">
        <v>30</v>
      </c>
      <c r="J478" t="s" s="2">
        <v>23</v>
      </c>
      <c r="K478" t="s" s="2">
        <v>17</v>
      </c>
      <c r="L478" s="3">
        <v>2</v>
      </c>
      <c r="M478" t="s" s="2">
        <v>26</v>
      </c>
      <c r="N478" t="s" s="2">
        <v>35</v>
      </c>
      <c r="O478" s="3">
        <v>50</v>
      </c>
      <c r="P478" t="str" s="8" cm="1">
        <f t="array" ref="P478">IF(O478="","check","Okay")</f>
        <v>Okay</v>
      </c>
      <c r="Q478" t="str" s="8" cm="1">
        <f t="array" ref="Q478">IF(O478&lt;30,"UNDER 30",IF(O478&lt;=50,"30-50","Over 50"))</f>
        <v>30-50</v>
      </c>
      <c r="R478" t="s" s="2">
        <v>20</v>
      </c>
      <c r="S478" s="3" cm="1">
        <f t="array" ref="S478">COUNTIF(A2:A1001,A478)</f>
        <v>1</v>
      </c>
      <c r="T478" t="str" s="8" cm="1">
        <f t="array" ref="T478">IF(ISNUMBER(F478),"Ok","check")</f>
        <v>Ok</v>
      </c>
      <c r="U478" t="str" s="8" cm="1">
        <f t="array" ref="U478">IF(ISNUMBER(O478),"ok","check")</f>
        <v>ok</v>
      </c>
    </row>
    <row r="479" ht="13.55" customHeight="1">
      <c r="A479" s="3">
        <v>12192</v>
      </c>
      <c r="B479" t="s" s="2">
        <v>25</v>
      </c>
      <c r="C479" t="str" s="8" cm="1">
        <f t="array" ref="C479">IF(B479="M","Married","Single")</f>
        <v>Single</v>
      </c>
      <c r="D479" t="s" s="2">
        <v>14</v>
      </c>
      <c r="E479" t="str" s="8" cm="1">
        <f t="array" ref="E479">IF(D479="M","Male",IF(D479="F","Female","Check"))</f>
        <v>Female</v>
      </c>
      <c r="F479" s="4">
        <v>60000</v>
      </c>
      <c r="G479" t="str" s="8" cm="1">
        <f t="array" ref="G479">IF(F479="","Check","okay")</f>
        <v>okay</v>
      </c>
      <c r="H479" s="3">
        <v>2</v>
      </c>
      <c r="I479" t="s" s="2">
        <v>32</v>
      </c>
      <c r="J479" t="s" s="2">
        <v>16</v>
      </c>
      <c r="K479" t="s" s="2">
        <v>20</v>
      </c>
      <c r="L479" s="3">
        <v>2</v>
      </c>
      <c r="M479" t="s" s="2">
        <v>29</v>
      </c>
      <c r="N479" t="s" s="2">
        <v>35</v>
      </c>
      <c r="O479" s="3">
        <v>51</v>
      </c>
      <c r="P479" t="str" s="8" cm="1">
        <f t="array" ref="P479">IF(O479="","check","Okay")</f>
        <v>Okay</v>
      </c>
      <c r="Q479" t="str" s="8" cm="1">
        <f t="array" ref="Q479">IF(O479&lt;30,"UNDER 30",IF(O479&lt;=50,"30-50","Over 50"))</f>
        <v>Over 50</v>
      </c>
      <c r="R479" t="s" s="2">
        <v>20</v>
      </c>
      <c r="S479" s="3" cm="1">
        <f t="array" ref="S479">COUNTIF(A2:A1001,A479)</f>
        <v>1</v>
      </c>
      <c r="T479" t="str" s="8" cm="1">
        <f t="array" ref="T479">IF(ISNUMBER(F479),"Ok","check")</f>
        <v>Ok</v>
      </c>
      <c r="U479" t="str" s="8" cm="1">
        <f t="array" ref="U479">IF(ISNUMBER(O479),"ok","check")</f>
        <v>ok</v>
      </c>
    </row>
    <row r="480" ht="13.55" customHeight="1">
      <c r="A480" s="3">
        <v>17436</v>
      </c>
      <c r="B480" t="s" s="2">
        <v>13</v>
      </c>
      <c r="C480" t="str" s="8" cm="1">
        <f t="array" ref="C480">IF(B480="M","Married","Single")</f>
        <v>Married</v>
      </c>
      <c r="D480" t="s" s="2">
        <v>13</v>
      </c>
      <c r="E480" t="str" s="8" cm="1">
        <f t="array" ref="E480">IF(D480="M","Male",IF(D480="F","Female","Check"))</f>
        <v>Male</v>
      </c>
      <c r="F480" s="4">
        <v>60000</v>
      </c>
      <c r="G480" t="str" s="8" cm="1">
        <f t="array" ref="G480">IF(F480="","Check","okay")</f>
        <v>okay</v>
      </c>
      <c r="H480" s="3">
        <v>2</v>
      </c>
      <c r="I480" t="s" s="2">
        <v>30</v>
      </c>
      <c r="J480" t="s" s="2">
        <v>23</v>
      </c>
      <c r="K480" t="s" s="2">
        <v>20</v>
      </c>
      <c r="L480" s="3">
        <v>2</v>
      </c>
      <c r="M480" t="s" s="2">
        <v>29</v>
      </c>
      <c r="N480" t="s" s="2">
        <v>35</v>
      </c>
      <c r="O480" s="3">
        <v>51</v>
      </c>
      <c r="P480" t="str" s="8" cm="1">
        <f t="array" ref="P480">IF(O480="","check","Okay")</f>
        <v>Okay</v>
      </c>
      <c r="Q480" t="str" s="8" cm="1">
        <f t="array" ref="Q480">IF(O480&lt;30,"UNDER 30",IF(O480&lt;=50,"30-50","Over 50"))</f>
        <v>Over 50</v>
      </c>
      <c r="R480" t="s" s="2">
        <v>20</v>
      </c>
      <c r="S480" s="3" cm="1">
        <f t="array" ref="S480">COUNTIF(A2:A1001,A480)</f>
        <v>1</v>
      </c>
      <c r="T480" t="str" s="8" cm="1">
        <f t="array" ref="T480">IF(ISNUMBER(F480),"Ok","check")</f>
        <v>Ok</v>
      </c>
      <c r="U480" t="str" s="8" cm="1">
        <f t="array" ref="U480">IF(ISNUMBER(O480),"ok","check")</f>
        <v>ok</v>
      </c>
    </row>
    <row r="481" ht="13.55" customHeight="1">
      <c r="A481" s="3">
        <v>18411</v>
      </c>
      <c r="B481" t="s" s="2">
        <v>13</v>
      </c>
      <c r="C481" t="str" s="8" cm="1">
        <f t="array" ref="C481">IF(B481="M","Married","Single")</f>
        <v>Married</v>
      </c>
      <c r="D481" t="s" s="2">
        <v>13</v>
      </c>
      <c r="E481" t="str" s="8" cm="1">
        <f t="array" ref="E481">IF(D481="M","Male",IF(D481="F","Female","Check"))</f>
        <v>Male</v>
      </c>
      <c r="F481" s="4">
        <v>60000</v>
      </c>
      <c r="G481" t="str" s="8" cm="1">
        <f t="array" ref="G481">IF(F481="","Check","okay")</f>
        <v>okay</v>
      </c>
      <c r="H481" s="3">
        <v>2</v>
      </c>
      <c r="I481" t="s" s="2">
        <v>30</v>
      </c>
      <c r="J481" t="s" s="2">
        <v>23</v>
      </c>
      <c r="K481" t="s" s="2">
        <v>20</v>
      </c>
      <c r="L481" s="3">
        <v>2</v>
      </c>
      <c r="M481" t="s" s="2">
        <v>26</v>
      </c>
      <c r="N481" t="s" s="2">
        <v>35</v>
      </c>
      <c r="O481" s="3">
        <v>51</v>
      </c>
      <c r="P481" t="str" s="8" cm="1">
        <f t="array" ref="P481">IF(O481="","check","Okay")</f>
        <v>Okay</v>
      </c>
      <c r="Q481" t="str" s="8" cm="1">
        <f t="array" ref="Q481">IF(O481&lt;30,"UNDER 30",IF(O481&lt;=50,"30-50","Over 50"))</f>
        <v>Over 50</v>
      </c>
      <c r="R481" t="s" s="2">
        <v>20</v>
      </c>
      <c r="S481" s="3" cm="1">
        <f t="array" ref="S481">COUNTIF(A2:A1001,A481)</f>
        <v>1</v>
      </c>
      <c r="T481" t="str" s="8" cm="1">
        <f t="array" ref="T481">IF(ISNUMBER(F481),"Ok","check")</f>
        <v>Ok</v>
      </c>
      <c r="U481" t="str" s="8" cm="1">
        <f t="array" ref="U481">IF(ISNUMBER(O481),"ok","check")</f>
        <v>ok</v>
      </c>
    </row>
    <row r="482" ht="13.55" customHeight="1">
      <c r="A482" s="3">
        <v>21306</v>
      </c>
      <c r="B482" t="s" s="2">
        <v>25</v>
      </c>
      <c r="C482" t="str" s="8" cm="1">
        <f t="array" ref="C482">IF(B482="M","Married","Single")</f>
        <v>Single</v>
      </c>
      <c r="D482" t="s" s="2">
        <v>13</v>
      </c>
      <c r="E482" t="str" s="8" cm="1">
        <f t="array" ref="E482">IF(D482="M","Male",IF(D482="F","Female","Check"))</f>
        <v>Male</v>
      </c>
      <c r="F482" s="4">
        <v>60000</v>
      </c>
      <c r="G482" t="str" s="8" cm="1">
        <f t="array" ref="G482">IF(F482="","Check","okay")</f>
        <v>okay</v>
      </c>
      <c r="H482" s="3">
        <v>2</v>
      </c>
      <c r="I482" t="s" s="2">
        <v>30</v>
      </c>
      <c r="J482" t="s" s="2">
        <v>23</v>
      </c>
      <c r="K482" t="s" s="2">
        <v>17</v>
      </c>
      <c r="L482" s="3">
        <v>2</v>
      </c>
      <c r="M482" t="s" s="2">
        <v>26</v>
      </c>
      <c r="N482" t="s" s="2">
        <v>35</v>
      </c>
      <c r="O482" s="3">
        <v>51</v>
      </c>
      <c r="P482" t="str" s="8" cm="1">
        <f t="array" ref="P482">IF(O482="","check","Okay")</f>
        <v>Okay</v>
      </c>
      <c r="Q482" t="str" s="8" cm="1">
        <f t="array" ref="Q482">IF(O482&lt;30,"UNDER 30",IF(O482&lt;=50,"30-50","Over 50"))</f>
        <v>Over 50</v>
      </c>
      <c r="R482" t="s" s="2">
        <v>20</v>
      </c>
      <c r="S482" s="3" cm="1">
        <f t="array" ref="S482">COUNTIF(A2:A1001,A482)</f>
        <v>1</v>
      </c>
      <c r="T482" t="str" s="8" cm="1">
        <f t="array" ref="T482">IF(ISNUMBER(F482),"Ok","check")</f>
        <v>Ok</v>
      </c>
      <c r="U482" t="str" s="8" cm="1">
        <f t="array" ref="U482">IF(ISNUMBER(O482),"ok","check")</f>
        <v>ok</v>
      </c>
    </row>
    <row r="483" ht="13.55" customHeight="1">
      <c r="A483" s="3">
        <v>16890</v>
      </c>
      <c r="B483" t="s" s="2">
        <v>13</v>
      </c>
      <c r="C483" t="str" s="8" cm="1">
        <f t="array" ref="C483">IF(B483="M","Married","Single")</f>
        <v>Married</v>
      </c>
      <c r="D483" t="s" s="2">
        <v>13</v>
      </c>
      <c r="E483" t="str" s="8" cm="1">
        <f t="array" ref="E483">IF(D483="M","Male",IF(D483="F","Female","Check"))</f>
        <v>Male</v>
      </c>
      <c r="F483" s="4">
        <v>60000</v>
      </c>
      <c r="G483" t="str" s="8" cm="1">
        <f t="array" ref="G483">IF(F483="","Check","okay")</f>
        <v>okay</v>
      </c>
      <c r="H483" s="3">
        <v>3</v>
      </c>
      <c r="I483" t="s" s="2">
        <v>32</v>
      </c>
      <c r="J483" t="s" s="2">
        <v>16</v>
      </c>
      <c r="K483" t="s" s="2">
        <v>17</v>
      </c>
      <c r="L483" s="3">
        <v>2</v>
      </c>
      <c r="M483" t="s" s="2">
        <v>26</v>
      </c>
      <c r="N483" t="s" s="2">
        <v>35</v>
      </c>
      <c r="O483" s="3">
        <v>52</v>
      </c>
      <c r="P483" t="str" s="8" cm="1">
        <f t="array" ref="P483">IF(O483="","check","Okay")</f>
        <v>Okay</v>
      </c>
      <c r="Q483" t="str" s="8" cm="1">
        <f t="array" ref="Q483">IF(O483&lt;30,"UNDER 30",IF(O483&lt;=50,"30-50","Over 50"))</f>
        <v>Over 50</v>
      </c>
      <c r="R483" t="s" s="2">
        <v>17</v>
      </c>
      <c r="S483" s="3" cm="1">
        <f t="array" ref="S483">COUNTIF(A2:A1001,A483)</f>
        <v>1</v>
      </c>
      <c r="T483" t="str" s="8" cm="1">
        <f t="array" ref="T483">IF(ISNUMBER(F483),"Ok","check")</f>
        <v>Ok</v>
      </c>
      <c r="U483" t="str" s="8" cm="1">
        <f t="array" ref="U483">IF(ISNUMBER(O483),"ok","check")</f>
        <v>ok</v>
      </c>
    </row>
    <row r="484" ht="13.55" customHeight="1">
      <c r="A484" s="3">
        <v>18858</v>
      </c>
      <c r="B484" t="s" s="2">
        <v>25</v>
      </c>
      <c r="C484" t="str" s="8" cm="1">
        <f t="array" ref="C484">IF(B484="M","Married","Single")</f>
        <v>Single</v>
      </c>
      <c r="D484" t="s" s="2">
        <v>13</v>
      </c>
      <c r="E484" t="str" s="8" cm="1">
        <f t="array" ref="E484">IF(D484="M","Male",IF(D484="F","Female","Check"))</f>
        <v>Male</v>
      </c>
      <c r="F484" s="4">
        <v>60000</v>
      </c>
      <c r="G484" t="str" s="8" cm="1">
        <f t="array" ref="G484">IF(F484="","Check","okay")</f>
        <v>okay</v>
      </c>
      <c r="H484" s="3">
        <v>2</v>
      </c>
      <c r="I484" t="s" s="2">
        <v>32</v>
      </c>
      <c r="J484" t="s" s="2">
        <v>16</v>
      </c>
      <c r="K484" t="s" s="2">
        <v>17</v>
      </c>
      <c r="L484" s="3">
        <v>2</v>
      </c>
      <c r="M484" t="s" s="2">
        <v>26</v>
      </c>
      <c r="N484" t="s" s="2">
        <v>35</v>
      </c>
      <c r="O484" s="3">
        <v>52</v>
      </c>
      <c r="P484" t="str" s="8" cm="1">
        <f t="array" ref="P484">IF(O484="","check","Okay")</f>
        <v>Okay</v>
      </c>
      <c r="Q484" t="str" s="8" cm="1">
        <f t="array" ref="Q484">IF(O484&lt;30,"UNDER 30",IF(O484&lt;=50,"30-50","Over 50"))</f>
        <v>Over 50</v>
      </c>
      <c r="R484" t="s" s="2">
        <v>17</v>
      </c>
      <c r="S484" s="3" cm="1">
        <f t="array" ref="S484">COUNTIF(A2:A1001,A484)</f>
        <v>1</v>
      </c>
      <c r="T484" t="str" s="8" cm="1">
        <f t="array" ref="T484">IF(ISNUMBER(F484),"Ok","check")</f>
        <v>Ok</v>
      </c>
      <c r="U484" t="str" s="8" cm="1">
        <f t="array" ref="U484">IF(ISNUMBER(O484),"ok","check")</f>
        <v>ok</v>
      </c>
    </row>
    <row r="485" ht="13.55" customHeight="1">
      <c r="A485" s="3">
        <v>27673</v>
      </c>
      <c r="B485" t="s" s="2">
        <v>25</v>
      </c>
      <c r="C485" t="str" s="8" cm="1">
        <f t="array" ref="C485">IF(B485="M","Married","Single")</f>
        <v>Single</v>
      </c>
      <c r="D485" t="s" s="2">
        <v>14</v>
      </c>
      <c r="E485" t="str" s="8" cm="1">
        <f t="array" ref="E485">IF(D485="M","Male",IF(D485="F","Female","Check"))</f>
        <v>Female</v>
      </c>
      <c r="F485" s="4">
        <v>60000</v>
      </c>
      <c r="G485" t="str" s="8" cm="1">
        <f t="array" ref="G485">IF(F485="","Check","okay")</f>
        <v>okay</v>
      </c>
      <c r="H485" s="3">
        <v>3</v>
      </c>
      <c r="I485" t="s" s="2">
        <v>34</v>
      </c>
      <c r="J485" t="s" s="2">
        <v>31</v>
      </c>
      <c r="K485" t="s" s="2">
        <v>17</v>
      </c>
      <c r="L485" s="3">
        <v>2</v>
      </c>
      <c r="M485" t="s" s="2">
        <v>26</v>
      </c>
      <c r="N485" t="s" s="2">
        <v>35</v>
      </c>
      <c r="O485" s="3">
        <v>53</v>
      </c>
      <c r="P485" t="str" s="8" cm="1">
        <f t="array" ref="P485">IF(O485="","check","Okay")</f>
        <v>Okay</v>
      </c>
      <c r="Q485" t="str" s="8" cm="1">
        <f t="array" ref="Q485">IF(O485&lt;30,"UNDER 30",IF(O485&lt;=50,"30-50","Over 50"))</f>
        <v>Over 50</v>
      </c>
      <c r="R485" t="s" s="2">
        <v>17</v>
      </c>
      <c r="S485" s="3" cm="1">
        <f t="array" ref="S485">COUNTIF(A2:A1001,A485)</f>
        <v>1</v>
      </c>
      <c r="T485" t="str" s="8" cm="1">
        <f t="array" ref="T485">IF(ISNUMBER(F485),"Ok","check")</f>
        <v>Ok</v>
      </c>
      <c r="U485" t="str" s="8" cm="1">
        <f t="array" ref="U485">IF(ISNUMBER(O485),"ok","check")</f>
        <v>ok</v>
      </c>
    </row>
    <row r="486" ht="13.55" customHeight="1">
      <c r="A486" s="3">
        <v>27441</v>
      </c>
      <c r="B486" t="s" s="2">
        <v>13</v>
      </c>
      <c r="C486" t="str" s="8" cm="1">
        <f t="array" ref="C486">IF(B486="M","Married","Single")</f>
        <v>Married</v>
      </c>
      <c r="D486" t="s" s="2">
        <v>13</v>
      </c>
      <c r="E486" t="str" s="8" cm="1">
        <f t="array" ref="E486">IF(D486="M","Male",IF(D486="F","Female","Check"))</f>
        <v>Male</v>
      </c>
      <c r="F486" s="4">
        <v>60000</v>
      </c>
      <c r="G486" t="str" s="8" cm="1">
        <f t="array" ref="G486">IF(F486="","Check","okay")</f>
        <v>okay</v>
      </c>
      <c r="H486" s="3">
        <v>3</v>
      </c>
      <c r="I486" t="s" s="2">
        <v>30</v>
      </c>
      <c r="J486" t="s" s="2">
        <v>23</v>
      </c>
      <c r="K486" t="s" s="2">
        <v>20</v>
      </c>
      <c r="L486" s="3">
        <v>2</v>
      </c>
      <c r="M486" t="s" s="2">
        <v>24</v>
      </c>
      <c r="N486" t="s" s="2">
        <v>35</v>
      </c>
      <c r="O486" s="3">
        <v>53</v>
      </c>
      <c r="P486" t="str" s="8" cm="1">
        <f t="array" ref="P486">IF(O486="","check","Okay")</f>
        <v>Okay</v>
      </c>
      <c r="Q486" t="str" s="8" cm="1">
        <f t="array" ref="Q486">IF(O486&lt;30,"UNDER 30",IF(O486&lt;=50,"30-50","Over 50"))</f>
        <v>Over 50</v>
      </c>
      <c r="R486" t="s" s="2">
        <v>20</v>
      </c>
      <c r="S486" s="3" cm="1">
        <f t="array" ref="S486">COUNTIF(A2:A1001,A486)</f>
        <v>1</v>
      </c>
      <c r="T486" t="str" s="8" cm="1">
        <f t="array" ref="T486">IF(ISNUMBER(F486),"Ok","check")</f>
        <v>Ok</v>
      </c>
      <c r="U486" t="str" s="8" cm="1">
        <f t="array" ref="U486">IF(ISNUMBER(O486),"ok","check")</f>
        <v>ok</v>
      </c>
    </row>
    <row r="487" ht="13.55" customHeight="1">
      <c r="A487" s="3">
        <v>12121</v>
      </c>
      <c r="B487" t="s" s="2">
        <v>25</v>
      </c>
      <c r="C487" t="str" s="8" cm="1">
        <f t="array" ref="C487">IF(B487="M","Married","Single")</f>
        <v>Single</v>
      </c>
      <c r="D487" t="s" s="2">
        <v>13</v>
      </c>
      <c r="E487" t="str" s="8" cm="1">
        <f t="array" ref="E487">IF(D487="M","Male",IF(D487="F","Female","Check"))</f>
        <v>Male</v>
      </c>
      <c r="F487" s="4">
        <v>60000</v>
      </c>
      <c r="G487" t="str" s="8" cm="1">
        <f t="array" ref="G487">IF(F487="","Check","okay")</f>
        <v>okay</v>
      </c>
      <c r="H487" s="3">
        <v>3</v>
      </c>
      <c r="I487" t="s" s="2">
        <v>30</v>
      </c>
      <c r="J487" t="s" s="2">
        <v>23</v>
      </c>
      <c r="K487" t="s" s="2">
        <v>17</v>
      </c>
      <c r="L487" s="3">
        <v>2</v>
      </c>
      <c r="M487" t="s" s="2">
        <v>33</v>
      </c>
      <c r="N487" t="s" s="2">
        <v>35</v>
      </c>
      <c r="O487" s="3">
        <v>53</v>
      </c>
      <c r="P487" t="str" s="8" cm="1">
        <f t="array" ref="P487">IF(O487="","check","Okay")</f>
        <v>Okay</v>
      </c>
      <c r="Q487" t="str" s="8" cm="1">
        <f t="array" ref="Q487">IF(O487&lt;30,"UNDER 30",IF(O487&lt;=50,"30-50","Over 50"))</f>
        <v>Over 50</v>
      </c>
      <c r="R487" t="s" s="2">
        <v>17</v>
      </c>
      <c r="S487" s="3" cm="1">
        <f t="array" ref="S487">COUNTIF(A2:A1001,A487)</f>
        <v>1</v>
      </c>
      <c r="T487" t="str" s="8" cm="1">
        <f t="array" ref="T487">IF(ISNUMBER(F487),"Ok","check")</f>
        <v>Ok</v>
      </c>
      <c r="U487" t="str" s="8" cm="1">
        <f t="array" ref="U487">IF(ISNUMBER(O487),"ok","check")</f>
        <v>ok</v>
      </c>
    </row>
    <row r="488" ht="13.55" customHeight="1">
      <c r="A488" s="3">
        <v>23731</v>
      </c>
      <c r="B488" t="s" s="2">
        <v>13</v>
      </c>
      <c r="C488" t="str" s="8" cm="1">
        <f t="array" ref="C488">IF(B488="M","Married","Single")</f>
        <v>Married</v>
      </c>
      <c r="D488" t="s" s="2">
        <v>13</v>
      </c>
      <c r="E488" t="str" s="8" cm="1">
        <f t="array" ref="E488">IF(D488="M","Male",IF(D488="F","Female","Check"))</f>
        <v>Male</v>
      </c>
      <c r="F488" s="4">
        <v>60000</v>
      </c>
      <c r="G488" t="str" s="8" cm="1">
        <f t="array" ref="G488">IF(F488="","Check","okay")</f>
        <v>okay</v>
      </c>
      <c r="H488" s="5">
        <v>2</v>
      </c>
      <c r="I488" t="s" s="2">
        <v>30</v>
      </c>
      <c r="J488" t="s" s="2">
        <v>23</v>
      </c>
      <c r="K488" t="s" s="2">
        <v>17</v>
      </c>
      <c r="L488" s="3">
        <v>2</v>
      </c>
      <c r="M488" t="s" s="2">
        <v>24</v>
      </c>
      <c r="N488" t="s" s="2">
        <v>35</v>
      </c>
      <c r="O488" s="3">
        <v>54</v>
      </c>
      <c r="P488" t="str" s="8" cm="1">
        <f t="array" ref="P488">IF(O488="","check","Okay")</f>
        <v>Okay</v>
      </c>
      <c r="Q488" t="str" s="8" cm="1">
        <f t="array" ref="Q488">IF(O488&lt;30,"UNDER 30",IF(O488&lt;=50,"30-50","Over 50"))</f>
        <v>Over 50</v>
      </c>
      <c r="R488" t="s" s="2">
        <v>17</v>
      </c>
      <c r="S488" s="3" cm="1">
        <f t="array" ref="S488">COUNTIF(A2:A1001,A488)</f>
        <v>1</v>
      </c>
      <c r="T488" t="str" s="8" cm="1">
        <f t="array" ref="T488">IF(ISNUMBER(F488),"Ok","check")</f>
        <v>Ok</v>
      </c>
      <c r="U488" t="str" s="8" cm="1">
        <f t="array" ref="U488">IF(ISNUMBER(O488),"ok","check")</f>
        <v>ok</v>
      </c>
    </row>
    <row r="489" ht="13.55" customHeight="1">
      <c r="A489" s="3">
        <v>14417</v>
      </c>
      <c r="B489" t="s" s="2">
        <v>25</v>
      </c>
      <c r="C489" t="str" s="8" cm="1">
        <f t="array" ref="C489">IF(B489="M","Married","Single")</f>
        <v>Single</v>
      </c>
      <c r="D489" t="s" s="2">
        <v>13</v>
      </c>
      <c r="E489" t="str" s="8" cm="1">
        <f t="array" ref="E489">IF(D489="M","Male",IF(D489="F","Female","Check"))</f>
        <v>Male</v>
      </c>
      <c r="F489" s="4">
        <v>60000</v>
      </c>
      <c r="G489" t="str" s="8" cm="1">
        <f t="array" ref="G489">IF(F489="","Check","okay")</f>
        <v>okay</v>
      </c>
      <c r="H489" s="3">
        <v>3</v>
      </c>
      <c r="I489" t="s" s="2">
        <v>30</v>
      </c>
      <c r="J489" t="s" s="2">
        <v>23</v>
      </c>
      <c r="K489" t="s" s="2">
        <v>17</v>
      </c>
      <c r="L489" s="3">
        <v>2</v>
      </c>
      <c r="M489" t="s" s="2">
        <v>33</v>
      </c>
      <c r="N489" t="s" s="2">
        <v>35</v>
      </c>
      <c r="O489" s="3">
        <v>54</v>
      </c>
      <c r="P489" t="str" s="8" cm="1">
        <f t="array" ref="P489">IF(O489="","check","Okay")</f>
        <v>Okay</v>
      </c>
      <c r="Q489" t="str" s="8" cm="1">
        <f t="array" ref="Q489">IF(O489&lt;30,"UNDER 30",IF(O489&lt;=50,"30-50","Over 50"))</f>
        <v>Over 50</v>
      </c>
      <c r="R489" t="s" s="2">
        <v>17</v>
      </c>
      <c r="S489" s="3" cm="1">
        <f t="array" ref="S489">COUNTIF(A2:A1001,A489)</f>
        <v>1</v>
      </c>
      <c r="T489" t="str" s="8" cm="1">
        <f t="array" ref="T489">IF(ISNUMBER(F489),"Ok","check")</f>
        <v>Ok</v>
      </c>
      <c r="U489" t="str" s="8" cm="1">
        <f t="array" ref="U489">IF(ISNUMBER(O489),"ok","check")</f>
        <v>ok</v>
      </c>
    </row>
    <row r="490" ht="13.55" customHeight="1">
      <c r="A490" s="3">
        <v>11225</v>
      </c>
      <c r="B490" t="s" s="2">
        <v>13</v>
      </c>
      <c r="C490" t="str" s="8" cm="1">
        <f t="array" ref="C490">IF(B490="M","Married","Single")</f>
        <v>Married</v>
      </c>
      <c r="D490" t="s" s="2">
        <v>14</v>
      </c>
      <c r="E490" t="str" s="8" cm="1">
        <f t="array" ref="E490">IF(D490="M","Male",IF(D490="F","Female","Check"))</f>
        <v>Female</v>
      </c>
      <c r="F490" s="4">
        <v>60000</v>
      </c>
      <c r="G490" t="str" s="8" cm="1">
        <f t="array" ref="G490">IF(F490="","Check","okay")</f>
        <v>okay</v>
      </c>
      <c r="H490" s="3">
        <v>2</v>
      </c>
      <c r="I490" t="s" s="2">
        <v>21</v>
      </c>
      <c r="J490" t="s" s="2">
        <v>23</v>
      </c>
      <c r="K490" t="s" s="2">
        <v>17</v>
      </c>
      <c r="L490" s="3">
        <v>1</v>
      </c>
      <c r="M490" t="s" s="2">
        <v>33</v>
      </c>
      <c r="N490" t="s" s="2">
        <v>35</v>
      </c>
      <c r="O490" s="3">
        <v>55</v>
      </c>
      <c r="P490" t="str" s="8" cm="1">
        <f t="array" ref="P490">IF(O490="","check","Okay")</f>
        <v>Okay</v>
      </c>
      <c r="Q490" t="str" s="8" cm="1">
        <f t="array" ref="Q490">IF(O490&lt;30,"UNDER 30",IF(O490&lt;=50,"30-50","Over 50"))</f>
        <v>Over 50</v>
      </c>
      <c r="R490" t="s" s="2">
        <v>20</v>
      </c>
      <c r="S490" s="3" cm="1">
        <f t="array" ref="S490">COUNTIF(A2:A1001,A490)</f>
        <v>1</v>
      </c>
      <c r="T490" t="str" s="8" cm="1">
        <f t="array" ref="T490">IF(ISNUMBER(F490),"Ok","check")</f>
        <v>Ok</v>
      </c>
      <c r="U490" t="str" s="8" cm="1">
        <f t="array" ref="U490">IF(ISNUMBER(O490),"ok","check")</f>
        <v>ok</v>
      </c>
    </row>
    <row r="491" ht="13.55" customHeight="1">
      <c r="A491" s="3">
        <v>18105</v>
      </c>
      <c r="B491" t="s" s="2">
        <v>13</v>
      </c>
      <c r="C491" t="str" s="8" cm="1">
        <f t="array" ref="C491">IF(B491="M","Married","Single")</f>
        <v>Married</v>
      </c>
      <c r="D491" t="s" s="2">
        <v>14</v>
      </c>
      <c r="E491" t="str" s="8" cm="1">
        <f t="array" ref="E491">IF(D491="M","Male",IF(D491="F","Female","Check"))</f>
        <v>Female</v>
      </c>
      <c r="F491" s="4">
        <v>60000</v>
      </c>
      <c r="G491" t="str" s="8" cm="1">
        <f t="array" ref="G491">IF(F491="","Check","okay")</f>
        <v>okay</v>
      </c>
      <c r="H491" s="3">
        <v>2</v>
      </c>
      <c r="I491" t="s" s="2">
        <v>21</v>
      </c>
      <c r="J491" t="s" s="2">
        <v>23</v>
      </c>
      <c r="K491" t="s" s="2">
        <v>17</v>
      </c>
      <c r="L491" s="3">
        <v>1</v>
      </c>
      <c r="M491" t="s" s="2">
        <v>33</v>
      </c>
      <c r="N491" t="s" s="2">
        <v>35</v>
      </c>
      <c r="O491" s="3">
        <v>55</v>
      </c>
      <c r="P491" t="str" s="8" cm="1">
        <f t="array" ref="P491">IF(O491="","check","Okay")</f>
        <v>Okay</v>
      </c>
      <c r="Q491" t="str" s="8" cm="1">
        <f t="array" ref="Q491">IF(O491&lt;30,"UNDER 30",IF(O491&lt;=50,"30-50","Over 50"))</f>
        <v>Over 50</v>
      </c>
      <c r="R491" t="s" s="2">
        <v>20</v>
      </c>
      <c r="S491" s="3" cm="1">
        <f t="array" ref="S491">COUNTIF(A2:A1001,A491)</f>
        <v>1</v>
      </c>
      <c r="T491" t="str" s="8" cm="1">
        <f t="array" ref="T491">IF(ISNUMBER(F491),"Ok","check")</f>
        <v>Ok</v>
      </c>
      <c r="U491" t="str" s="8" cm="1">
        <f t="array" ref="U491">IF(ISNUMBER(O491),"ok","check")</f>
        <v>ok</v>
      </c>
    </row>
    <row r="492" ht="13.55" customHeight="1">
      <c r="A492" s="3">
        <v>11219</v>
      </c>
      <c r="B492" t="s" s="2">
        <v>13</v>
      </c>
      <c r="C492" t="str" s="8" cm="1">
        <f t="array" ref="C492">IF(B492="M","Married","Single")</f>
        <v>Married</v>
      </c>
      <c r="D492" t="s" s="2">
        <v>13</v>
      </c>
      <c r="E492" t="str" s="8" cm="1">
        <f t="array" ref="E492">IF(D492="M","Male",IF(D492="F","Female","Check"))</f>
        <v>Male</v>
      </c>
      <c r="F492" s="4">
        <v>60000</v>
      </c>
      <c r="G492" t="str" s="8" cm="1">
        <f t="array" ref="G492">IF(F492="","Check","okay")</f>
        <v>okay</v>
      </c>
      <c r="H492" s="3">
        <v>2</v>
      </c>
      <c r="I492" t="s" s="2">
        <v>30</v>
      </c>
      <c r="J492" t="s" s="2">
        <v>23</v>
      </c>
      <c r="K492" t="s" s="2">
        <v>17</v>
      </c>
      <c r="L492" s="3">
        <v>2</v>
      </c>
      <c r="M492" t="s" s="2">
        <v>33</v>
      </c>
      <c r="N492" t="s" s="2">
        <v>35</v>
      </c>
      <c r="O492" s="3">
        <v>55</v>
      </c>
      <c r="P492" t="str" s="8" cm="1">
        <f t="array" ref="P492">IF(O492="","check","Okay")</f>
        <v>Okay</v>
      </c>
      <c r="Q492" t="str" s="8" cm="1">
        <f t="array" ref="Q492">IF(O492&lt;30,"UNDER 30",IF(O492&lt;=50,"30-50","Over 50"))</f>
        <v>Over 50</v>
      </c>
      <c r="R492" t="s" s="2">
        <v>20</v>
      </c>
      <c r="S492" s="3" cm="1">
        <f t="array" ref="S492">COUNTIF(A2:A1001,A492)</f>
        <v>1</v>
      </c>
      <c r="T492" t="str" s="8" cm="1">
        <f t="array" ref="T492">IF(ISNUMBER(F492),"Ok","check")</f>
        <v>Ok</v>
      </c>
      <c r="U492" t="str" s="8" cm="1">
        <f t="array" ref="U492">IF(ISNUMBER(O492),"ok","check")</f>
        <v>ok</v>
      </c>
    </row>
    <row r="493" ht="13.55" customHeight="1">
      <c r="A493" s="3">
        <v>16813</v>
      </c>
      <c r="B493" t="s" s="2">
        <v>13</v>
      </c>
      <c r="C493" t="str" s="8" cm="1">
        <f t="array" ref="C493">IF(B493="M","Married","Single")</f>
        <v>Married</v>
      </c>
      <c r="D493" t="s" s="2">
        <v>13</v>
      </c>
      <c r="E493" t="str" s="8" cm="1">
        <f t="array" ref="E493">IF(D493="M","Male",IF(D493="F","Female","Check"))</f>
        <v>Male</v>
      </c>
      <c r="F493" s="4">
        <v>60000</v>
      </c>
      <c r="G493" t="str" s="8" cm="1">
        <f t="array" ref="G493">IF(F493="","Check","okay")</f>
        <v>okay</v>
      </c>
      <c r="H493" s="3">
        <v>2</v>
      </c>
      <c r="I493" t="s" s="2">
        <v>21</v>
      </c>
      <c r="J493" t="s" s="2">
        <v>23</v>
      </c>
      <c r="K493" t="s" s="2">
        <v>17</v>
      </c>
      <c r="L493" s="3">
        <v>2</v>
      </c>
      <c r="M493" t="s" s="2">
        <v>33</v>
      </c>
      <c r="N493" t="s" s="2">
        <v>35</v>
      </c>
      <c r="O493" s="3">
        <v>55</v>
      </c>
      <c r="P493" t="str" s="8" cm="1">
        <f t="array" ref="P493">IF(O493="","check","Okay")</f>
        <v>Okay</v>
      </c>
      <c r="Q493" t="str" s="8" cm="1">
        <f t="array" ref="Q493">IF(O493&lt;30,"UNDER 30",IF(O493&lt;=50,"30-50","Over 50"))</f>
        <v>Over 50</v>
      </c>
      <c r="R493" t="s" s="2">
        <v>20</v>
      </c>
      <c r="S493" s="3" cm="1">
        <f t="array" ref="S493">COUNTIF(A2:A1001,A493)</f>
        <v>1</v>
      </c>
      <c r="T493" t="str" s="8" cm="1">
        <f t="array" ref="T493">IF(ISNUMBER(F493),"Ok","check")</f>
        <v>Ok</v>
      </c>
      <c r="U493" t="str" s="8" cm="1">
        <f t="array" ref="U493">IF(ISNUMBER(O493),"ok","check")</f>
        <v>ok</v>
      </c>
    </row>
    <row r="494" ht="13.55" customHeight="1">
      <c r="A494" s="3">
        <v>17699</v>
      </c>
      <c r="B494" t="s" s="2">
        <v>13</v>
      </c>
      <c r="C494" t="str" s="8" cm="1">
        <f t="array" ref="C494">IF(B494="M","Married","Single")</f>
        <v>Married</v>
      </c>
      <c r="D494" t="s" s="2">
        <v>13</v>
      </c>
      <c r="E494" t="str" s="8" cm="1">
        <f t="array" ref="E494">IF(D494="M","Male",IF(D494="F","Female","Check"))</f>
        <v>Male</v>
      </c>
      <c r="F494" s="4">
        <v>60000</v>
      </c>
      <c r="G494" t="str" s="8" cm="1">
        <f t="array" ref="G494">IF(F494="","Check","okay")</f>
        <v>okay</v>
      </c>
      <c r="H494" s="3">
        <v>1</v>
      </c>
      <c r="I494" t="s" s="2">
        <v>34</v>
      </c>
      <c r="J494" t="s" s="2">
        <v>16</v>
      </c>
      <c r="K494" t="s" s="2">
        <v>20</v>
      </c>
      <c r="L494" s="3">
        <v>0</v>
      </c>
      <c r="M494" t="s" s="2">
        <v>18</v>
      </c>
      <c r="N494" t="s" s="2">
        <v>35</v>
      </c>
      <c r="O494" s="3">
        <v>55</v>
      </c>
      <c r="P494" t="str" s="8" cm="1">
        <f t="array" ref="P494">IF(O494="","check","Okay")</f>
        <v>Okay</v>
      </c>
      <c r="Q494" t="str" s="8" cm="1">
        <f t="array" ref="Q494">IF(O494&lt;30,"UNDER 30",IF(O494&lt;=50,"30-50","Over 50"))</f>
        <v>Over 50</v>
      </c>
      <c r="R494" t="s" s="2">
        <v>20</v>
      </c>
      <c r="S494" s="3" cm="1">
        <f t="array" ref="S494">COUNTIF(A2:A1001,A494)</f>
        <v>1</v>
      </c>
      <c r="T494" t="str" s="8" cm="1">
        <f t="array" ref="T494">IF(ISNUMBER(F494),"Ok","check")</f>
        <v>Ok</v>
      </c>
      <c r="U494" t="str" s="8" cm="1">
        <f t="array" ref="U494">IF(ISNUMBER(O494),"ok","check")</f>
        <v>ok</v>
      </c>
    </row>
    <row r="495" ht="13.55" customHeight="1">
      <c r="A495" s="3">
        <v>19884</v>
      </c>
      <c r="B495" t="s" s="2">
        <v>13</v>
      </c>
      <c r="C495" t="str" s="8" cm="1">
        <f t="array" ref="C495">IF(B495="M","Married","Single")</f>
        <v>Married</v>
      </c>
      <c r="D495" t="s" s="2">
        <v>13</v>
      </c>
      <c r="E495" t="str" s="8" cm="1">
        <f t="array" ref="E495">IF(D495="M","Male",IF(D495="F","Female","Check"))</f>
        <v>Male</v>
      </c>
      <c r="F495" s="4">
        <v>60000</v>
      </c>
      <c r="G495" t="str" s="8" cm="1">
        <f t="array" ref="G495">IF(F495="","Check","okay")</f>
        <v>okay</v>
      </c>
      <c r="H495" s="3">
        <v>2</v>
      </c>
      <c r="I495" t="s" s="2">
        <v>30</v>
      </c>
      <c r="J495" t="s" s="2">
        <v>23</v>
      </c>
      <c r="K495" t="s" s="2">
        <v>17</v>
      </c>
      <c r="L495" s="3">
        <v>2</v>
      </c>
      <c r="M495" t="s" s="2">
        <v>24</v>
      </c>
      <c r="N495" t="s" s="2">
        <v>35</v>
      </c>
      <c r="O495" s="3">
        <v>55</v>
      </c>
      <c r="P495" t="str" s="8" cm="1">
        <f t="array" ref="P495">IF(O495="","check","Okay")</f>
        <v>Okay</v>
      </c>
      <c r="Q495" t="str" s="8" cm="1">
        <f t="array" ref="Q495">IF(O495&lt;30,"UNDER 30",IF(O495&lt;=50,"30-50","Over 50"))</f>
        <v>Over 50</v>
      </c>
      <c r="R495" t="s" s="2">
        <v>17</v>
      </c>
      <c r="S495" s="3" cm="1">
        <f t="array" ref="S495">COUNTIF(A2:A1001,A495)</f>
        <v>1</v>
      </c>
      <c r="T495" t="str" s="8" cm="1">
        <f t="array" ref="T495">IF(ISNUMBER(F495),"Ok","check")</f>
        <v>Ok</v>
      </c>
      <c r="U495" t="str" s="8" cm="1">
        <f t="array" ref="U495">IF(ISNUMBER(O495),"ok","check")</f>
        <v>ok</v>
      </c>
    </row>
    <row r="496" ht="13.55" customHeight="1">
      <c r="A496" s="3">
        <v>28052</v>
      </c>
      <c r="B496" t="s" s="2">
        <v>13</v>
      </c>
      <c r="C496" t="str" s="8" cm="1">
        <f t="array" ref="C496">IF(B496="M","Married","Single")</f>
        <v>Married</v>
      </c>
      <c r="D496" t="s" s="2">
        <v>13</v>
      </c>
      <c r="E496" t="str" s="8" cm="1">
        <f t="array" ref="E496">IF(D496="M","Male",IF(D496="F","Female","Check"))</f>
        <v>Male</v>
      </c>
      <c r="F496" s="4">
        <v>60000</v>
      </c>
      <c r="G496" t="str" s="8" cm="1">
        <f t="array" ref="G496">IF(F496="","Check","okay")</f>
        <v>okay</v>
      </c>
      <c r="H496" s="3">
        <v>2</v>
      </c>
      <c r="I496" t="s" s="2">
        <v>30</v>
      </c>
      <c r="J496" t="s" s="2">
        <v>23</v>
      </c>
      <c r="K496" t="s" s="2">
        <v>17</v>
      </c>
      <c r="L496" s="3">
        <v>2</v>
      </c>
      <c r="M496" t="s" s="2">
        <v>33</v>
      </c>
      <c r="N496" t="s" s="2">
        <v>35</v>
      </c>
      <c r="O496" s="3">
        <v>55</v>
      </c>
      <c r="P496" t="str" s="8" cm="1">
        <f t="array" ref="P496">IF(O496="","check","Okay")</f>
        <v>Okay</v>
      </c>
      <c r="Q496" t="str" s="8" cm="1">
        <f t="array" ref="Q496">IF(O496&lt;30,"UNDER 30",IF(O496&lt;=50,"30-50","Over 50"))</f>
        <v>Over 50</v>
      </c>
      <c r="R496" t="s" s="2">
        <v>20</v>
      </c>
      <c r="S496" s="3" cm="1">
        <f t="array" ref="S496">COUNTIF(A2:A1001,A496)</f>
        <v>1</v>
      </c>
      <c r="T496" t="str" s="8" cm="1">
        <f t="array" ref="T496">IF(ISNUMBER(F496),"Ok","check")</f>
        <v>Ok</v>
      </c>
      <c r="U496" t="str" s="8" cm="1">
        <f t="array" ref="U496">IF(ISNUMBER(O496),"ok","check")</f>
        <v>ok</v>
      </c>
    </row>
    <row r="497" ht="13.55" customHeight="1">
      <c r="A497" s="3">
        <v>25886</v>
      </c>
      <c r="B497" t="s" s="2">
        <v>13</v>
      </c>
      <c r="C497" t="str" s="8" cm="1">
        <f t="array" ref="C497">IF(B497="M","Married","Single")</f>
        <v>Married</v>
      </c>
      <c r="D497" t="s" s="2">
        <v>14</v>
      </c>
      <c r="E497" t="str" s="8" cm="1">
        <f t="array" ref="E497">IF(D497="M","Male",IF(D497="F","Female","Check"))</f>
        <v>Female</v>
      </c>
      <c r="F497" s="4">
        <v>60000</v>
      </c>
      <c r="G497" t="str" s="8" cm="1">
        <f t="array" ref="G497">IF(F497="","Check","okay")</f>
        <v>okay</v>
      </c>
      <c r="H497" s="3">
        <v>2</v>
      </c>
      <c r="I497" t="s" s="2">
        <v>21</v>
      </c>
      <c r="J497" t="s" s="2">
        <v>23</v>
      </c>
      <c r="K497" t="s" s="2">
        <v>17</v>
      </c>
      <c r="L497" s="3">
        <v>2</v>
      </c>
      <c r="M497" t="s" s="2">
        <v>24</v>
      </c>
      <c r="N497" t="s" s="2">
        <v>35</v>
      </c>
      <c r="O497" s="3">
        <v>56</v>
      </c>
      <c r="P497" t="str" s="8" cm="1">
        <f t="array" ref="P497">IF(O497="","check","Okay")</f>
        <v>Okay</v>
      </c>
      <c r="Q497" t="str" s="8" cm="1">
        <f t="array" ref="Q497">IF(O497&lt;30,"UNDER 30",IF(O497&lt;=50,"30-50","Over 50"))</f>
        <v>Over 50</v>
      </c>
      <c r="R497" t="s" s="2">
        <v>17</v>
      </c>
      <c r="S497" s="3" cm="1">
        <f t="array" ref="S497">COUNTIF(A2:A1001,A497)</f>
        <v>1</v>
      </c>
      <c r="T497" t="str" s="8" cm="1">
        <f t="array" ref="T497">IF(ISNUMBER(F497),"Ok","check")</f>
        <v>Ok</v>
      </c>
      <c r="U497" t="str" s="8" cm="1">
        <f t="array" ref="U497">IF(ISNUMBER(O497),"ok","check")</f>
        <v>ok</v>
      </c>
    </row>
    <row r="498" ht="13.55" customHeight="1">
      <c r="A498" s="3">
        <v>28043</v>
      </c>
      <c r="B498" t="s" s="2">
        <v>13</v>
      </c>
      <c r="C498" t="str" s="8" cm="1">
        <f t="array" ref="C498">IF(B498="M","Married","Single")</f>
        <v>Married</v>
      </c>
      <c r="D498" t="s" s="2">
        <v>14</v>
      </c>
      <c r="E498" t="str" s="8" cm="1">
        <f t="array" ref="E498">IF(D498="M","Male",IF(D498="F","Female","Check"))</f>
        <v>Female</v>
      </c>
      <c r="F498" s="4">
        <v>60000</v>
      </c>
      <c r="G498" t="str" s="8" cm="1">
        <f t="array" ref="G498">IF(F498="","Check","okay")</f>
        <v>okay</v>
      </c>
      <c r="H498" s="3">
        <v>2</v>
      </c>
      <c r="I498" t="s" s="2">
        <v>15</v>
      </c>
      <c r="J498" t="s" s="2">
        <v>31</v>
      </c>
      <c r="K498" t="s" s="2">
        <v>17</v>
      </c>
      <c r="L498" s="3">
        <v>0</v>
      </c>
      <c r="M498" t="s" s="2">
        <v>33</v>
      </c>
      <c r="N498" t="s" s="2">
        <v>35</v>
      </c>
      <c r="O498" s="3">
        <v>56</v>
      </c>
      <c r="P498" t="str" s="8" cm="1">
        <f t="array" ref="P498">IF(O498="","check","Okay")</f>
        <v>Okay</v>
      </c>
      <c r="Q498" t="str" s="8" cm="1">
        <f t="array" ref="Q498">IF(O498&lt;30,"UNDER 30",IF(O498&lt;=50,"30-50","Over 50"))</f>
        <v>Over 50</v>
      </c>
      <c r="R498" t="s" s="2">
        <v>20</v>
      </c>
      <c r="S498" s="3" cm="1">
        <f t="array" ref="S498">COUNTIF(A2:A1001,A498)</f>
        <v>1</v>
      </c>
      <c r="T498" t="str" s="8" cm="1">
        <f t="array" ref="T498">IF(ISNUMBER(F498),"Ok","check")</f>
        <v>Ok</v>
      </c>
      <c r="U498" t="str" s="8" cm="1">
        <f t="array" ref="U498">IF(ISNUMBER(O498),"ok","check")</f>
        <v>ok</v>
      </c>
    </row>
    <row r="499" ht="13.55" customHeight="1">
      <c r="A499" s="3">
        <v>24981</v>
      </c>
      <c r="B499" t="s" s="2">
        <v>13</v>
      </c>
      <c r="C499" t="str" s="8" cm="1">
        <f t="array" ref="C499">IF(B499="M","Married","Single")</f>
        <v>Married</v>
      </c>
      <c r="D499" t="s" s="2">
        <v>13</v>
      </c>
      <c r="E499" t="str" s="8" cm="1">
        <f t="array" ref="E499">IF(D499="M","Male",IF(D499="F","Female","Check"))</f>
        <v>Male</v>
      </c>
      <c r="F499" s="4">
        <v>60000</v>
      </c>
      <c r="G499" t="str" s="8" cm="1">
        <f t="array" ref="G499">IF(F499="","Check","okay")</f>
        <v>okay</v>
      </c>
      <c r="H499" s="3">
        <v>2</v>
      </c>
      <c r="I499" t="s" s="2">
        <v>21</v>
      </c>
      <c r="J499" t="s" s="2">
        <v>23</v>
      </c>
      <c r="K499" t="s" s="2">
        <v>17</v>
      </c>
      <c r="L499" s="3">
        <v>2</v>
      </c>
      <c r="M499" t="s" s="2">
        <v>33</v>
      </c>
      <c r="N499" t="s" s="2">
        <v>35</v>
      </c>
      <c r="O499" s="3">
        <v>56</v>
      </c>
      <c r="P499" t="str" s="8" cm="1">
        <f t="array" ref="P499">IF(O499="","check","Okay")</f>
        <v>Okay</v>
      </c>
      <c r="Q499" t="str" s="8" cm="1">
        <f t="array" ref="Q499">IF(O499&lt;30,"UNDER 30",IF(O499&lt;=50,"30-50","Over 50"))</f>
        <v>Over 50</v>
      </c>
      <c r="R499" t="s" s="2">
        <v>20</v>
      </c>
      <c r="S499" s="3" cm="1">
        <f t="array" ref="S499">COUNTIF(A2:A1001,A499)</f>
        <v>1</v>
      </c>
      <c r="T499" t="str" s="8" cm="1">
        <f t="array" ref="T499">IF(ISNUMBER(F499),"Ok","check")</f>
        <v>Ok</v>
      </c>
      <c r="U499" t="str" s="8" cm="1">
        <f t="array" ref="U499">IF(ISNUMBER(O499),"ok","check")</f>
        <v>ok</v>
      </c>
    </row>
    <row r="500" ht="13.55" customHeight="1">
      <c r="A500" s="3">
        <v>13388</v>
      </c>
      <c r="B500" t="s" s="2">
        <v>25</v>
      </c>
      <c r="C500" t="str" s="8" cm="1">
        <f t="array" ref="C500">IF(B500="M","Married","Single")</f>
        <v>Single</v>
      </c>
      <c r="D500" t="s" s="2">
        <v>13</v>
      </c>
      <c r="E500" t="str" s="8" cm="1">
        <f t="array" ref="E500">IF(D500="M","Male",IF(D500="F","Female","Check"))</f>
        <v>Male</v>
      </c>
      <c r="F500" s="4">
        <v>60000</v>
      </c>
      <c r="G500" t="str" s="8" cm="1">
        <f t="array" ref="G500">IF(F500="","Check","okay")</f>
        <v>okay</v>
      </c>
      <c r="H500" s="3">
        <v>2</v>
      </c>
      <c r="I500" t="s" s="2">
        <v>21</v>
      </c>
      <c r="J500" t="s" s="2">
        <v>23</v>
      </c>
      <c r="K500" t="s" s="2">
        <v>17</v>
      </c>
      <c r="L500" s="3">
        <v>1</v>
      </c>
      <c r="M500" t="s" s="2">
        <v>33</v>
      </c>
      <c r="N500" t="s" s="2">
        <v>35</v>
      </c>
      <c r="O500" s="3">
        <v>56</v>
      </c>
      <c r="P500" t="str" s="8" cm="1">
        <f t="array" ref="P500">IF(O500="","check","Okay")</f>
        <v>Okay</v>
      </c>
      <c r="Q500" t="str" s="8" cm="1">
        <f t="array" ref="Q500">IF(O500&lt;30,"UNDER 30",IF(O500&lt;=50,"30-50","Over 50"))</f>
        <v>Over 50</v>
      </c>
      <c r="R500" t="s" s="2">
        <v>20</v>
      </c>
      <c r="S500" s="3" cm="1">
        <f t="array" ref="S500">COUNTIF(A2:A1001,A500)</f>
        <v>1</v>
      </c>
      <c r="T500" t="str" s="8" cm="1">
        <f t="array" ref="T500">IF(ISNUMBER(F500),"Ok","check")</f>
        <v>Ok</v>
      </c>
      <c r="U500" t="str" s="8" cm="1">
        <f t="array" ref="U500">IF(ISNUMBER(O500),"ok","check")</f>
        <v>ok</v>
      </c>
    </row>
    <row r="501" ht="13.55" customHeight="1">
      <c r="A501" s="3">
        <v>19002</v>
      </c>
      <c r="B501" t="s" s="2">
        <v>13</v>
      </c>
      <c r="C501" t="str" s="8" cm="1">
        <f t="array" ref="C501">IF(B501="M","Married","Single")</f>
        <v>Married</v>
      </c>
      <c r="D501" t="s" s="2">
        <v>14</v>
      </c>
      <c r="E501" t="str" s="8" cm="1">
        <f t="array" ref="E501">IF(D501="M","Male",IF(D501="F","Female","Check"))</f>
        <v>Female</v>
      </c>
      <c r="F501" s="4">
        <v>60000</v>
      </c>
      <c r="G501" t="str" s="8" cm="1">
        <f t="array" ref="G501">IF(F501="","Check","okay")</f>
        <v>okay</v>
      </c>
      <c r="H501" s="3">
        <v>2</v>
      </c>
      <c r="I501" t="s" s="2">
        <v>21</v>
      </c>
      <c r="J501" t="s" s="2">
        <v>23</v>
      </c>
      <c r="K501" t="s" s="2">
        <v>17</v>
      </c>
      <c r="L501" s="3">
        <v>1</v>
      </c>
      <c r="M501" t="s" s="2">
        <v>24</v>
      </c>
      <c r="N501" t="s" s="2">
        <v>35</v>
      </c>
      <c r="O501" s="3">
        <v>57</v>
      </c>
      <c r="P501" t="str" s="8" cm="1">
        <f t="array" ref="P501">IF(O501="","check","Okay")</f>
        <v>Okay</v>
      </c>
      <c r="Q501" t="str" s="8" cm="1">
        <f t="array" ref="Q501">IF(O501&lt;30,"UNDER 30",IF(O501&lt;=50,"30-50","Over 50"))</f>
        <v>Over 50</v>
      </c>
      <c r="R501" t="s" s="2">
        <v>17</v>
      </c>
      <c r="S501" s="3" cm="1">
        <f t="array" ref="S501">COUNTIF(A2:A1001,A501)</f>
        <v>1</v>
      </c>
      <c r="T501" t="str" s="8" cm="1">
        <f t="array" ref="T501">IF(ISNUMBER(F501),"Ok","check")</f>
        <v>Ok</v>
      </c>
      <c r="U501" t="str" s="8" cm="1">
        <f t="array" ref="U501">IF(ISNUMBER(O501),"ok","check")</f>
        <v>ok</v>
      </c>
    </row>
    <row r="502" ht="13.55" customHeight="1">
      <c r="A502" s="3">
        <v>24979</v>
      </c>
      <c r="B502" t="s" s="2">
        <v>13</v>
      </c>
      <c r="C502" t="str" s="8" cm="1">
        <f t="array" ref="C502">IF(B502="M","Married","Single")</f>
        <v>Married</v>
      </c>
      <c r="D502" t="s" s="2">
        <v>14</v>
      </c>
      <c r="E502" t="str" s="8" cm="1">
        <f t="array" ref="E502">IF(D502="M","Male",IF(D502="F","Female","Check"))</f>
        <v>Female</v>
      </c>
      <c r="F502" s="4">
        <v>60000</v>
      </c>
      <c r="G502" t="str" s="8" cm="1">
        <f t="array" ref="G502">IF(F502="","Check","okay")</f>
        <v>okay</v>
      </c>
      <c r="H502" s="3">
        <v>2</v>
      </c>
      <c r="I502" t="s" s="2">
        <v>21</v>
      </c>
      <c r="J502" t="s" s="2">
        <v>23</v>
      </c>
      <c r="K502" t="s" s="2">
        <v>17</v>
      </c>
      <c r="L502" s="3">
        <v>2</v>
      </c>
      <c r="M502" t="s" s="2">
        <v>24</v>
      </c>
      <c r="N502" t="s" s="2">
        <v>35</v>
      </c>
      <c r="O502" s="3">
        <v>57</v>
      </c>
      <c r="P502" t="str" s="8" cm="1">
        <f t="array" ref="P502">IF(O502="","check","Okay")</f>
        <v>Okay</v>
      </c>
      <c r="Q502" t="str" s="8" cm="1">
        <f t="array" ref="Q502">IF(O502&lt;30,"UNDER 30",IF(O502&lt;=50,"30-50","Over 50"))</f>
        <v>Over 50</v>
      </c>
      <c r="R502" t="s" s="2">
        <v>17</v>
      </c>
      <c r="S502" s="3" cm="1">
        <f t="array" ref="S502">COUNTIF(A2:A1001,A502)</f>
        <v>1</v>
      </c>
      <c r="T502" t="str" s="8" cm="1">
        <f t="array" ref="T502">IF(ISNUMBER(F502),"Ok","check")</f>
        <v>Ok</v>
      </c>
      <c r="U502" t="str" s="8" cm="1">
        <f t="array" ref="U502">IF(ISNUMBER(O502),"ok","check")</f>
        <v>ok</v>
      </c>
    </row>
    <row r="503" ht="13.55" customHeight="1">
      <c r="A503" s="3">
        <v>13233</v>
      </c>
      <c r="B503" t="s" s="2">
        <v>13</v>
      </c>
      <c r="C503" t="str" s="8" cm="1">
        <f t="array" ref="C503">IF(B503="M","Married","Single")</f>
        <v>Married</v>
      </c>
      <c r="D503" t="s" s="2">
        <v>13</v>
      </c>
      <c r="E503" t="str" s="8" cm="1">
        <f t="array" ref="E503">IF(D503="M","Male",IF(D503="F","Female","Check"))</f>
        <v>Male</v>
      </c>
      <c r="F503" s="4">
        <v>60000</v>
      </c>
      <c r="G503" t="str" s="8" cm="1">
        <f t="array" ref="G503">IF(F503="","Check","okay")</f>
        <v>okay</v>
      </c>
      <c r="H503" s="3">
        <v>2</v>
      </c>
      <c r="I503" t="s" s="2">
        <v>21</v>
      </c>
      <c r="J503" t="s" s="2">
        <v>23</v>
      </c>
      <c r="K503" t="s" s="2">
        <v>17</v>
      </c>
      <c r="L503" s="3">
        <v>1</v>
      </c>
      <c r="M503" t="s" s="2">
        <v>33</v>
      </c>
      <c r="N503" t="s" s="2">
        <v>35</v>
      </c>
      <c r="O503" s="3">
        <v>57</v>
      </c>
      <c r="P503" t="str" s="8" cm="1">
        <f t="array" ref="P503">IF(O503="","check","Okay")</f>
        <v>Okay</v>
      </c>
      <c r="Q503" t="str" s="8" cm="1">
        <f t="array" ref="Q503">IF(O503&lt;30,"UNDER 30",IF(O503&lt;=50,"30-50","Over 50"))</f>
        <v>Over 50</v>
      </c>
      <c r="R503" t="s" s="2">
        <v>17</v>
      </c>
      <c r="S503" s="3" cm="1">
        <f t="array" ref="S503">COUNTIF(A2:A1001,A503)</f>
        <v>1</v>
      </c>
      <c r="T503" t="str" s="8" cm="1">
        <f t="array" ref="T503">IF(ISNUMBER(F503),"Ok","check")</f>
        <v>Ok</v>
      </c>
      <c r="U503" t="str" s="8" cm="1">
        <f t="array" ref="U503">IF(ISNUMBER(O503),"ok","check")</f>
        <v>ok</v>
      </c>
    </row>
    <row r="504" ht="13.55" customHeight="1">
      <c r="A504" s="3">
        <v>12100</v>
      </c>
      <c r="B504" t="s" s="2">
        <v>25</v>
      </c>
      <c r="C504" t="str" s="8" cm="1">
        <f t="array" ref="C504">IF(B504="M","Married","Single")</f>
        <v>Single</v>
      </c>
      <c r="D504" t="s" s="2">
        <v>13</v>
      </c>
      <c r="E504" t="str" s="8" cm="1">
        <f t="array" ref="E504">IF(D504="M","Male",IF(D504="F","Female","Check"))</f>
        <v>Male</v>
      </c>
      <c r="F504" s="4">
        <v>60000</v>
      </c>
      <c r="G504" t="str" s="8" cm="1">
        <f t="array" ref="G504">IF(F504="","Check","okay")</f>
        <v>okay</v>
      </c>
      <c r="H504" s="3">
        <v>2</v>
      </c>
      <c r="I504" t="s" s="2">
        <v>15</v>
      </c>
      <c r="J504" t="s" s="2">
        <v>31</v>
      </c>
      <c r="K504" t="s" s="2">
        <v>17</v>
      </c>
      <c r="L504" s="3">
        <v>0</v>
      </c>
      <c r="M504" t="s" s="2">
        <v>33</v>
      </c>
      <c r="N504" t="s" s="2">
        <v>35</v>
      </c>
      <c r="O504" s="3">
        <v>57</v>
      </c>
      <c r="P504" t="str" s="8" cm="1">
        <f t="array" ref="P504">IF(O504="","check","Okay")</f>
        <v>Okay</v>
      </c>
      <c r="Q504" t="str" s="8" cm="1">
        <f t="array" ref="Q504">IF(O504&lt;30,"UNDER 30",IF(O504&lt;=50,"30-50","Over 50"))</f>
        <v>Over 50</v>
      </c>
      <c r="R504" t="s" s="2">
        <v>20</v>
      </c>
      <c r="S504" s="3" cm="1">
        <f t="array" ref="S504">COUNTIF(A2:A1001,A504)</f>
        <v>1</v>
      </c>
      <c r="T504" t="str" s="8" cm="1">
        <f t="array" ref="T504">IF(ISNUMBER(F504),"Ok","check")</f>
        <v>Ok</v>
      </c>
      <c r="U504" t="str" s="8" cm="1">
        <f t="array" ref="U504">IF(ISNUMBER(O504),"ok","check")</f>
        <v>ok</v>
      </c>
    </row>
    <row r="505" ht="13.55" customHeight="1">
      <c r="A505" s="3">
        <v>15895</v>
      </c>
      <c r="B505" t="s" s="2">
        <v>25</v>
      </c>
      <c r="C505" t="str" s="8" cm="1">
        <f t="array" ref="C505">IF(B505="M","Married","Single")</f>
        <v>Single</v>
      </c>
      <c r="D505" t="s" s="2">
        <v>14</v>
      </c>
      <c r="E505" t="str" s="8" cm="1">
        <f t="array" ref="E505">IF(D505="M","Male",IF(D505="F","Female","Check"))</f>
        <v>Female</v>
      </c>
      <c r="F505" s="4">
        <v>60000</v>
      </c>
      <c r="G505" t="str" s="8" cm="1">
        <f t="array" ref="G505">IF(F505="","Check","okay")</f>
        <v>okay</v>
      </c>
      <c r="H505" s="3">
        <v>2</v>
      </c>
      <c r="I505" t="s" s="2">
        <v>15</v>
      </c>
      <c r="J505" t="s" s="2">
        <v>31</v>
      </c>
      <c r="K505" t="s" s="2">
        <v>17</v>
      </c>
      <c r="L505" s="3">
        <v>0</v>
      </c>
      <c r="M505" t="s" s="2">
        <v>33</v>
      </c>
      <c r="N505" t="s" s="2">
        <v>35</v>
      </c>
      <c r="O505" s="3">
        <v>58</v>
      </c>
      <c r="P505" t="str" s="8" cm="1">
        <f t="array" ref="P505">IF(O505="","check","Okay")</f>
        <v>Okay</v>
      </c>
      <c r="Q505" t="str" s="8" cm="1">
        <f t="array" ref="Q505">IF(O505&lt;30,"UNDER 30",IF(O505&lt;=50,"30-50","Over 50"))</f>
        <v>Over 50</v>
      </c>
      <c r="R505" t="s" s="2">
        <v>20</v>
      </c>
      <c r="S505" s="3" cm="1">
        <f t="array" ref="S505">COUNTIF(A2:A1001,A505)</f>
        <v>1</v>
      </c>
      <c r="T505" t="str" s="8" cm="1">
        <f t="array" ref="T505">IF(ISNUMBER(F505),"Ok","check")</f>
        <v>Ok</v>
      </c>
      <c r="U505" t="str" s="8" cm="1">
        <f t="array" ref="U505">IF(ISNUMBER(O505),"ok","check")</f>
        <v>ok</v>
      </c>
    </row>
    <row r="506" ht="13.55" customHeight="1">
      <c r="A506" s="3">
        <v>13216</v>
      </c>
      <c r="B506" t="s" s="2">
        <v>13</v>
      </c>
      <c r="C506" t="str" s="8" cm="1">
        <f t="array" ref="C506">IF(B506="M","Married","Single")</f>
        <v>Married</v>
      </c>
      <c r="D506" t="s" s="2">
        <v>14</v>
      </c>
      <c r="E506" t="str" s="8" cm="1">
        <f t="array" ref="E506">IF(D506="M","Male",IF(D506="F","Female","Check"))</f>
        <v>Female</v>
      </c>
      <c r="F506" s="4">
        <v>60000</v>
      </c>
      <c r="G506" t="str" s="8" cm="1">
        <f t="array" ref="G506">IF(F506="","Check","okay")</f>
        <v>okay</v>
      </c>
      <c r="H506" s="3">
        <v>5</v>
      </c>
      <c r="I506" t="s" s="2">
        <v>15</v>
      </c>
      <c r="J506" t="s" s="2">
        <v>31</v>
      </c>
      <c r="K506" t="s" s="2">
        <v>17</v>
      </c>
      <c r="L506" s="3">
        <v>3</v>
      </c>
      <c r="M506" t="s" s="2">
        <v>33</v>
      </c>
      <c r="N506" t="s" s="2">
        <v>35</v>
      </c>
      <c r="O506" s="3">
        <v>59</v>
      </c>
      <c r="P506" t="str" s="8" cm="1">
        <f t="array" ref="P506">IF(O506="","check","Okay")</f>
        <v>Okay</v>
      </c>
      <c r="Q506" t="str" s="8" cm="1">
        <f t="array" ref="Q506">IF(O506&lt;30,"UNDER 30",IF(O506&lt;=50,"30-50","Over 50"))</f>
        <v>Over 50</v>
      </c>
      <c r="R506" t="s" s="2">
        <v>20</v>
      </c>
      <c r="S506" s="3" cm="1">
        <f t="array" ref="S506">COUNTIF(A2:A1001,A506)</f>
        <v>1</v>
      </c>
      <c r="T506" t="str" s="8" cm="1">
        <f t="array" ref="T506">IF(ISNUMBER(F506),"Ok","check")</f>
        <v>Ok</v>
      </c>
      <c r="U506" t="str" s="8" cm="1">
        <f t="array" ref="U506">IF(ISNUMBER(O506),"ok","check")</f>
        <v>ok</v>
      </c>
    </row>
    <row r="507" ht="13.55" customHeight="1">
      <c r="A507" s="3">
        <v>14389</v>
      </c>
      <c r="B507" t="s" s="2">
        <v>13</v>
      </c>
      <c r="C507" t="str" s="8" cm="1">
        <f t="array" ref="C507">IF(B507="M","Married","Single")</f>
        <v>Married</v>
      </c>
      <c r="D507" t="s" s="2">
        <v>13</v>
      </c>
      <c r="E507" t="str" s="8" cm="1">
        <f t="array" ref="E507">IF(D507="M","Male",IF(D507="F","Female","Check"))</f>
        <v>Male</v>
      </c>
      <c r="F507" s="4">
        <v>60000</v>
      </c>
      <c r="G507" t="str" s="8" cm="1">
        <f t="array" ref="G507">IF(F507="","Check","okay")</f>
        <v>okay</v>
      </c>
      <c r="H507" s="3">
        <v>2</v>
      </c>
      <c r="I507" t="s" s="2">
        <v>15</v>
      </c>
      <c r="J507" t="s" s="2">
        <v>31</v>
      </c>
      <c r="K507" t="s" s="2">
        <v>17</v>
      </c>
      <c r="L507" s="3">
        <v>0</v>
      </c>
      <c r="M507" t="s" s="2">
        <v>24</v>
      </c>
      <c r="N507" t="s" s="2">
        <v>35</v>
      </c>
      <c r="O507" s="3">
        <v>59</v>
      </c>
      <c r="P507" t="str" s="8" cm="1">
        <f t="array" ref="P507">IF(O507="","check","Okay")</f>
        <v>Okay</v>
      </c>
      <c r="Q507" t="str" s="8" cm="1">
        <f t="array" ref="Q507">IF(O507&lt;30,"UNDER 30",IF(O507&lt;=50,"30-50","Over 50"))</f>
        <v>Over 50</v>
      </c>
      <c r="R507" t="s" s="2">
        <v>20</v>
      </c>
      <c r="S507" s="3" cm="1">
        <f t="array" ref="S507">COUNTIF(A2:A1001,A507)</f>
        <v>1</v>
      </c>
      <c r="T507" t="str" s="8" cm="1">
        <f t="array" ref="T507">IF(ISNUMBER(F507),"Ok","check")</f>
        <v>Ok</v>
      </c>
      <c r="U507" t="str" s="8" cm="1">
        <f t="array" ref="U507">IF(ISNUMBER(O507),"ok","check")</f>
        <v>ok</v>
      </c>
    </row>
    <row r="508" ht="13.55" customHeight="1">
      <c r="A508" s="3">
        <v>15313</v>
      </c>
      <c r="B508" t="s" s="2">
        <v>13</v>
      </c>
      <c r="C508" t="str" s="8" cm="1">
        <f t="array" ref="C508">IF(B508="M","Married","Single")</f>
        <v>Married</v>
      </c>
      <c r="D508" t="s" s="2">
        <v>13</v>
      </c>
      <c r="E508" t="str" s="8" cm="1">
        <f t="array" ref="E508">IF(D508="M","Male",IF(D508="F","Female","Check"))</f>
        <v>Male</v>
      </c>
      <c r="F508" s="4">
        <v>60000</v>
      </c>
      <c r="G508" t="str" s="8" cm="1">
        <f t="array" ref="G508">IF(F508="","Check","okay")</f>
        <v>okay</v>
      </c>
      <c r="H508" s="3">
        <v>4</v>
      </c>
      <c r="I508" t="s" s="2">
        <v>15</v>
      </c>
      <c r="J508" t="s" s="2">
        <v>31</v>
      </c>
      <c r="K508" t="s" s="2">
        <v>17</v>
      </c>
      <c r="L508" s="3">
        <v>2</v>
      </c>
      <c r="M508" t="s" s="2">
        <v>24</v>
      </c>
      <c r="N508" t="s" s="2">
        <v>35</v>
      </c>
      <c r="O508" s="3">
        <v>59</v>
      </c>
      <c r="P508" t="str" s="8" cm="1">
        <f t="array" ref="P508">IF(O508="","check","Okay")</f>
        <v>Okay</v>
      </c>
      <c r="Q508" t="str" s="8" cm="1">
        <f t="array" ref="Q508">IF(O508&lt;30,"UNDER 30",IF(O508&lt;=50,"30-50","Over 50"))</f>
        <v>Over 50</v>
      </c>
      <c r="R508" t="s" s="2">
        <v>20</v>
      </c>
      <c r="S508" s="3" cm="1">
        <f t="array" ref="S508">COUNTIF(A2:A1001,A508)</f>
        <v>1</v>
      </c>
      <c r="T508" t="str" s="8" cm="1">
        <f t="array" ref="T508">IF(ISNUMBER(F508),"Ok","check")</f>
        <v>Ok</v>
      </c>
      <c r="U508" t="str" s="8" cm="1">
        <f t="array" ref="U508">IF(ISNUMBER(O508),"ok","check")</f>
        <v>ok</v>
      </c>
    </row>
    <row r="509" ht="13.55" customHeight="1">
      <c r="A509" s="3">
        <v>16791</v>
      </c>
      <c r="B509" t="s" s="2">
        <v>25</v>
      </c>
      <c r="C509" t="str" s="8" cm="1">
        <f t="array" ref="C509">IF(B509="M","Married","Single")</f>
        <v>Single</v>
      </c>
      <c r="D509" t="s" s="2">
        <v>13</v>
      </c>
      <c r="E509" t="str" s="8" cm="1">
        <f t="array" ref="E509">IF(D509="M","Male",IF(D509="F","Female","Check"))</f>
        <v>Male</v>
      </c>
      <c r="F509" s="4">
        <v>60000</v>
      </c>
      <c r="G509" t="str" s="8" cm="1">
        <f t="array" ref="G509">IF(F509="","Check","okay")</f>
        <v>okay</v>
      </c>
      <c r="H509" s="3">
        <v>5</v>
      </c>
      <c r="I509" t="s" s="2">
        <v>15</v>
      </c>
      <c r="J509" t="s" s="2">
        <v>31</v>
      </c>
      <c r="K509" t="s" s="2">
        <v>17</v>
      </c>
      <c r="L509" s="3">
        <v>3</v>
      </c>
      <c r="M509" t="s" s="2">
        <v>33</v>
      </c>
      <c r="N509" t="s" s="2">
        <v>35</v>
      </c>
      <c r="O509" s="3">
        <v>59</v>
      </c>
      <c r="P509" t="str" s="8" cm="1">
        <f t="array" ref="P509">IF(O509="","check","Okay")</f>
        <v>Okay</v>
      </c>
      <c r="Q509" t="str" s="8" cm="1">
        <f t="array" ref="Q509">IF(O509&lt;30,"UNDER 30",IF(O509&lt;=50,"30-50","Over 50"))</f>
        <v>Over 50</v>
      </c>
      <c r="R509" t="s" s="2">
        <v>17</v>
      </c>
      <c r="S509" s="3" cm="1">
        <f t="array" ref="S509">COUNTIF(A2:A1001,A509)</f>
        <v>1</v>
      </c>
      <c r="T509" t="str" s="8" cm="1">
        <f t="array" ref="T509">IF(ISNUMBER(F509),"Ok","check")</f>
        <v>Ok</v>
      </c>
      <c r="U509" t="str" s="8" cm="1">
        <f t="array" ref="U509">IF(ISNUMBER(O509),"ok","check")</f>
        <v>ok</v>
      </c>
    </row>
    <row r="510" ht="13.55" customHeight="1">
      <c r="A510" s="3">
        <v>19856</v>
      </c>
      <c r="B510" t="s" s="2">
        <v>13</v>
      </c>
      <c r="C510" t="str" s="8" cm="1">
        <f t="array" ref="C510">IF(B510="M","Married","Single")</f>
        <v>Married</v>
      </c>
      <c r="D510" t="s" s="2">
        <v>14</v>
      </c>
      <c r="E510" t="str" s="8" cm="1">
        <f t="array" ref="E510">IF(D510="M","Male",IF(D510="F","Female","Check"))</f>
        <v>Female</v>
      </c>
      <c r="F510" s="4">
        <v>60000</v>
      </c>
      <c r="G510" t="str" s="8" cm="1">
        <f t="array" ref="G510">IF(F510="","Check","okay")</f>
        <v>okay</v>
      </c>
      <c r="H510" s="3">
        <v>4</v>
      </c>
      <c r="I510" t="s" s="2">
        <v>15</v>
      </c>
      <c r="J510" t="s" s="2">
        <v>31</v>
      </c>
      <c r="K510" t="s" s="2">
        <v>17</v>
      </c>
      <c r="L510" s="3">
        <v>2</v>
      </c>
      <c r="M510" t="s" s="2">
        <v>24</v>
      </c>
      <c r="N510" t="s" s="2">
        <v>35</v>
      </c>
      <c r="O510" s="3">
        <v>60</v>
      </c>
      <c r="P510" t="str" s="8" cm="1">
        <f t="array" ref="P510">IF(O510="","check","Okay")</f>
        <v>Okay</v>
      </c>
      <c r="Q510" t="str" s="8" cm="1">
        <f t="array" ref="Q510">IF(O510&lt;30,"UNDER 30",IF(O510&lt;=50,"30-50","Over 50"))</f>
        <v>Over 50</v>
      </c>
      <c r="R510" t="s" s="2">
        <v>20</v>
      </c>
      <c r="S510" s="3" cm="1">
        <f t="array" ref="S510">COUNTIF(A2:A1001,A510)</f>
        <v>1</v>
      </c>
      <c r="T510" t="str" s="8" cm="1">
        <f t="array" ref="T510">IF(ISNUMBER(F510),"Ok","check")</f>
        <v>Ok</v>
      </c>
      <c r="U510" t="str" s="8" cm="1">
        <f t="array" ref="U510">IF(ISNUMBER(O510),"ok","check")</f>
        <v>ok</v>
      </c>
    </row>
    <row r="511" ht="13.55" customHeight="1">
      <c r="A511" s="3">
        <v>21770</v>
      </c>
      <c r="B511" t="s" s="2">
        <v>13</v>
      </c>
      <c r="C511" t="str" s="8" cm="1">
        <f t="array" ref="C511">IF(B511="M","Married","Single")</f>
        <v>Married</v>
      </c>
      <c r="D511" t="s" s="2">
        <v>13</v>
      </c>
      <c r="E511" t="str" s="8" cm="1">
        <f t="array" ref="E511">IF(D511="M","Male",IF(D511="F","Female","Check"))</f>
        <v>Male</v>
      </c>
      <c r="F511" s="4">
        <v>60000</v>
      </c>
      <c r="G511" t="str" s="8" cm="1">
        <f t="array" ref="G511">IF(F511="","Check","okay")</f>
        <v>okay</v>
      </c>
      <c r="H511" s="3">
        <v>4</v>
      </c>
      <c r="I511" t="s" s="2">
        <v>15</v>
      </c>
      <c r="J511" t="s" s="2">
        <v>31</v>
      </c>
      <c r="K511" t="s" s="2">
        <v>17</v>
      </c>
      <c r="L511" s="3">
        <v>2</v>
      </c>
      <c r="M511" t="s" s="2">
        <v>33</v>
      </c>
      <c r="N511" t="s" s="2">
        <v>35</v>
      </c>
      <c r="O511" s="3">
        <v>60</v>
      </c>
      <c r="P511" t="str" s="8" cm="1">
        <f t="array" ref="P511">IF(O511="","check","Okay")</f>
        <v>Okay</v>
      </c>
      <c r="Q511" t="str" s="8" cm="1">
        <f t="array" ref="Q511">IF(O511&lt;30,"UNDER 30",IF(O511&lt;=50,"30-50","Over 50"))</f>
        <v>Over 50</v>
      </c>
      <c r="R511" t="s" s="2">
        <v>20</v>
      </c>
      <c r="S511" s="3" cm="1">
        <f t="array" ref="S511">COUNTIF(A2:A1001,A511)</f>
        <v>1</v>
      </c>
      <c r="T511" t="str" s="8" cm="1">
        <f t="array" ref="T511">IF(ISNUMBER(F511),"Ok","check")</f>
        <v>Ok</v>
      </c>
      <c r="U511" t="str" s="8" cm="1">
        <f t="array" ref="U511">IF(ISNUMBER(O511),"ok","check")</f>
        <v>ok</v>
      </c>
    </row>
    <row r="512" ht="13.55" customHeight="1">
      <c r="A512" s="3">
        <v>13353</v>
      </c>
      <c r="B512" t="s" s="2">
        <v>25</v>
      </c>
      <c r="C512" t="str" s="8" cm="1">
        <f t="array" ref="C512">IF(B512="M","Married","Single")</f>
        <v>Single</v>
      </c>
      <c r="D512" t="s" s="2">
        <v>14</v>
      </c>
      <c r="E512" t="str" s="8" cm="1">
        <f t="array" ref="E512">IF(D512="M","Male",IF(D512="F","Female","Check"))</f>
        <v>Female</v>
      </c>
      <c r="F512" s="4">
        <v>60000</v>
      </c>
      <c r="G512" t="str" s="8" cm="1">
        <f t="array" ref="G512">IF(F512="","Check","okay")</f>
        <v>okay</v>
      </c>
      <c r="H512" s="3">
        <v>4</v>
      </c>
      <c r="I512" t="s" s="2">
        <v>34</v>
      </c>
      <c r="J512" t="s" s="2">
        <v>31</v>
      </c>
      <c r="K512" t="s" s="2">
        <v>17</v>
      </c>
      <c r="L512" s="3">
        <v>2</v>
      </c>
      <c r="M512" t="s" s="2">
        <v>33</v>
      </c>
      <c r="N512" t="s" s="2">
        <v>35</v>
      </c>
      <c r="O512" s="3">
        <v>61</v>
      </c>
      <c r="P512" t="str" s="8" cm="1">
        <f t="array" ref="P512">IF(O512="","check","Okay")</f>
        <v>Okay</v>
      </c>
      <c r="Q512" t="str" s="8" cm="1">
        <f t="array" ref="Q512">IF(O512&lt;30,"UNDER 30",IF(O512&lt;=50,"30-50","Over 50"))</f>
        <v>Over 50</v>
      </c>
      <c r="R512" t="s" s="2">
        <v>17</v>
      </c>
      <c r="S512" s="3" cm="1">
        <f t="array" ref="S512">COUNTIF(A2:A1001,A512)</f>
        <v>1</v>
      </c>
      <c r="T512" t="str" s="8" cm="1">
        <f t="array" ref="T512">IF(ISNUMBER(F512),"Ok","check")</f>
        <v>Ok</v>
      </c>
      <c r="U512" t="str" s="8" cm="1">
        <f t="array" ref="U512">IF(ISNUMBER(O512),"ok","check")</f>
        <v>ok</v>
      </c>
    </row>
    <row r="513" ht="13.55" customHeight="1">
      <c r="A513" s="3">
        <v>24643</v>
      </c>
      <c r="B513" t="s" s="2">
        <v>25</v>
      </c>
      <c r="C513" t="str" s="8" cm="1">
        <f t="array" ref="C513">IF(B513="M","Married","Single")</f>
        <v>Single</v>
      </c>
      <c r="D513" t="s" s="2">
        <v>14</v>
      </c>
      <c r="E513" t="str" s="8" cm="1">
        <f t="array" ref="E513">IF(D513="M","Male",IF(D513="F","Female","Check"))</f>
        <v>Female</v>
      </c>
      <c r="F513" s="4">
        <v>60000</v>
      </c>
      <c r="G513" t="str" s="8" cm="1">
        <f t="array" ref="G513">IF(F513="","Check","okay")</f>
        <v>okay</v>
      </c>
      <c r="H513" s="3">
        <v>4</v>
      </c>
      <c r="I513" t="s" s="2">
        <v>15</v>
      </c>
      <c r="J513" t="s" s="2">
        <v>31</v>
      </c>
      <c r="K513" t="s" s="2">
        <v>17</v>
      </c>
      <c r="L513" s="3">
        <v>2</v>
      </c>
      <c r="M513" t="s" s="2">
        <v>33</v>
      </c>
      <c r="N513" t="s" s="2">
        <v>35</v>
      </c>
      <c r="O513" s="3">
        <v>63</v>
      </c>
      <c r="P513" t="str" s="8" cm="1">
        <f t="array" ref="P513">IF(O513="","check","Okay")</f>
        <v>Okay</v>
      </c>
      <c r="Q513" t="str" s="8" cm="1">
        <f t="array" ref="Q513">IF(O513&lt;30,"UNDER 30",IF(O513&lt;=50,"30-50","Over 50"))</f>
        <v>Over 50</v>
      </c>
      <c r="R513" t="s" s="2">
        <v>20</v>
      </c>
      <c r="S513" s="3" cm="1">
        <f t="array" ref="S513">COUNTIF(A2:A1001,A513)</f>
        <v>1</v>
      </c>
      <c r="T513" t="str" s="8" cm="1">
        <f t="array" ref="T513">IF(ISNUMBER(F513),"Ok","check")</f>
        <v>Ok</v>
      </c>
      <c r="U513" t="str" s="8" cm="1">
        <f t="array" ref="U513">IF(ISNUMBER(O513),"ok","check")</f>
        <v>ok</v>
      </c>
    </row>
    <row r="514" ht="13.55" customHeight="1">
      <c r="A514" s="3">
        <v>21751</v>
      </c>
      <c r="B514" t="s" s="2">
        <v>13</v>
      </c>
      <c r="C514" t="str" s="8" cm="1">
        <f t="array" ref="C514">IF(B514="M","Married","Single")</f>
        <v>Married</v>
      </c>
      <c r="D514" t="s" s="2">
        <v>13</v>
      </c>
      <c r="E514" t="str" s="8" cm="1">
        <f t="array" ref="E514">IF(D514="M","Male",IF(D514="F","Female","Check"))</f>
        <v>Male</v>
      </c>
      <c r="F514" s="4">
        <v>60000</v>
      </c>
      <c r="G514" t="str" s="8" cm="1">
        <f t="array" ref="G514">IF(F514="","Check","okay")</f>
        <v>okay</v>
      </c>
      <c r="H514" s="3">
        <v>3</v>
      </c>
      <c r="I514" t="s" s="2">
        <v>34</v>
      </c>
      <c r="J514" t="s" s="2">
        <v>31</v>
      </c>
      <c r="K514" t="s" s="2">
        <v>17</v>
      </c>
      <c r="L514" s="3">
        <v>2</v>
      </c>
      <c r="M514" t="s" s="2">
        <v>29</v>
      </c>
      <c r="N514" t="s" s="2">
        <v>35</v>
      </c>
      <c r="O514" s="3">
        <v>63</v>
      </c>
      <c r="P514" t="str" s="8" cm="1">
        <f t="array" ref="P514">IF(O514="","check","Okay")</f>
        <v>Okay</v>
      </c>
      <c r="Q514" t="str" s="8" cm="1">
        <f t="array" ref="Q514">IF(O514&lt;30,"UNDER 30",IF(O514&lt;=50,"30-50","Over 50"))</f>
        <v>Over 50</v>
      </c>
      <c r="R514" t="s" s="2">
        <v>20</v>
      </c>
      <c r="S514" s="3" cm="1">
        <f t="array" ref="S514">COUNTIF(A2:A1001,A514)</f>
        <v>1</v>
      </c>
      <c r="T514" t="str" s="8" cm="1">
        <f t="array" ref="T514">IF(ISNUMBER(F514),"Ok","check")</f>
        <v>Ok</v>
      </c>
      <c r="U514" t="str" s="8" cm="1">
        <f t="array" ref="U514">IF(ISNUMBER(O514),"ok","check")</f>
        <v>ok</v>
      </c>
    </row>
    <row r="515" ht="13.55" customHeight="1">
      <c r="A515" s="3">
        <v>21752</v>
      </c>
      <c r="B515" t="s" s="2">
        <v>13</v>
      </c>
      <c r="C515" t="str" s="8" cm="1">
        <f t="array" ref="C515">IF(B515="M","Married","Single")</f>
        <v>Married</v>
      </c>
      <c r="D515" t="s" s="2">
        <v>13</v>
      </c>
      <c r="E515" t="str" s="8" cm="1">
        <f t="array" ref="E515">IF(D515="M","Male",IF(D515="F","Female","Check"))</f>
        <v>Male</v>
      </c>
      <c r="F515" s="4">
        <v>60000</v>
      </c>
      <c r="G515" t="str" s="8" cm="1">
        <f t="array" ref="G515">IF(F515="","Check","okay")</f>
        <v>okay</v>
      </c>
      <c r="H515" s="3">
        <v>3</v>
      </c>
      <c r="I515" t="s" s="2">
        <v>34</v>
      </c>
      <c r="J515" t="s" s="2">
        <v>31</v>
      </c>
      <c r="K515" t="s" s="2">
        <v>17</v>
      </c>
      <c r="L515" s="3">
        <v>2</v>
      </c>
      <c r="M515" t="s" s="2">
        <v>33</v>
      </c>
      <c r="N515" t="s" s="2">
        <v>35</v>
      </c>
      <c r="O515" s="3">
        <v>64</v>
      </c>
      <c r="P515" t="str" s="8" cm="1">
        <f t="array" ref="P515">IF(O515="","check","Okay")</f>
        <v>Okay</v>
      </c>
      <c r="Q515" t="str" s="8" cm="1">
        <f t="array" ref="Q515">IF(O515&lt;30,"UNDER 30",IF(O515&lt;=50,"30-50","Over 50"))</f>
        <v>Over 50</v>
      </c>
      <c r="R515" t="s" s="2">
        <v>20</v>
      </c>
      <c r="S515" s="3" cm="1">
        <f t="array" ref="S515">COUNTIF(A2:A1001,A515)</f>
        <v>1</v>
      </c>
      <c r="T515" t="str" s="8" cm="1">
        <f t="array" ref="T515">IF(ISNUMBER(F515),"Ok","check")</f>
        <v>Ok</v>
      </c>
      <c r="U515" t="str" s="8" cm="1">
        <f t="array" ref="U515">IF(ISNUMBER(O515),"ok","check")</f>
        <v>ok</v>
      </c>
    </row>
    <row r="516" ht="13.55" customHeight="1">
      <c r="A516" s="3">
        <v>28004</v>
      </c>
      <c r="B516" t="s" s="2">
        <v>13</v>
      </c>
      <c r="C516" t="str" s="8" cm="1">
        <f t="array" ref="C516">IF(B516="M","Married","Single")</f>
        <v>Married</v>
      </c>
      <c r="D516" t="s" s="2">
        <v>14</v>
      </c>
      <c r="E516" t="str" s="8" cm="1">
        <f t="array" ref="E516">IF(D516="M","Male",IF(D516="F","Female","Check"))</f>
        <v>Female</v>
      </c>
      <c r="F516" s="4">
        <v>60000</v>
      </c>
      <c r="G516" t="str" s="8" cm="1">
        <f t="array" ref="G516">IF(F516="","Check","okay")</f>
        <v>okay</v>
      </c>
      <c r="H516" s="3">
        <v>3</v>
      </c>
      <c r="I516" t="s" s="2">
        <v>15</v>
      </c>
      <c r="J516" t="s" s="2">
        <v>31</v>
      </c>
      <c r="K516" t="s" s="2">
        <v>17</v>
      </c>
      <c r="L516" s="3">
        <v>2</v>
      </c>
      <c r="M516" t="s" s="2">
        <v>33</v>
      </c>
      <c r="N516" t="s" s="2">
        <v>35</v>
      </c>
      <c r="O516" s="3">
        <v>66</v>
      </c>
      <c r="P516" t="str" s="8" cm="1">
        <f t="array" ref="P516">IF(O516="","check","Okay")</f>
        <v>Okay</v>
      </c>
      <c r="Q516" t="str" s="8" cm="1">
        <f t="array" ref="Q516">IF(O516&lt;30,"UNDER 30",IF(O516&lt;=50,"30-50","Over 50"))</f>
        <v>Over 50</v>
      </c>
      <c r="R516" t="s" s="2">
        <v>20</v>
      </c>
      <c r="S516" s="3" cm="1">
        <f t="array" ref="S516">COUNTIF(A2:A1001,A516)</f>
        <v>1</v>
      </c>
      <c r="T516" t="str" s="8" cm="1">
        <f t="array" ref="T516">IF(ISNUMBER(F516),"Ok","check")</f>
        <v>Ok</v>
      </c>
      <c r="U516" t="str" s="8" cm="1">
        <f t="array" ref="U516">IF(ISNUMBER(O516),"ok","check")</f>
        <v>ok</v>
      </c>
    </row>
    <row r="517" ht="13.55" customHeight="1">
      <c r="A517" s="3">
        <v>28972</v>
      </c>
      <c r="B517" t="s" s="2">
        <v>25</v>
      </c>
      <c r="C517" t="str" s="8" cm="1">
        <f t="array" ref="C517">IF(B517="M","Married","Single")</f>
        <v>Single</v>
      </c>
      <c r="D517" t="s" s="2">
        <v>14</v>
      </c>
      <c r="E517" t="str" s="8" cm="1">
        <f t="array" ref="E517">IF(D517="M","Male",IF(D517="F","Female","Check"))</f>
        <v>Female</v>
      </c>
      <c r="F517" s="4">
        <v>60000</v>
      </c>
      <c r="G517" t="str" s="8" cm="1">
        <f t="array" ref="G517">IF(F517="","Check","okay")</f>
        <v>okay</v>
      </c>
      <c r="H517" s="3">
        <v>3</v>
      </c>
      <c r="I517" t="s" s="2">
        <v>34</v>
      </c>
      <c r="J517" t="s" s="2">
        <v>31</v>
      </c>
      <c r="K517" t="s" s="2">
        <v>17</v>
      </c>
      <c r="L517" s="3">
        <v>2</v>
      </c>
      <c r="M517" t="s" s="2">
        <v>33</v>
      </c>
      <c r="N517" t="s" s="2">
        <v>35</v>
      </c>
      <c r="O517" s="3">
        <v>66</v>
      </c>
      <c r="P517" t="str" s="8" cm="1">
        <f t="array" ref="P517">IF(O517="","check","Okay")</f>
        <v>Okay</v>
      </c>
      <c r="Q517" t="str" s="8" cm="1">
        <f t="array" ref="Q517">IF(O517&lt;30,"UNDER 30",IF(O517&lt;=50,"30-50","Over 50"))</f>
        <v>Over 50</v>
      </c>
      <c r="R517" t="s" s="2">
        <v>20</v>
      </c>
      <c r="S517" s="3" cm="1">
        <f t="array" ref="S517">COUNTIF(A2:A1001,A517)</f>
        <v>1</v>
      </c>
      <c r="T517" t="str" s="8" cm="1">
        <f t="array" ref="T517">IF(ISNUMBER(F517),"Ok","check")</f>
        <v>Ok</v>
      </c>
      <c r="U517" t="str" s="8" cm="1">
        <f t="array" ref="U517">IF(ISNUMBER(O517),"ok","check")</f>
        <v>ok</v>
      </c>
    </row>
    <row r="518" ht="13.55" customHeight="1">
      <c r="A518" s="3">
        <v>24941</v>
      </c>
      <c r="B518" t="s" s="2">
        <v>13</v>
      </c>
      <c r="C518" t="str" s="8" cm="1">
        <f t="array" ref="C518">IF(B518="M","Married","Single")</f>
        <v>Married</v>
      </c>
      <c r="D518" t="s" s="2">
        <v>13</v>
      </c>
      <c r="E518" t="str" s="8" cm="1">
        <f t="array" ref="E518">IF(D518="M","Male",IF(D518="F","Female","Check"))</f>
        <v>Male</v>
      </c>
      <c r="F518" s="4">
        <v>60000</v>
      </c>
      <c r="G518" t="str" s="8" cm="1">
        <f t="array" ref="G518">IF(F518="","Check","okay")</f>
        <v>okay</v>
      </c>
      <c r="H518" s="3">
        <v>3</v>
      </c>
      <c r="I518" t="s" s="2">
        <v>15</v>
      </c>
      <c r="J518" t="s" s="2">
        <v>31</v>
      </c>
      <c r="K518" t="s" s="2">
        <v>17</v>
      </c>
      <c r="L518" s="3">
        <v>2</v>
      </c>
      <c r="M518" t="s" s="2">
        <v>33</v>
      </c>
      <c r="N518" t="s" s="2">
        <v>35</v>
      </c>
      <c r="O518" s="3">
        <v>66</v>
      </c>
      <c r="P518" t="str" s="8" cm="1">
        <f t="array" ref="P518">IF(O518="","check","Okay")</f>
        <v>Okay</v>
      </c>
      <c r="Q518" t="str" s="8" cm="1">
        <f t="array" ref="Q518">IF(O518&lt;30,"UNDER 30",IF(O518&lt;=50,"30-50","Over 50"))</f>
        <v>Over 50</v>
      </c>
      <c r="R518" t="s" s="2">
        <v>20</v>
      </c>
      <c r="S518" s="3" cm="1">
        <f t="array" ref="S518">COUNTIF(A2:A1001,A518)</f>
        <v>1</v>
      </c>
      <c r="T518" t="str" s="8" cm="1">
        <f t="array" ref="T518">IF(ISNUMBER(F518),"Ok","check")</f>
        <v>Ok</v>
      </c>
      <c r="U518" t="str" s="8" cm="1">
        <f t="array" ref="U518">IF(ISNUMBER(O518),"ok","check")</f>
        <v>ok</v>
      </c>
    </row>
    <row r="519" ht="13.55" customHeight="1">
      <c r="A519" s="3">
        <v>24943</v>
      </c>
      <c r="B519" t="s" s="2">
        <v>13</v>
      </c>
      <c r="C519" t="str" s="8" cm="1">
        <f t="array" ref="C519">IF(B519="M","Married","Single")</f>
        <v>Married</v>
      </c>
      <c r="D519" t="s" s="2">
        <v>13</v>
      </c>
      <c r="E519" t="str" s="8" cm="1">
        <f t="array" ref="E519">IF(D519="M","Male",IF(D519="F","Female","Check"))</f>
        <v>Male</v>
      </c>
      <c r="F519" s="4">
        <v>60000</v>
      </c>
      <c r="G519" t="str" s="8" cm="1">
        <f t="array" ref="G519">IF(F519="","Check","okay")</f>
        <v>okay</v>
      </c>
      <c r="H519" s="3">
        <v>3</v>
      </c>
      <c r="I519" t="s" s="2">
        <v>15</v>
      </c>
      <c r="J519" t="s" s="2">
        <v>31</v>
      </c>
      <c r="K519" t="s" s="2">
        <v>17</v>
      </c>
      <c r="L519" s="3">
        <v>2</v>
      </c>
      <c r="M519" t="s" s="2">
        <v>33</v>
      </c>
      <c r="N519" t="s" s="2">
        <v>35</v>
      </c>
      <c r="O519" s="3">
        <v>66</v>
      </c>
      <c r="P519" t="str" s="8" cm="1">
        <f t="array" ref="P519">IF(O519="","check","Okay")</f>
        <v>Okay</v>
      </c>
      <c r="Q519" t="str" s="8" cm="1">
        <f t="array" ref="Q519">IF(O519&lt;30,"UNDER 30",IF(O519&lt;=50,"30-50","Over 50"))</f>
        <v>Over 50</v>
      </c>
      <c r="R519" t="s" s="2">
        <v>20</v>
      </c>
      <c r="S519" s="3" cm="1">
        <f t="array" ref="S519">COUNTIF(A2:A1001,A519)</f>
        <v>1</v>
      </c>
      <c r="T519" t="str" s="8" cm="1">
        <f t="array" ref="T519">IF(ISNUMBER(F519),"Ok","check")</f>
        <v>Ok</v>
      </c>
      <c r="U519" t="str" s="8" cm="1">
        <f t="array" ref="U519">IF(ISNUMBER(O519),"ok","check")</f>
        <v>ok</v>
      </c>
    </row>
    <row r="520" ht="13.55" customHeight="1">
      <c r="A520" s="3">
        <v>27388</v>
      </c>
      <c r="B520" t="s" s="2">
        <v>13</v>
      </c>
      <c r="C520" t="str" s="8" cm="1">
        <f t="array" ref="C520">IF(B520="M","Married","Single")</f>
        <v>Married</v>
      </c>
      <c r="D520" t="s" s="2">
        <v>13</v>
      </c>
      <c r="E520" t="str" s="8" cm="1">
        <f t="array" ref="E520">IF(D520="M","Male",IF(D520="F","Female","Check"))</f>
        <v>Male</v>
      </c>
      <c r="F520" s="4">
        <v>60000</v>
      </c>
      <c r="G520" t="str" s="8" cm="1">
        <f t="array" ref="G520">IF(F520="","Check","okay")</f>
        <v>okay</v>
      </c>
      <c r="H520" s="3">
        <v>3</v>
      </c>
      <c r="I520" t="s" s="2">
        <v>15</v>
      </c>
      <c r="J520" t="s" s="2">
        <v>31</v>
      </c>
      <c r="K520" t="s" s="2">
        <v>20</v>
      </c>
      <c r="L520" s="3">
        <v>2</v>
      </c>
      <c r="M520" t="s" s="2">
        <v>29</v>
      </c>
      <c r="N520" t="s" s="2">
        <v>35</v>
      </c>
      <c r="O520" s="3">
        <v>66</v>
      </c>
      <c r="P520" t="str" s="8" cm="1">
        <f t="array" ref="P520">IF(O520="","check","Okay")</f>
        <v>Okay</v>
      </c>
      <c r="Q520" t="str" s="8" cm="1">
        <f t="array" ref="Q520">IF(O520&lt;30,"UNDER 30",IF(O520&lt;=50,"30-50","Over 50"))</f>
        <v>Over 50</v>
      </c>
      <c r="R520" t="s" s="2">
        <v>20</v>
      </c>
      <c r="S520" s="3" cm="1">
        <f t="array" ref="S520">COUNTIF(A2:A1001,A520)</f>
        <v>1</v>
      </c>
      <c r="T520" t="str" s="8" cm="1">
        <f t="array" ref="T520">IF(ISNUMBER(F520),"Ok","check")</f>
        <v>Ok</v>
      </c>
      <c r="U520" t="str" s="8" cm="1">
        <f t="array" ref="U520">IF(ISNUMBER(O520),"ok","check")</f>
        <v>ok</v>
      </c>
    </row>
    <row r="521" ht="13.55" customHeight="1">
      <c r="A521" s="3">
        <v>23672</v>
      </c>
      <c r="B521" t="s" s="2">
        <v>13</v>
      </c>
      <c r="C521" t="str" s="8" cm="1">
        <f t="array" ref="C521">IF(B521="M","Married","Single")</f>
        <v>Married</v>
      </c>
      <c r="D521" t="s" s="2">
        <v>14</v>
      </c>
      <c r="E521" t="str" s="8" cm="1">
        <f t="array" ref="E521">IF(D521="M","Male",IF(D521="F","Female","Check"))</f>
        <v>Female</v>
      </c>
      <c r="F521" s="4">
        <v>60000</v>
      </c>
      <c r="G521" t="str" s="8" cm="1">
        <f t="array" ref="G521">IF(F521="","Check","okay")</f>
        <v>okay</v>
      </c>
      <c r="H521" s="3">
        <v>3</v>
      </c>
      <c r="I521" t="s" s="2">
        <v>34</v>
      </c>
      <c r="J521" t="s" s="2">
        <v>31</v>
      </c>
      <c r="K521" t="s" s="2">
        <v>17</v>
      </c>
      <c r="L521" s="3">
        <v>2</v>
      </c>
      <c r="M521" t="s" s="2">
        <v>29</v>
      </c>
      <c r="N521" t="s" s="2">
        <v>35</v>
      </c>
      <c r="O521" s="3">
        <v>67</v>
      </c>
      <c r="P521" t="str" s="8" cm="1">
        <f t="array" ref="P521">IF(O521="","check","Okay")</f>
        <v>Okay</v>
      </c>
      <c r="Q521" t="str" s="8" cm="1">
        <f t="array" ref="Q521">IF(O521&lt;30,"UNDER 30",IF(O521&lt;=50,"30-50","Over 50"))</f>
        <v>Over 50</v>
      </c>
      <c r="R521" t="s" s="2">
        <v>20</v>
      </c>
      <c r="S521" s="3" cm="1">
        <f t="array" ref="S521">COUNTIF(A2:A1001,A521)</f>
        <v>1</v>
      </c>
      <c r="T521" t="str" s="8" cm="1">
        <f t="array" ref="T521">IF(ISNUMBER(F521),"Ok","check")</f>
        <v>Ok</v>
      </c>
      <c r="U521" t="str" s="8" cm="1">
        <f t="array" ref="U521">IF(ISNUMBER(O521),"ok","check")</f>
        <v>ok</v>
      </c>
    </row>
    <row r="522" ht="13.55" customHeight="1">
      <c r="A522" s="3">
        <v>11147</v>
      </c>
      <c r="B522" t="s" s="2">
        <v>13</v>
      </c>
      <c r="C522" t="str" s="8" cm="1">
        <f t="array" ref="C522">IF(B522="M","Married","Single")</f>
        <v>Married</v>
      </c>
      <c r="D522" t="s" s="2">
        <v>13</v>
      </c>
      <c r="E522" t="str" s="8" cm="1">
        <f t="array" ref="E522">IF(D522="M","Male",IF(D522="F","Female","Check"))</f>
        <v>Male</v>
      </c>
      <c r="F522" s="4">
        <v>60000</v>
      </c>
      <c r="G522" t="str" s="8" cm="1">
        <f t="array" ref="G522">IF(F522="","Check","okay")</f>
        <v>okay</v>
      </c>
      <c r="H522" s="3">
        <v>2</v>
      </c>
      <c r="I522" t="s" s="2">
        <v>34</v>
      </c>
      <c r="J522" t="s" s="2">
        <v>31</v>
      </c>
      <c r="K522" t="s" s="2">
        <v>17</v>
      </c>
      <c r="L522" s="3">
        <v>1</v>
      </c>
      <c r="M522" t="s" s="2">
        <v>18</v>
      </c>
      <c r="N522" t="s" s="2">
        <v>27</v>
      </c>
      <c r="O522" s="3">
        <v>67</v>
      </c>
      <c r="P522" t="str" s="8" cm="1">
        <f t="array" ref="P522">IF(O522="","check","Okay")</f>
        <v>Okay</v>
      </c>
      <c r="Q522" t="str" s="8" cm="1">
        <f t="array" ref="Q522">IF(O522&lt;30,"UNDER 30",IF(O522&lt;=50,"30-50","Over 50"))</f>
        <v>Over 50</v>
      </c>
      <c r="R522" t="s" s="2">
        <v>17</v>
      </c>
      <c r="S522" s="3" cm="1">
        <f t="array" ref="S522">COUNTIF(A2:A1001,A522)</f>
        <v>1</v>
      </c>
      <c r="T522" t="str" s="8" cm="1">
        <f t="array" ref="T522">IF(ISNUMBER(F522),"Ok","check")</f>
        <v>Ok</v>
      </c>
      <c r="U522" t="str" s="8" cm="1">
        <f t="array" ref="U522">IF(ISNUMBER(O522),"ok","check")</f>
        <v>ok</v>
      </c>
    </row>
    <row r="523" ht="13.55" customHeight="1">
      <c r="A523" s="3">
        <v>22127</v>
      </c>
      <c r="B523" t="s" s="2">
        <v>13</v>
      </c>
      <c r="C523" t="str" s="8" cm="1">
        <f t="array" ref="C523">IF(B523="M","Married","Single")</f>
        <v>Married</v>
      </c>
      <c r="D523" t="s" s="2">
        <v>13</v>
      </c>
      <c r="E523" t="str" s="8" cm="1">
        <f t="array" ref="E523">IF(D523="M","Male",IF(D523="F","Female","Check"))</f>
        <v>Male</v>
      </c>
      <c r="F523" s="4">
        <v>60000</v>
      </c>
      <c r="G523" t="str" s="8" cm="1">
        <f t="array" ref="G523">IF(F523="","Check","okay")</f>
        <v>okay</v>
      </c>
      <c r="H523" s="3">
        <v>3</v>
      </c>
      <c r="I523" t="s" s="2">
        <v>34</v>
      </c>
      <c r="J523" t="s" s="2">
        <v>31</v>
      </c>
      <c r="K523" t="s" s="2">
        <v>17</v>
      </c>
      <c r="L523" s="3">
        <v>2</v>
      </c>
      <c r="M523" t="s" s="2">
        <v>29</v>
      </c>
      <c r="N523" t="s" s="2">
        <v>35</v>
      </c>
      <c r="O523" s="3">
        <v>67</v>
      </c>
      <c r="P523" t="str" s="8" cm="1">
        <f t="array" ref="P523">IF(O523="","check","Okay")</f>
        <v>Okay</v>
      </c>
      <c r="Q523" t="str" s="8" cm="1">
        <f t="array" ref="Q523">IF(O523&lt;30,"UNDER 30",IF(O523&lt;=50,"30-50","Over 50"))</f>
        <v>Over 50</v>
      </c>
      <c r="R523" t="s" s="2">
        <v>20</v>
      </c>
      <c r="S523" s="3" cm="1">
        <f t="array" ref="S523">COUNTIF(A2:A1001,A523)</f>
        <v>1</v>
      </c>
      <c r="T523" t="str" s="8" cm="1">
        <f t="array" ref="T523">IF(ISNUMBER(F523),"Ok","check")</f>
        <v>Ok</v>
      </c>
      <c r="U523" t="str" s="8" cm="1">
        <f t="array" ref="U523">IF(ISNUMBER(O523),"ok","check")</f>
        <v>ok</v>
      </c>
    </row>
    <row r="524" ht="13.55" customHeight="1">
      <c r="A524" s="3">
        <v>20380</v>
      </c>
      <c r="B524" t="s" s="2">
        <v>13</v>
      </c>
      <c r="C524" t="str" s="8" cm="1">
        <f t="array" ref="C524">IF(B524="M","Married","Single")</f>
        <v>Married</v>
      </c>
      <c r="D524" t="s" s="2">
        <v>14</v>
      </c>
      <c r="E524" t="str" s="8" cm="1">
        <f t="array" ref="E524">IF(D524="M","Male",IF(D524="F","Female","Check"))</f>
        <v>Female</v>
      </c>
      <c r="F524" s="4">
        <v>60000</v>
      </c>
      <c r="G524" t="str" s="8" cm="1">
        <f t="array" ref="G524">IF(F524="","Check","okay")</f>
        <v>okay</v>
      </c>
      <c r="H524" s="3">
        <v>3</v>
      </c>
      <c r="I524" t="s" s="2">
        <v>34</v>
      </c>
      <c r="J524" t="s" s="2">
        <v>31</v>
      </c>
      <c r="K524" t="s" s="2">
        <v>17</v>
      </c>
      <c r="L524" s="3">
        <v>2</v>
      </c>
      <c r="M524" t="s" s="2">
        <v>33</v>
      </c>
      <c r="N524" t="s" s="2">
        <v>35</v>
      </c>
      <c r="O524" s="3">
        <v>69</v>
      </c>
      <c r="P524" t="str" s="8" cm="1">
        <f t="array" ref="P524">IF(O524="","check","Okay")</f>
        <v>Okay</v>
      </c>
      <c r="Q524" t="str" s="8" cm="1">
        <f t="array" ref="Q524">IF(O524&lt;30,"UNDER 30",IF(O524&lt;=50,"30-50","Over 50"))</f>
        <v>Over 50</v>
      </c>
      <c r="R524" t="s" s="2">
        <v>20</v>
      </c>
      <c r="S524" s="3" cm="1">
        <f t="array" ref="S524">COUNTIF(A2:A1001,A524)</f>
        <v>1</v>
      </c>
      <c r="T524" t="str" s="8" cm="1">
        <f t="array" ref="T524">IF(ISNUMBER(F524),"Ok","check")</f>
        <v>Ok</v>
      </c>
      <c r="U524" t="str" s="8" cm="1">
        <f t="array" ref="U524">IF(ISNUMBER(O524),"ok","check")</f>
        <v>ok</v>
      </c>
    </row>
    <row r="525" ht="13.55" customHeight="1">
      <c r="A525" s="3">
        <v>18847</v>
      </c>
      <c r="B525" t="s" s="2">
        <v>13</v>
      </c>
      <c r="C525" t="str" s="8" cm="1">
        <f t="array" ref="C525">IF(B525="M","Married","Single")</f>
        <v>Married</v>
      </c>
      <c r="D525" t="s" s="2">
        <v>14</v>
      </c>
      <c r="E525" t="str" s="8" cm="1">
        <f t="array" ref="E525">IF(D525="M","Male",IF(D525="F","Female","Check"))</f>
        <v>Female</v>
      </c>
      <c r="F525" s="4">
        <v>60000</v>
      </c>
      <c r="G525" t="str" s="8" cm="1">
        <f t="array" ref="G525">IF(F525="","Check","okay")</f>
        <v>okay</v>
      </c>
      <c r="H525" s="3">
        <v>2</v>
      </c>
      <c r="I525" t="s" s="2">
        <v>34</v>
      </c>
      <c r="J525" t="s" s="2">
        <v>31</v>
      </c>
      <c r="K525" t="s" s="2">
        <v>17</v>
      </c>
      <c r="L525" s="3">
        <v>2</v>
      </c>
      <c r="M525" t="s" s="2">
        <v>26</v>
      </c>
      <c r="N525" t="s" s="2">
        <v>35</v>
      </c>
      <c r="O525" s="3">
        <v>70</v>
      </c>
      <c r="P525" t="str" s="8" cm="1">
        <f t="array" ref="P525">IF(O525="","check","Okay")</f>
        <v>Okay</v>
      </c>
      <c r="Q525" t="str" s="8" cm="1">
        <f t="array" ref="Q525">IF(O525&lt;30,"UNDER 30",IF(O525&lt;=50,"30-50","Over 50"))</f>
        <v>Over 50</v>
      </c>
      <c r="R525" t="s" s="2">
        <v>20</v>
      </c>
      <c r="S525" s="3" cm="1">
        <f t="array" ref="S525">COUNTIF(A2:A1001,A525)</f>
        <v>1</v>
      </c>
      <c r="T525" t="str" s="8" cm="1">
        <f t="array" ref="T525">IF(ISNUMBER(F525),"Ok","check")</f>
        <v>Ok</v>
      </c>
      <c r="U525" t="str" s="8" cm="1">
        <f t="array" ref="U525">IF(ISNUMBER(O525),"ok","check")</f>
        <v>ok</v>
      </c>
    </row>
    <row r="526" ht="13.55" customHeight="1">
      <c r="A526" s="3">
        <v>11622</v>
      </c>
      <c r="B526" t="s" s="2">
        <v>13</v>
      </c>
      <c r="C526" t="str" s="8" cm="1">
        <f t="array" ref="C526">IF(B526="M","Married","Single")</f>
        <v>Married</v>
      </c>
      <c r="D526" t="s" s="2">
        <v>13</v>
      </c>
      <c r="E526" t="str" s="8" cm="1">
        <f t="array" ref="E526">IF(D526="M","Male",IF(D526="F","Female","Check"))</f>
        <v>Male</v>
      </c>
      <c r="F526" s="4">
        <v>50000</v>
      </c>
      <c r="G526" t="str" s="8" cm="1">
        <f t="array" ref="G526">IF(F526="","Check","okay")</f>
        <v>okay</v>
      </c>
      <c r="H526" s="3">
        <v>0</v>
      </c>
      <c r="I526" t="s" s="2">
        <v>34</v>
      </c>
      <c r="J526" t="s" s="2">
        <v>16</v>
      </c>
      <c r="K526" t="s" s="2">
        <v>17</v>
      </c>
      <c r="L526" s="3">
        <v>0</v>
      </c>
      <c r="M526" t="s" s="2">
        <v>18</v>
      </c>
      <c r="N526" t="s" s="2">
        <v>35</v>
      </c>
      <c r="O526" s="3">
        <v>32</v>
      </c>
      <c r="P526" t="str" s="8" cm="1">
        <f t="array" ref="P526">IF(O526="","check","Okay")</f>
        <v>Okay</v>
      </c>
      <c r="Q526" t="str" s="8" cm="1">
        <f t="array" ref="Q526">IF(O526&lt;30,"UNDER 30",IF(O526&lt;=50,"30-50","Over 50"))</f>
        <v>30-50</v>
      </c>
      <c r="R526" t="s" s="2">
        <v>20</v>
      </c>
      <c r="S526" s="3" cm="1">
        <f t="array" ref="S526">COUNTIF(A2:A1001,A526)</f>
        <v>1</v>
      </c>
      <c r="T526" t="str" s="8" cm="1">
        <f t="array" ref="T526">IF(ISNUMBER(F526),"Ok","check")</f>
        <v>Ok</v>
      </c>
      <c r="U526" t="str" s="8" cm="1">
        <f t="array" ref="U526">IF(ISNUMBER(O526),"ok","check")</f>
        <v>ok</v>
      </c>
    </row>
    <row r="527" ht="13.55" customHeight="1">
      <c r="A527" s="3">
        <v>22330</v>
      </c>
      <c r="B527" t="s" s="2">
        <v>13</v>
      </c>
      <c r="C527" t="str" s="8" cm="1">
        <f t="array" ref="C527">IF(B527="M","Married","Single")</f>
        <v>Married</v>
      </c>
      <c r="D527" t="s" s="2">
        <v>13</v>
      </c>
      <c r="E527" t="str" s="8" cm="1">
        <f t="array" ref="E527">IF(D527="M","Male",IF(D527="F","Female","Check"))</f>
        <v>Male</v>
      </c>
      <c r="F527" s="4">
        <v>50000</v>
      </c>
      <c r="G527" t="str" s="8" cm="1">
        <f t="array" ref="G527">IF(F527="","Check","okay")</f>
        <v>okay</v>
      </c>
      <c r="H527" s="3">
        <v>0</v>
      </c>
      <c r="I527" t="s" s="2">
        <v>34</v>
      </c>
      <c r="J527" t="s" s="2">
        <v>16</v>
      </c>
      <c r="K527" t="s" s="2">
        <v>17</v>
      </c>
      <c r="L527" s="3">
        <v>0</v>
      </c>
      <c r="M527" t="s" s="2">
        <v>29</v>
      </c>
      <c r="N527" t="s" s="2">
        <v>35</v>
      </c>
      <c r="O527" s="3">
        <v>32</v>
      </c>
      <c r="P527" t="str" s="8" cm="1">
        <f t="array" ref="P527">IF(O527="","check","Okay")</f>
        <v>Okay</v>
      </c>
      <c r="Q527" t="str" s="8" cm="1">
        <f t="array" ref="Q527">IF(O527&lt;30,"UNDER 30",IF(O527&lt;=50,"30-50","Over 50"))</f>
        <v>30-50</v>
      </c>
      <c r="R527" t="s" s="2">
        <v>17</v>
      </c>
      <c r="S527" s="3" cm="1">
        <f t="array" ref="S527">COUNTIF(A2:A1001,A527)</f>
        <v>1</v>
      </c>
      <c r="T527" t="str" s="8" cm="1">
        <f t="array" ref="T527">IF(ISNUMBER(F527),"Ok","check")</f>
        <v>Ok</v>
      </c>
      <c r="U527" t="str" s="8" cm="1">
        <f t="array" ref="U527">IF(ISNUMBER(O527),"ok","check")</f>
        <v>ok</v>
      </c>
    </row>
    <row r="528" ht="13.55" customHeight="1">
      <c r="A528" s="3">
        <v>23818</v>
      </c>
      <c r="B528" t="s" s="2">
        <v>13</v>
      </c>
      <c r="C528" t="str" s="8" cm="1">
        <f t="array" ref="C528">IF(B528="M","Married","Single")</f>
        <v>Married</v>
      </c>
      <c r="D528" t="s" s="2">
        <v>14</v>
      </c>
      <c r="E528" t="str" s="8" cm="1">
        <f t="array" ref="E528">IF(D528="M","Male",IF(D528="F","Female","Check"))</f>
        <v>Female</v>
      </c>
      <c r="F528" s="4">
        <v>50000</v>
      </c>
      <c r="G528" t="str" s="8" cm="1">
        <f t="array" ref="G528">IF(F528="","Check","okay")</f>
        <v>okay</v>
      </c>
      <c r="H528" s="3">
        <v>0</v>
      </c>
      <c r="I528" t="s" s="2">
        <v>34</v>
      </c>
      <c r="J528" t="s" s="2">
        <v>16</v>
      </c>
      <c r="K528" t="s" s="2">
        <v>17</v>
      </c>
      <c r="L528" s="3">
        <v>0</v>
      </c>
      <c r="M528" t="s" s="2">
        <v>29</v>
      </c>
      <c r="N528" t="s" s="2">
        <v>35</v>
      </c>
      <c r="O528" s="3">
        <v>33</v>
      </c>
      <c r="P528" t="str" s="8" cm="1">
        <f t="array" ref="P528">IF(O528="","check","Okay")</f>
        <v>Okay</v>
      </c>
      <c r="Q528" t="str" s="8" cm="1">
        <f t="array" ref="Q528">IF(O528&lt;30,"UNDER 30",IF(O528&lt;=50,"30-50","Over 50"))</f>
        <v>30-50</v>
      </c>
      <c r="R528" t="s" s="2">
        <v>17</v>
      </c>
      <c r="S528" s="3" cm="1">
        <f t="array" ref="S528">COUNTIF(A2:A1001,A528)</f>
        <v>1</v>
      </c>
      <c r="T528" t="str" s="8" cm="1">
        <f t="array" ref="T528">IF(ISNUMBER(F528),"Ok","check")</f>
        <v>Ok</v>
      </c>
      <c r="U528" t="str" s="8" cm="1">
        <f t="array" ref="U528">IF(ISNUMBER(O528),"ok","check")</f>
        <v>ok</v>
      </c>
    </row>
    <row r="529" ht="13.55" customHeight="1">
      <c r="A529" s="3">
        <v>11619</v>
      </c>
      <c r="B529" t="s" s="2">
        <v>25</v>
      </c>
      <c r="C529" t="str" s="8" cm="1">
        <f t="array" ref="C529">IF(B529="M","Married","Single")</f>
        <v>Single</v>
      </c>
      <c r="D529" t="s" s="2">
        <v>14</v>
      </c>
      <c r="E529" t="str" s="8" cm="1">
        <f t="array" ref="E529">IF(D529="M","Male",IF(D529="F","Female","Check"))</f>
        <v>Female</v>
      </c>
      <c r="F529" s="4">
        <v>50000</v>
      </c>
      <c r="G529" t="str" s="8" cm="1">
        <f t="array" ref="G529">IF(F529="","Check","okay")</f>
        <v>okay</v>
      </c>
      <c r="H529" s="3">
        <v>0</v>
      </c>
      <c r="I529" t="s" s="2">
        <v>34</v>
      </c>
      <c r="J529" t="s" s="2">
        <v>16</v>
      </c>
      <c r="K529" t="s" s="2">
        <v>17</v>
      </c>
      <c r="L529" s="3">
        <v>0</v>
      </c>
      <c r="M529" t="s" s="2">
        <v>29</v>
      </c>
      <c r="N529" t="s" s="2">
        <v>35</v>
      </c>
      <c r="O529" s="3">
        <v>33</v>
      </c>
      <c r="P529" t="str" s="8" cm="1">
        <f t="array" ref="P529">IF(O529="","check","Okay")</f>
        <v>Okay</v>
      </c>
      <c r="Q529" t="str" s="8" cm="1">
        <f t="array" ref="Q529">IF(O529&lt;30,"UNDER 30",IF(O529&lt;=50,"30-50","Over 50"))</f>
        <v>30-50</v>
      </c>
      <c r="R529" t="s" s="2">
        <v>20</v>
      </c>
      <c r="S529" s="3" cm="1">
        <f t="array" ref="S529">COUNTIF(A2:A1001,A529)</f>
        <v>1</v>
      </c>
      <c r="T529" t="str" s="8" cm="1">
        <f t="array" ref="T529">IF(ISNUMBER(F529),"Ok","check")</f>
        <v>Ok</v>
      </c>
      <c r="U529" t="str" s="8" cm="1">
        <f t="array" ref="U529">IF(ISNUMBER(O529),"ok","check")</f>
        <v>ok</v>
      </c>
    </row>
    <row r="530" ht="13.55" customHeight="1">
      <c r="A530" s="3">
        <v>15287</v>
      </c>
      <c r="B530" t="s" s="2">
        <v>25</v>
      </c>
      <c r="C530" t="str" s="8" cm="1">
        <f t="array" ref="C530">IF(B530="M","Married","Single")</f>
        <v>Single</v>
      </c>
      <c r="D530" t="s" s="2">
        <v>14</v>
      </c>
      <c r="E530" t="str" s="8" cm="1">
        <f t="array" ref="E530">IF(D530="M","Male",IF(D530="F","Female","Check"))</f>
        <v>Female</v>
      </c>
      <c r="F530" s="4">
        <v>50000</v>
      </c>
      <c r="G530" t="str" s="8" cm="1">
        <f t="array" ref="G530">IF(F530="","Check","okay")</f>
        <v>okay</v>
      </c>
      <c r="H530" s="3">
        <v>1</v>
      </c>
      <c r="I530" t="s" s="2">
        <v>34</v>
      </c>
      <c r="J530" t="s" s="2">
        <v>16</v>
      </c>
      <c r="K530" t="s" s="2">
        <v>17</v>
      </c>
      <c r="L530" s="3">
        <v>0</v>
      </c>
      <c r="M530" t="s" s="2">
        <v>29</v>
      </c>
      <c r="N530" t="s" s="2">
        <v>35</v>
      </c>
      <c r="O530" s="3">
        <v>33</v>
      </c>
      <c r="P530" t="str" s="8" cm="1">
        <f t="array" ref="P530">IF(O530="","check","Okay")</f>
        <v>Okay</v>
      </c>
      <c r="Q530" t="str" s="8" cm="1">
        <f t="array" ref="Q530">IF(O530&lt;30,"UNDER 30",IF(O530&lt;=50,"30-50","Over 50"))</f>
        <v>30-50</v>
      </c>
      <c r="R530" t="s" s="2">
        <v>17</v>
      </c>
      <c r="S530" s="3" cm="1">
        <f t="array" ref="S530">COUNTIF(A2:A1001,A530)</f>
        <v>1</v>
      </c>
      <c r="T530" t="str" s="8" cm="1">
        <f t="array" ref="T530">IF(ISNUMBER(F530),"Ok","check")</f>
        <v>Ok</v>
      </c>
      <c r="U530" t="str" s="8" cm="1">
        <f t="array" ref="U530">IF(ISNUMBER(O530),"ok","check")</f>
        <v>ok</v>
      </c>
    </row>
    <row r="531" ht="13.55" customHeight="1">
      <c r="A531" s="3">
        <v>15862</v>
      </c>
      <c r="B531" t="s" s="2">
        <v>25</v>
      </c>
      <c r="C531" t="str" s="8" cm="1">
        <f t="array" ref="C531">IF(B531="M","Married","Single")</f>
        <v>Single</v>
      </c>
      <c r="D531" t="s" s="2">
        <v>14</v>
      </c>
      <c r="E531" t="str" s="8" cm="1">
        <f t="array" ref="E531">IF(D531="M","Male",IF(D531="F","Female","Check"))</f>
        <v>Female</v>
      </c>
      <c r="F531" s="4">
        <v>50000</v>
      </c>
      <c r="G531" t="str" s="8" cm="1">
        <f t="array" ref="G531">IF(F531="","Check","okay")</f>
        <v>okay</v>
      </c>
      <c r="H531" s="3">
        <v>0</v>
      </c>
      <c r="I531" t="s" s="2">
        <v>34</v>
      </c>
      <c r="J531" t="s" s="2">
        <v>16</v>
      </c>
      <c r="K531" t="s" s="2">
        <v>17</v>
      </c>
      <c r="L531" s="3">
        <v>0</v>
      </c>
      <c r="M531" t="s" s="2">
        <v>29</v>
      </c>
      <c r="N531" t="s" s="2">
        <v>35</v>
      </c>
      <c r="O531" s="3">
        <v>33</v>
      </c>
      <c r="P531" t="str" s="8" cm="1">
        <f t="array" ref="P531">IF(O531="","check","Okay")</f>
        <v>Okay</v>
      </c>
      <c r="Q531" t="str" s="8" cm="1">
        <f t="array" ref="Q531">IF(O531&lt;30,"UNDER 30",IF(O531&lt;=50,"30-50","Over 50"))</f>
        <v>30-50</v>
      </c>
      <c r="R531" t="s" s="2">
        <v>17</v>
      </c>
      <c r="S531" s="3" cm="1">
        <f t="array" ref="S531">COUNTIF(A2:A1001,A531)</f>
        <v>1</v>
      </c>
      <c r="T531" t="str" s="8" cm="1">
        <f t="array" ref="T531">IF(ISNUMBER(F531),"Ok","check")</f>
        <v>Ok</v>
      </c>
      <c r="U531" t="str" s="8" cm="1">
        <f t="array" ref="U531">IF(ISNUMBER(O531),"ok","check")</f>
        <v>ok</v>
      </c>
    </row>
    <row r="532" ht="13.55" customHeight="1">
      <c r="A532" s="3">
        <v>12882</v>
      </c>
      <c r="B532" t="s" s="2">
        <v>13</v>
      </c>
      <c r="C532" t="str" s="8" cm="1">
        <f t="array" ref="C532">IF(B532="M","Married","Single")</f>
        <v>Married</v>
      </c>
      <c r="D532" t="s" s="2">
        <v>13</v>
      </c>
      <c r="E532" t="str" s="8" cm="1">
        <f t="array" ref="E532">IF(D532="M","Male",IF(D532="F","Female","Check"))</f>
        <v>Male</v>
      </c>
      <c r="F532" s="4">
        <v>50000</v>
      </c>
      <c r="G532" t="str" s="8" cm="1">
        <f t="array" ref="G532">IF(F532="","Check","okay")</f>
        <v>okay</v>
      </c>
      <c r="H532" s="3">
        <v>1</v>
      </c>
      <c r="I532" t="s" s="2">
        <v>34</v>
      </c>
      <c r="J532" t="s" s="2">
        <v>16</v>
      </c>
      <c r="K532" t="s" s="2">
        <v>17</v>
      </c>
      <c r="L532" s="3">
        <v>0</v>
      </c>
      <c r="M532" t="s" s="2">
        <v>18</v>
      </c>
      <c r="N532" t="s" s="2">
        <v>35</v>
      </c>
      <c r="O532" s="3">
        <v>33</v>
      </c>
      <c r="P532" t="str" s="8" cm="1">
        <f t="array" ref="P532">IF(O532="","check","Okay")</f>
        <v>Okay</v>
      </c>
      <c r="Q532" t="str" s="8" cm="1">
        <f t="array" ref="Q532">IF(O532&lt;30,"UNDER 30",IF(O532&lt;=50,"30-50","Over 50"))</f>
        <v>30-50</v>
      </c>
      <c r="R532" t="s" s="2">
        <v>17</v>
      </c>
      <c r="S532" s="3" cm="1">
        <f t="array" ref="S532">COUNTIF(A2:A1001,A532)</f>
        <v>1</v>
      </c>
      <c r="T532" t="str" s="8" cm="1">
        <f t="array" ref="T532">IF(ISNUMBER(F532),"Ok","check")</f>
        <v>Ok</v>
      </c>
      <c r="U532" t="str" s="8" cm="1">
        <f t="array" ref="U532">IF(ISNUMBER(O532),"ok","check")</f>
        <v>ok</v>
      </c>
    </row>
    <row r="533" ht="13.55" customHeight="1">
      <c r="A533" s="3">
        <v>19235</v>
      </c>
      <c r="B533" t="s" s="2">
        <v>13</v>
      </c>
      <c r="C533" t="str" s="8" cm="1">
        <f t="array" ref="C533">IF(B533="M","Married","Single")</f>
        <v>Married</v>
      </c>
      <c r="D533" t="s" s="2">
        <v>14</v>
      </c>
      <c r="E533" t="str" s="8" cm="1">
        <f t="array" ref="E533">IF(D533="M","Male",IF(D533="F","Female","Check"))</f>
        <v>Female</v>
      </c>
      <c r="F533" s="4">
        <v>50000</v>
      </c>
      <c r="G533" t="str" s="8" cm="1">
        <f t="array" ref="G533">IF(F533="","Check","okay")</f>
        <v>okay</v>
      </c>
      <c r="H533" s="3">
        <v>0</v>
      </c>
      <c r="I533" t="s" s="2">
        <v>34</v>
      </c>
      <c r="J533" t="s" s="2">
        <v>16</v>
      </c>
      <c r="K533" t="s" s="2">
        <v>17</v>
      </c>
      <c r="L533" s="3">
        <v>0</v>
      </c>
      <c r="M533" t="s" s="2">
        <v>18</v>
      </c>
      <c r="N533" t="s" s="2">
        <v>35</v>
      </c>
      <c r="O533" s="3">
        <v>34</v>
      </c>
      <c r="P533" t="str" s="8" cm="1">
        <f t="array" ref="P533">IF(O533="","check","Okay")</f>
        <v>Okay</v>
      </c>
      <c r="Q533" t="str" s="8" cm="1">
        <f t="array" ref="Q533">IF(O533&lt;30,"UNDER 30",IF(O533&lt;=50,"30-50","Over 50"))</f>
        <v>30-50</v>
      </c>
      <c r="R533" t="s" s="2">
        <v>20</v>
      </c>
      <c r="S533" s="3" cm="1">
        <f t="array" ref="S533">COUNTIF(A2:A1001,A533)</f>
        <v>1</v>
      </c>
      <c r="T533" t="str" s="8" cm="1">
        <f t="array" ref="T533">IF(ISNUMBER(F533),"Ok","check")</f>
        <v>Ok</v>
      </c>
      <c r="U533" t="str" s="8" cm="1">
        <f t="array" ref="U533">IF(ISNUMBER(O533),"ok","check")</f>
        <v>ok</v>
      </c>
    </row>
    <row r="534" ht="13.55" customHeight="1">
      <c r="A534" s="3">
        <v>21583</v>
      </c>
      <c r="B534" t="s" s="2">
        <v>13</v>
      </c>
      <c r="C534" t="str" s="8" cm="1">
        <f t="array" ref="C534">IF(B534="M","Married","Single")</f>
        <v>Married</v>
      </c>
      <c r="D534" t="s" s="2">
        <v>14</v>
      </c>
      <c r="E534" t="str" s="8" cm="1">
        <f t="array" ref="E534">IF(D534="M","Male",IF(D534="F","Female","Check"))</f>
        <v>Female</v>
      </c>
      <c r="F534" s="4">
        <v>50000</v>
      </c>
      <c r="G534" t="str" s="8" cm="1">
        <f t="array" ref="G534">IF(F534="","Check","okay")</f>
        <v>okay</v>
      </c>
      <c r="H534" s="3">
        <v>1</v>
      </c>
      <c r="I534" t="s" s="2">
        <v>15</v>
      </c>
      <c r="J534" t="s" s="2">
        <v>16</v>
      </c>
      <c r="K534" t="s" s="2">
        <v>17</v>
      </c>
      <c r="L534" s="3">
        <v>0</v>
      </c>
      <c r="M534" t="s" s="2">
        <v>18</v>
      </c>
      <c r="N534" t="s" s="2">
        <v>35</v>
      </c>
      <c r="O534" s="3">
        <v>34</v>
      </c>
      <c r="P534" t="str" s="8" cm="1">
        <f t="array" ref="P534">IF(O534="","check","Okay")</f>
        <v>Okay</v>
      </c>
      <c r="Q534" t="str" s="8" cm="1">
        <f t="array" ref="Q534">IF(O534&lt;30,"UNDER 30",IF(O534&lt;=50,"30-50","Over 50"))</f>
        <v>30-50</v>
      </c>
      <c r="R534" t="s" s="2">
        <v>17</v>
      </c>
      <c r="S534" s="3" cm="1">
        <f t="array" ref="S534">COUNTIF(A2:A1001,A534)</f>
        <v>1</v>
      </c>
      <c r="T534" t="str" s="8" cm="1">
        <f t="array" ref="T534">IF(ISNUMBER(F534),"Ok","check")</f>
        <v>Ok</v>
      </c>
      <c r="U534" t="str" s="8" cm="1">
        <f t="array" ref="U534">IF(ISNUMBER(O534),"ok","check")</f>
        <v>ok</v>
      </c>
    </row>
    <row r="535" ht="13.55" customHeight="1">
      <c r="A535" s="3">
        <v>26298</v>
      </c>
      <c r="B535" t="s" s="2">
        <v>13</v>
      </c>
      <c r="C535" t="str" s="8" cm="1">
        <f t="array" ref="C535">IF(B535="M","Married","Single")</f>
        <v>Married</v>
      </c>
      <c r="D535" t="s" s="2">
        <v>14</v>
      </c>
      <c r="E535" t="str" s="8" cm="1">
        <f t="array" ref="E535">IF(D535="M","Male",IF(D535="F","Female","Check"))</f>
        <v>Female</v>
      </c>
      <c r="F535" s="4">
        <v>50000</v>
      </c>
      <c r="G535" t="str" s="8" cm="1">
        <f t="array" ref="G535">IF(F535="","Check","okay")</f>
        <v>okay</v>
      </c>
      <c r="H535" s="3">
        <v>1</v>
      </c>
      <c r="I535" t="s" s="2">
        <v>15</v>
      </c>
      <c r="J535" t="s" s="2">
        <v>16</v>
      </c>
      <c r="K535" t="s" s="2">
        <v>17</v>
      </c>
      <c r="L535" s="3">
        <v>0</v>
      </c>
      <c r="M535" t="s" s="2">
        <v>24</v>
      </c>
      <c r="N535" t="s" s="2">
        <v>35</v>
      </c>
      <c r="O535" s="3">
        <v>34</v>
      </c>
      <c r="P535" t="str" s="8" cm="1">
        <f t="array" ref="P535">IF(O535="","check","Okay")</f>
        <v>Okay</v>
      </c>
      <c r="Q535" t="str" s="8" cm="1">
        <f t="array" ref="Q535">IF(O535&lt;30,"UNDER 30",IF(O535&lt;=50,"30-50","Over 50"))</f>
        <v>30-50</v>
      </c>
      <c r="R535" t="s" s="2">
        <v>17</v>
      </c>
      <c r="S535" s="3" cm="1">
        <f t="array" ref="S535">COUNTIF(A2:A1001,A535)</f>
        <v>1</v>
      </c>
      <c r="T535" t="str" s="8" cm="1">
        <f t="array" ref="T535">IF(ISNUMBER(F535),"Ok","check")</f>
        <v>Ok</v>
      </c>
      <c r="U535" t="str" s="8" cm="1">
        <f t="array" ref="U535">IF(ISNUMBER(O535),"ok","check")</f>
        <v>ok</v>
      </c>
    </row>
    <row r="536" ht="13.55" customHeight="1">
      <c r="A536" s="3">
        <v>23144</v>
      </c>
      <c r="B536" t="s" s="2">
        <v>13</v>
      </c>
      <c r="C536" t="str" s="8" cm="1">
        <f t="array" ref="C536">IF(B536="M","Married","Single")</f>
        <v>Married</v>
      </c>
      <c r="D536" t="s" s="2">
        <v>13</v>
      </c>
      <c r="E536" t="str" s="8" cm="1">
        <f t="array" ref="E536">IF(D536="M","Male",IF(D536="F","Female","Check"))</f>
        <v>Male</v>
      </c>
      <c r="F536" s="4">
        <v>50000</v>
      </c>
      <c r="G536" t="str" s="8" cm="1">
        <f t="array" ref="G536">IF(F536="","Check","okay")</f>
        <v>okay</v>
      </c>
      <c r="H536" s="3">
        <v>1</v>
      </c>
      <c r="I536" t="s" s="2">
        <v>15</v>
      </c>
      <c r="J536" t="s" s="2">
        <v>16</v>
      </c>
      <c r="K536" t="s" s="2">
        <v>17</v>
      </c>
      <c r="L536" s="3">
        <v>0</v>
      </c>
      <c r="M536" t="s" s="2">
        <v>18</v>
      </c>
      <c r="N536" t="s" s="2">
        <v>35</v>
      </c>
      <c r="O536" s="3">
        <v>34</v>
      </c>
      <c r="P536" t="str" s="8" cm="1">
        <f t="array" ref="P536">IF(O536="","check","Okay")</f>
        <v>Okay</v>
      </c>
      <c r="Q536" t="str" s="8" cm="1">
        <f t="array" ref="Q536">IF(O536&lt;30,"UNDER 30",IF(O536&lt;=50,"30-50","Over 50"))</f>
        <v>30-50</v>
      </c>
      <c r="R536" t="s" s="2">
        <v>17</v>
      </c>
      <c r="S536" s="3" cm="1">
        <f t="array" ref="S536">COUNTIF(A2:A1001,A536)</f>
        <v>1</v>
      </c>
      <c r="T536" t="str" s="8" cm="1">
        <f t="array" ref="T536">IF(ISNUMBER(F536),"Ok","check")</f>
        <v>Ok</v>
      </c>
      <c r="U536" t="str" s="8" cm="1">
        <f t="array" ref="U536">IF(ISNUMBER(O536),"ok","check")</f>
        <v>ok</v>
      </c>
    </row>
    <row r="537" ht="13.55" customHeight="1">
      <c r="A537" s="3">
        <v>25375</v>
      </c>
      <c r="B537" t="s" s="2">
        <v>13</v>
      </c>
      <c r="C537" t="str" s="8" cm="1">
        <f t="array" ref="C537">IF(B537="M","Married","Single")</f>
        <v>Married</v>
      </c>
      <c r="D537" t="s" s="2">
        <v>13</v>
      </c>
      <c r="E537" t="str" s="8" cm="1">
        <f t="array" ref="E537">IF(D537="M","Male",IF(D537="F","Female","Check"))</f>
        <v>Male</v>
      </c>
      <c r="F537" s="4">
        <v>50000</v>
      </c>
      <c r="G537" t="str" s="8" cm="1">
        <f t="array" ref="G537">IF(F537="","Check","okay")</f>
        <v>okay</v>
      </c>
      <c r="H537" s="3">
        <v>1</v>
      </c>
      <c r="I537" t="s" s="2">
        <v>34</v>
      </c>
      <c r="J537" t="s" s="2">
        <v>16</v>
      </c>
      <c r="K537" t="s" s="2">
        <v>17</v>
      </c>
      <c r="L537" s="3">
        <v>0</v>
      </c>
      <c r="M537" t="s" s="2">
        <v>29</v>
      </c>
      <c r="N537" t="s" s="2">
        <v>35</v>
      </c>
      <c r="O537" s="3">
        <v>34</v>
      </c>
      <c r="P537" t="str" s="8" cm="1">
        <f t="array" ref="P537">IF(O537="","check","Okay")</f>
        <v>Okay</v>
      </c>
      <c r="Q537" t="str" s="8" cm="1">
        <f t="array" ref="Q537">IF(O537&lt;30,"UNDER 30",IF(O537&lt;=50,"30-50","Over 50"))</f>
        <v>30-50</v>
      </c>
      <c r="R537" t="s" s="2">
        <v>20</v>
      </c>
      <c r="S537" s="3" cm="1">
        <f t="array" ref="S537">COUNTIF(A2:A1001,A537)</f>
        <v>1</v>
      </c>
      <c r="T537" t="str" s="8" cm="1">
        <f t="array" ref="T537">IF(ISNUMBER(F537),"Ok","check")</f>
        <v>Ok</v>
      </c>
      <c r="U537" t="str" s="8" cm="1">
        <f t="array" ref="U537">IF(ISNUMBER(O537),"ok","check")</f>
        <v>ok</v>
      </c>
    </row>
    <row r="538" ht="13.55" customHeight="1">
      <c r="A538" s="3">
        <v>15468</v>
      </c>
      <c r="B538" t="s" s="2">
        <v>13</v>
      </c>
      <c r="C538" t="str" s="8" cm="1">
        <f t="array" ref="C538">IF(B538="M","Married","Single")</f>
        <v>Married</v>
      </c>
      <c r="D538" t="s" s="2">
        <v>14</v>
      </c>
      <c r="E538" t="str" s="8" cm="1">
        <f t="array" ref="E538">IF(D538="M","Male",IF(D538="F","Female","Check"))</f>
        <v>Female</v>
      </c>
      <c r="F538" s="4">
        <v>50000</v>
      </c>
      <c r="G538" t="str" s="8" cm="1">
        <f t="array" ref="G538">IF(F538="","Check","okay")</f>
        <v>okay</v>
      </c>
      <c r="H538" s="3">
        <v>1</v>
      </c>
      <c r="I538" t="s" s="2">
        <v>15</v>
      </c>
      <c r="J538" t="s" s="2">
        <v>16</v>
      </c>
      <c r="K538" t="s" s="2">
        <v>17</v>
      </c>
      <c r="L538" s="3">
        <v>1</v>
      </c>
      <c r="M538" t="s" s="2">
        <v>18</v>
      </c>
      <c r="N538" t="s" s="2">
        <v>35</v>
      </c>
      <c r="O538" s="3">
        <v>35</v>
      </c>
      <c r="P538" t="str" s="8" cm="1">
        <f t="array" ref="P538">IF(O538="","check","Okay")</f>
        <v>Okay</v>
      </c>
      <c r="Q538" t="str" s="8" cm="1">
        <f t="array" ref="Q538">IF(O538&lt;30,"UNDER 30",IF(O538&lt;=50,"30-50","Over 50"))</f>
        <v>30-50</v>
      </c>
      <c r="R538" t="s" s="2">
        <v>20</v>
      </c>
      <c r="S538" s="3" cm="1">
        <f t="array" ref="S538">COUNTIF(A2:A1001,A538)</f>
        <v>1</v>
      </c>
      <c r="T538" t="str" s="8" cm="1">
        <f t="array" ref="T538">IF(ISNUMBER(F538),"Ok","check")</f>
        <v>Ok</v>
      </c>
      <c r="U538" t="str" s="8" cm="1">
        <f t="array" ref="U538">IF(ISNUMBER(O538),"ok","check")</f>
        <v>ok</v>
      </c>
    </row>
    <row r="539" ht="13.55" customHeight="1">
      <c r="A539" s="3">
        <v>28815</v>
      </c>
      <c r="B539" t="s" s="2">
        <v>13</v>
      </c>
      <c r="C539" t="str" s="8" cm="1">
        <f t="array" ref="C539">IF(B539="M","Married","Single")</f>
        <v>Married</v>
      </c>
      <c r="D539" t="s" s="2">
        <v>14</v>
      </c>
      <c r="E539" t="str" s="8" cm="1">
        <f t="array" ref="E539">IF(D539="M","Male",IF(D539="F","Female","Check"))</f>
        <v>Female</v>
      </c>
      <c r="F539" s="4">
        <v>50000</v>
      </c>
      <c r="G539" t="str" s="8" cm="1">
        <f t="array" ref="G539">IF(F539="","Check","okay")</f>
        <v>okay</v>
      </c>
      <c r="H539" s="3">
        <v>1</v>
      </c>
      <c r="I539" t="s" s="2">
        <v>34</v>
      </c>
      <c r="J539" t="s" s="2">
        <v>16</v>
      </c>
      <c r="K539" t="s" s="2">
        <v>17</v>
      </c>
      <c r="L539" s="3">
        <v>0</v>
      </c>
      <c r="M539" t="s" s="2">
        <v>18</v>
      </c>
      <c r="N539" t="s" s="2">
        <v>35</v>
      </c>
      <c r="O539" s="3">
        <v>35</v>
      </c>
      <c r="P539" t="str" s="8" cm="1">
        <f t="array" ref="P539">IF(O539="","check","Okay")</f>
        <v>Okay</v>
      </c>
      <c r="Q539" t="str" s="8" cm="1">
        <f t="array" ref="Q539">IF(O539&lt;30,"UNDER 30",IF(O539&lt;=50,"30-50","Over 50"))</f>
        <v>30-50</v>
      </c>
      <c r="R539" t="s" s="2">
        <v>20</v>
      </c>
      <c r="S539" s="3" cm="1">
        <f t="array" ref="S539">COUNTIF(A2:A1001,A539)</f>
        <v>1</v>
      </c>
      <c r="T539" t="str" s="8" cm="1">
        <f t="array" ref="T539">IF(ISNUMBER(F539),"Ok","check")</f>
        <v>Ok</v>
      </c>
      <c r="U539" t="str" s="8" cm="1">
        <f t="array" ref="U539">IF(ISNUMBER(O539),"ok","check")</f>
        <v>ok</v>
      </c>
    </row>
    <row r="540" ht="13.55" customHeight="1">
      <c r="A540" s="3">
        <v>19299</v>
      </c>
      <c r="B540" t="s" s="2">
        <v>13</v>
      </c>
      <c r="C540" t="str" s="8" cm="1">
        <f t="array" ref="C540">IF(B540="M","Married","Single")</f>
        <v>Married</v>
      </c>
      <c r="D540" t="s" s="2">
        <v>14</v>
      </c>
      <c r="E540" t="str" s="8" cm="1">
        <f t="array" ref="E540">IF(D540="M","Male",IF(D540="F","Female","Check"))</f>
        <v>Female</v>
      </c>
      <c r="F540" s="4">
        <v>50000</v>
      </c>
      <c r="G540" t="str" s="8" cm="1">
        <f t="array" ref="G540">IF(F540="","Check","okay")</f>
        <v>okay</v>
      </c>
      <c r="H540" s="3">
        <v>0</v>
      </c>
      <c r="I540" t="s" s="2">
        <v>34</v>
      </c>
      <c r="J540" t="s" s="2">
        <v>16</v>
      </c>
      <c r="K540" t="s" s="2">
        <v>17</v>
      </c>
      <c r="L540" s="3">
        <v>0</v>
      </c>
      <c r="M540" t="s" s="2">
        <v>18</v>
      </c>
      <c r="N540" t="s" s="2">
        <v>19</v>
      </c>
      <c r="O540" s="3">
        <v>36</v>
      </c>
      <c r="P540" t="str" s="8" cm="1">
        <f t="array" ref="P540">IF(O540="","check","Okay")</f>
        <v>Okay</v>
      </c>
      <c r="Q540" t="str" s="8" cm="1">
        <f t="array" ref="Q540">IF(O540&lt;30,"UNDER 30",IF(O540&lt;=50,"30-50","Over 50"))</f>
        <v>30-50</v>
      </c>
      <c r="R540" t="s" s="2">
        <v>17</v>
      </c>
      <c r="S540" s="3" cm="1">
        <f t="array" ref="S540">COUNTIF(A2:A1001,A540)</f>
        <v>1</v>
      </c>
      <c r="T540" t="str" s="8" cm="1">
        <f t="array" ref="T540">IF(ISNUMBER(F540),"Ok","check")</f>
        <v>Ok</v>
      </c>
      <c r="U540" t="str" s="8" cm="1">
        <f t="array" ref="U540">IF(ISNUMBER(O540),"ok","check")</f>
        <v>ok</v>
      </c>
    </row>
    <row r="541" ht="13.55" customHeight="1">
      <c r="A541" s="3">
        <v>14164</v>
      </c>
      <c r="B541" t="s" s="2">
        <v>25</v>
      </c>
      <c r="C541" t="str" s="8" cm="1">
        <f t="array" ref="C541">IF(B541="M","Married","Single")</f>
        <v>Single</v>
      </c>
      <c r="D541" t="s" s="2">
        <v>14</v>
      </c>
      <c r="E541" t="str" s="8" cm="1">
        <f t="array" ref="E541">IF(D541="M","Male",IF(D541="F","Female","Check"))</f>
        <v>Female</v>
      </c>
      <c r="F541" s="4">
        <v>50000</v>
      </c>
      <c r="G541" t="str" s="8" cm="1">
        <f t="array" ref="G541">IF(F541="","Check","okay")</f>
        <v>okay</v>
      </c>
      <c r="H541" s="3">
        <v>0</v>
      </c>
      <c r="I541" t="s" s="2">
        <v>34</v>
      </c>
      <c r="J541" t="s" s="2">
        <v>16</v>
      </c>
      <c r="K541" t="s" s="2">
        <v>17</v>
      </c>
      <c r="L541" s="3">
        <v>0</v>
      </c>
      <c r="M541" t="s" s="2">
        <v>18</v>
      </c>
      <c r="N541" t="s" s="2">
        <v>19</v>
      </c>
      <c r="O541" s="3">
        <v>36</v>
      </c>
      <c r="P541" t="str" s="8" cm="1">
        <f t="array" ref="P541">IF(O541="","check","Okay")</f>
        <v>Okay</v>
      </c>
      <c r="Q541" t="str" s="8" cm="1">
        <f t="array" ref="Q541">IF(O541&lt;30,"UNDER 30",IF(O541&lt;=50,"30-50","Over 50"))</f>
        <v>30-50</v>
      </c>
      <c r="R541" t="s" s="2">
        <v>17</v>
      </c>
      <c r="S541" s="3" cm="1">
        <f t="array" ref="S541">COUNTIF(A2:A1001,A541)</f>
        <v>1</v>
      </c>
      <c r="T541" t="str" s="8" cm="1">
        <f t="array" ref="T541">IF(ISNUMBER(F541),"Ok","check")</f>
        <v>Ok</v>
      </c>
      <c r="U541" t="str" s="8" cm="1">
        <f t="array" ref="U541">IF(ISNUMBER(O541),"ok","check")</f>
        <v>ok</v>
      </c>
    </row>
    <row r="542" ht="13.55" customHeight="1">
      <c r="A542" s="3">
        <v>16209</v>
      </c>
      <c r="B542" t="s" s="2">
        <v>25</v>
      </c>
      <c r="C542" t="str" s="8" cm="1">
        <f t="array" ref="C542">IF(B542="M","Married","Single")</f>
        <v>Single</v>
      </c>
      <c r="D542" t="s" s="2">
        <v>14</v>
      </c>
      <c r="E542" t="str" s="8" cm="1">
        <f t="array" ref="E542">IF(D542="M","Male",IF(D542="F","Female","Check"))</f>
        <v>Female</v>
      </c>
      <c r="F542" s="4">
        <v>50000</v>
      </c>
      <c r="G542" t="str" s="8" cm="1">
        <f t="array" ref="G542">IF(F542="","Check","okay")</f>
        <v>okay</v>
      </c>
      <c r="H542" s="3">
        <v>0</v>
      </c>
      <c r="I542" t="s" s="2">
        <v>34</v>
      </c>
      <c r="J542" t="s" s="2">
        <v>16</v>
      </c>
      <c r="K542" t="s" s="2">
        <v>17</v>
      </c>
      <c r="L542" s="3">
        <v>0</v>
      </c>
      <c r="M542" t="s" s="2">
        <v>29</v>
      </c>
      <c r="N542" t="s" s="2">
        <v>19</v>
      </c>
      <c r="O542" s="3">
        <v>36</v>
      </c>
      <c r="P542" t="str" s="8" cm="1">
        <f t="array" ref="P542">IF(O542="","check","Okay")</f>
        <v>Okay</v>
      </c>
      <c r="Q542" t="str" s="8" cm="1">
        <f t="array" ref="Q542">IF(O542&lt;30,"UNDER 30",IF(O542&lt;=50,"30-50","Over 50"))</f>
        <v>30-50</v>
      </c>
      <c r="R542" t="s" s="2">
        <v>20</v>
      </c>
      <c r="S542" s="3" cm="1">
        <f t="array" ref="S542">COUNTIF(A2:A1001,A542)</f>
        <v>1</v>
      </c>
      <c r="T542" t="str" s="8" cm="1">
        <f t="array" ref="T542">IF(ISNUMBER(F542),"Ok","check")</f>
        <v>Ok</v>
      </c>
      <c r="U542" t="str" s="8" cm="1">
        <f t="array" ref="U542">IF(ISNUMBER(O542),"ok","check")</f>
        <v>ok</v>
      </c>
    </row>
    <row r="543" ht="13.55" customHeight="1">
      <c r="A543" s="3">
        <v>11641</v>
      </c>
      <c r="B543" t="s" s="2">
        <v>13</v>
      </c>
      <c r="C543" t="str" s="8" cm="1">
        <f t="array" ref="C543">IF(B543="M","Married","Single")</f>
        <v>Married</v>
      </c>
      <c r="D543" t="s" s="2">
        <v>13</v>
      </c>
      <c r="E543" t="str" s="8" cm="1">
        <f t="array" ref="E543">IF(D543="M","Male",IF(D543="F","Female","Check"))</f>
        <v>Male</v>
      </c>
      <c r="F543" s="4">
        <v>50000</v>
      </c>
      <c r="G543" t="str" s="8" cm="1">
        <f t="array" ref="G543">IF(F543="","Check","okay")</f>
        <v>okay</v>
      </c>
      <c r="H543" s="3">
        <v>1</v>
      </c>
      <c r="I543" t="s" s="2">
        <v>15</v>
      </c>
      <c r="J543" t="s" s="2">
        <v>16</v>
      </c>
      <c r="K543" t="s" s="2">
        <v>17</v>
      </c>
      <c r="L543" s="3">
        <v>0</v>
      </c>
      <c r="M543" t="s" s="2">
        <v>18</v>
      </c>
      <c r="N543" t="s" s="2">
        <v>35</v>
      </c>
      <c r="O543" s="3">
        <v>36</v>
      </c>
      <c r="P543" t="str" s="8" cm="1">
        <f t="array" ref="P543">IF(O543="","check","Okay")</f>
        <v>Okay</v>
      </c>
      <c r="Q543" t="str" s="8" cm="1">
        <f t="array" ref="Q543">IF(O543&lt;30,"UNDER 30",IF(O543&lt;=50,"30-50","Over 50"))</f>
        <v>30-50</v>
      </c>
      <c r="R543" t="s" s="2">
        <v>20</v>
      </c>
      <c r="S543" s="3" cm="1">
        <f t="array" ref="S543">COUNTIF(A2:A1001,A543)</f>
        <v>1</v>
      </c>
      <c r="T543" t="str" s="8" cm="1">
        <f t="array" ref="T543">IF(ISNUMBER(F543),"Ok","check")</f>
        <v>Ok</v>
      </c>
      <c r="U543" t="str" s="8" cm="1">
        <f t="array" ref="U543">IF(ISNUMBER(O543),"ok","check")</f>
        <v>ok</v>
      </c>
    </row>
    <row r="544" ht="13.55" customHeight="1">
      <c r="A544" s="3">
        <v>21039</v>
      </c>
      <c r="B544" t="s" s="2">
        <v>25</v>
      </c>
      <c r="C544" t="str" s="8" cm="1">
        <f t="array" ref="C544">IF(B544="M","Married","Single")</f>
        <v>Single</v>
      </c>
      <c r="D544" t="s" s="2">
        <v>14</v>
      </c>
      <c r="E544" t="str" s="8" cm="1">
        <f t="array" ref="E544">IF(D544="M","Male",IF(D544="F","Female","Check"))</f>
        <v>Female</v>
      </c>
      <c r="F544" s="4">
        <v>50000</v>
      </c>
      <c r="G544" t="str" s="8" cm="1">
        <f t="array" ref="G544">IF(F544="","Check","okay")</f>
        <v>okay</v>
      </c>
      <c r="H544" s="3">
        <v>0</v>
      </c>
      <c r="I544" t="s" s="2">
        <v>34</v>
      </c>
      <c r="J544" t="s" s="2">
        <v>16</v>
      </c>
      <c r="K544" t="s" s="2">
        <v>20</v>
      </c>
      <c r="L544" s="3">
        <v>0</v>
      </c>
      <c r="M544" t="s" s="2">
        <v>18</v>
      </c>
      <c r="N544" t="s" s="2">
        <v>19</v>
      </c>
      <c r="O544" s="3">
        <v>37</v>
      </c>
      <c r="P544" t="str" s="8" cm="1">
        <f t="array" ref="P544">IF(O544="","check","Okay")</f>
        <v>Okay</v>
      </c>
      <c r="Q544" t="str" s="8" cm="1">
        <f t="array" ref="Q544">IF(O544&lt;30,"UNDER 30",IF(O544&lt;=50,"30-50","Over 50"))</f>
        <v>30-50</v>
      </c>
      <c r="R544" t="s" s="2">
        <v>17</v>
      </c>
      <c r="S544" s="3" cm="1">
        <f t="array" ref="S544">COUNTIF(A2:A1001,A544)</f>
        <v>1</v>
      </c>
      <c r="T544" t="str" s="8" cm="1">
        <f t="array" ref="T544">IF(ISNUMBER(F544),"Ok","check")</f>
        <v>Ok</v>
      </c>
      <c r="U544" t="str" s="8" cm="1">
        <f t="array" ref="U544">IF(ISNUMBER(O544),"ok","check")</f>
        <v>ok</v>
      </c>
    </row>
    <row r="545" ht="13.55" customHeight="1">
      <c r="A545" s="3">
        <v>19442</v>
      </c>
      <c r="B545" t="s" s="2">
        <v>25</v>
      </c>
      <c r="C545" t="str" s="8" cm="1">
        <f t="array" ref="C545">IF(B545="M","Married","Single")</f>
        <v>Single</v>
      </c>
      <c r="D545" t="s" s="2">
        <v>13</v>
      </c>
      <c r="E545" t="str" s="8" cm="1">
        <f t="array" ref="E545">IF(D545="M","Male",IF(D545="F","Female","Check"))</f>
        <v>Male</v>
      </c>
      <c r="F545" s="4">
        <v>50000</v>
      </c>
      <c r="G545" t="str" s="8" cm="1">
        <f t="array" ref="G545">IF(F545="","Check","okay")</f>
        <v>okay</v>
      </c>
      <c r="H545" s="3">
        <v>0</v>
      </c>
      <c r="I545" t="s" s="2">
        <v>34</v>
      </c>
      <c r="J545" t="s" s="2">
        <v>16</v>
      </c>
      <c r="K545" t="s" s="2">
        <v>17</v>
      </c>
      <c r="L545" s="3">
        <v>0</v>
      </c>
      <c r="M545" t="s" s="2">
        <v>18</v>
      </c>
      <c r="N545" t="s" s="2">
        <v>19</v>
      </c>
      <c r="O545" s="3">
        <v>37</v>
      </c>
      <c r="P545" t="str" s="8" cm="1">
        <f t="array" ref="P545">IF(O545="","check","Okay")</f>
        <v>Okay</v>
      </c>
      <c r="Q545" t="str" s="8" cm="1">
        <f t="array" ref="Q545">IF(O545&lt;30,"UNDER 30",IF(O545&lt;=50,"30-50","Over 50"))</f>
        <v>30-50</v>
      </c>
      <c r="R545" t="s" s="2">
        <v>17</v>
      </c>
      <c r="S545" s="3" cm="1">
        <f t="array" ref="S545">COUNTIF(A2:A1001,A545)</f>
        <v>1</v>
      </c>
      <c r="T545" t="str" s="8" cm="1">
        <f t="array" ref="T545">IF(ISNUMBER(F545),"Ok","check")</f>
        <v>Ok</v>
      </c>
      <c r="U545" t="str" s="8" cm="1">
        <f t="array" ref="U545">IF(ISNUMBER(O545),"ok","check")</f>
        <v>ok</v>
      </c>
    </row>
    <row r="546" ht="13.55" customHeight="1">
      <c r="A546" s="3">
        <v>20657</v>
      </c>
      <c r="B546" t="s" s="2">
        <v>25</v>
      </c>
      <c r="C546" t="str" s="8" cm="1">
        <f t="array" ref="C546">IF(B546="M","Married","Single")</f>
        <v>Single</v>
      </c>
      <c r="D546" t="s" s="2">
        <v>13</v>
      </c>
      <c r="E546" t="str" s="8" cm="1">
        <f t="array" ref="E546">IF(D546="M","Male",IF(D546="F","Female","Check"))</f>
        <v>Male</v>
      </c>
      <c r="F546" s="4">
        <v>50000</v>
      </c>
      <c r="G546" t="str" s="8" cm="1">
        <f t="array" ref="G546">IF(F546="","Check","okay")</f>
        <v>okay</v>
      </c>
      <c r="H546" s="3">
        <v>2</v>
      </c>
      <c r="I546" t="s" s="2">
        <v>15</v>
      </c>
      <c r="J546" t="s" s="2">
        <v>16</v>
      </c>
      <c r="K546" t="s" s="2">
        <v>17</v>
      </c>
      <c r="L546" s="3">
        <v>0</v>
      </c>
      <c r="M546" t="s" s="2">
        <v>24</v>
      </c>
      <c r="N546" t="s" s="2">
        <v>35</v>
      </c>
      <c r="O546" s="3">
        <v>37</v>
      </c>
      <c r="P546" t="str" s="8" cm="1">
        <f t="array" ref="P546">IF(O546="","check","Okay")</f>
        <v>Okay</v>
      </c>
      <c r="Q546" t="str" s="8" cm="1">
        <f t="array" ref="Q546">IF(O546&lt;30,"UNDER 30",IF(O546&lt;=50,"30-50","Over 50"))</f>
        <v>30-50</v>
      </c>
      <c r="R546" t="s" s="2">
        <v>17</v>
      </c>
      <c r="S546" s="3" cm="1">
        <f t="array" ref="S546">COUNTIF(A2:A1001,A546)</f>
        <v>1</v>
      </c>
      <c r="T546" t="str" s="8" cm="1">
        <f t="array" ref="T546">IF(ISNUMBER(F546),"Ok","check")</f>
        <v>Ok</v>
      </c>
      <c r="U546" t="str" s="8" cm="1">
        <f t="array" ref="U546">IF(ISNUMBER(O546),"ok","check")</f>
        <v>ok</v>
      </c>
    </row>
    <row r="547" ht="13.55" customHeight="1">
      <c r="A547" s="3">
        <v>19133</v>
      </c>
      <c r="B547" t="s" s="2">
        <v>25</v>
      </c>
      <c r="C547" t="str" s="8" cm="1">
        <f t="array" ref="C547">IF(B547="M","Married","Single")</f>
        <v>Single</v>
      </c>
      <c r="D547" t="s" s="2">
        <v>13</v>
      </c>
      <c r="E547" t="str" s="8" cm="1">
        <f t="array" ref="E547">IF(D547="M","Male",IF(D547="F","Female","Check"))</f>
        <v>Male</v>
      </c>
      <c r="F547" s="4">
        <v>50000</v>
      </c>
      <c r="G547" t="str" s="8" cm="1">
        <f t="array" ref="G547">IF(F547="","Check","okay")</f>
        <v>okay</v>
      </c>
      <c r="H547" s="3">
        <v>2</v>
      </c>
      <c r="I547" t="s" s="2">
        <v>15</v>
      </c>
      <c r="J547" t="s" s="2">
        <v>16</v>
      </c>
      <c r="K547" t="s" s="2">
        <v>17</v>
      </c>
      <c r="L547" s="3">
        <v>1</v>
      </c>
      <c r="M547" t="s" s="2">
        <v>24</v>
      </c>
      <c r="N547" t="s" s="2">
        <v>35</v>
      </c>
      <c r="O547" s="3">
        <v>38</v>
      </c>
      <c r="P547" t="str" s="8" cm="1">
        <f t="array" ref="P547">IF(O547="","check","Okay")</f>
        <v>Okay</v>
      </c>
      <c r="Q547" t="str" s="8" cm="1">
        <f t="array" ref="Q547">IF(O547&lt;30,"UNDER 30",IF(O547&lt;=50,"30-50","Over 50"))</f>
        <v>30-50</v>
      </c>
      <c r="R547" t="s" s="2">
        <v>17</v>
      </c>
      <c r="S547" s="3" cm="1">
        <f t="array" ref="S547">COUNTIF(A2:A1001,A547)</f>
        <v>1</v>
      </c>
      <c r="T547" t="str" s="8" cm="1">
        <f t="array" ref="T547">IF(ISNUMBER(F547),"Ok","check")</f>
        <v>Ok</v>
      </c>
      <c r="U547" t="str" s="8" cm="1">
        <f t="array" ref="U547">IF(ISNUMBER(O547),"ok","check")</f>
        <v>ok</v>
      </c>
    </row>
    <row r="548" ht="13.55" customHeight="1">
      <c r="A548" s="3">
        <v>25419</v>
      </c>
      <c r="B548" t="s" s="2">
        <v>25</v>
      </c>
      <c r="C548" t="str" s="8" cm="1">
        <f t="array" ref="C548">IF(B548="M","Married","Single")</f>
        <v>Single</v>
      </c>
      <c r="D548" t="s" s="2">
        <v>13</v>
      </c>
      <c r="E548" t="str" s="8" cm="1">
        <f t="array" ref="E548">IF(D548="M","Male",IF(D548="F","Female","Check"))</f>
        <v>Male</v>
      </c>
      <c r="F548" s="4">
        <v>50000</v>
      </c>
      <c r="G548" t="str" s="8" cm="1">
        <f t="array" ref="G548">IF(F548="","Check","okay")</f>
        <v>okay</v>
      </c>
      <c r="H548" s="3">
        <v>2</v>
      </c>
      <c r="I548" t="s" s="2">
        <v>15</v>
      </c>
      <c r="J548" t="s" s="2">
        <v>16</v>
      </c>
      <c r="K548" t="s" s="2">
        <v>20</v>
      </c>
      <c r="L548" s="3">
        <v>1</v>
      </c>
      <c r="M548" t="s" s="2">
        <v>18</v>
      </c>
      <c r="N548" t="s" s="2">
        <v>35</v>
      </c>
      <c r="O548" s="3">
        <v>38</v>
      </c>
      <c r="P548" t="str" s="8" cm="1">
        <f t="array" ref="P548">IF(O548="","check","Okay")</f>
        <v>Okay</v>
      </c>
      <c r="Q548" t="str" s="8" cm="1">
        <f t="array" ref="Q548">IF(O548&lt;30,"UNDER 30",IF(O548&lt;=50,"30-50","Over 50"))</f>
        <v>30-50</v>
      </c>
      <c r="R548" t="s" s="2">
        <v>17</v>
      </c>
      <c r="S548" s="3" cm="1">
        <f t="array" ref="S548">COUNTIF(A2:A1001,A548)</f>
        <v>1</v>
      </c>
      <c r="T548" t="str" s="8" cm="1">
        <f t="array" ref="T548">IF(ISNUMBER(F548),"Ok","check")</f>
        <v>Ok</v>
      </c>
      <c r="U548" t="str" s="8" cm="1">
        <f t="array" ref="U548">IF(ISNUMBER(O548),"ok","check")</f>
        <v>ok</v>
      </c>
    </row>
    <row r="549" ht="13.55" customHeight="1">
      <c r="A549" s="3">
        <v>17025</v>
      </c>
      <c r="B549" t="s" s="2">
        <v>25</v>
      </c>
      <c r="C549" t="str" s="8" cm="1">
        <f t="array" ref="C549">IF(B549="M","Married","Single")</f>
        <v>Single</v>
      </c>
      <c r="D549" t="s" s="2">
        <v>13</v>
      </c>
      <c r="E549" t="str" s="8" cm="1">
        <f t="array" ref="E549">IF(D549="M","Male",IF(D549="F","Female","Check"))</f>
        <v>Male</v>
      </c>
      <c r="F549" s="4">
        <v>50000</v>
      </c>
      <c r="G549" t="str" s="8" cm="1">
        <f t="array" ref="G549">IF(F549="","Check","okay")</f>
        <v>okay</v>
      </c>
      <c r="H549" s="3">
        <v>0</v>
      </c>
      <c r="I549" t="s" s="2">
        <v>21</v>
      </c>
      <c r="J549" t="s" s="2">
        <v>16</v>
      </c>
      <c r="K549" t="s" s="2">
        <v>20</v>
      </c>
      <c r="L549" s="3">
        <v>1</v>
      </c>
      <c r="M549" t="s" s="2">
        <v>24</v>
      </c>
      <c r="N549" t="s" s="2">
        <v>35</v>
      </c>
      <c r="O549" s="3">
        <v>39</v>
      </c>
      <c r="P549" t="str" s="8" cm="1">
        <f t="array" ref="P549">IF(O549="","check","Okay")</f>
        <v>Okay</v>
      </c>
      <c r="Q549" t="str" s="8" cm="1">
        <f t="array" ref="Q549">IF(O549&lt;30,"UNDER 30",IF(O549&lt;=50,"30-50","Over 50"))</f>
        <v>30-50</v>
      </c>
      <c r="R549" t="s" s="2">
        <v>17</v>
      </c>
      <c r="S549" s="3" cm="1">
        <f t="array" ref="S549">COUNTIF(A2:A1001,A549)</f>
        <v>1</v>
      </c>
      <c r="T549" t="str" s="8" cm="1">
        <f t="array" ref="T549">IF(ISNUMBER(F549),"Ok","check")</f>
        <v>Ok</v>
      </c>
      <c r="U549" t="str" s="8" cm="1">
        <f t="array" ref="U549">IF(ISNUMBER(O549),"ok","check")</f>
        <v>ok</v>
      </c>
    </row>
    <row r="550" ht="13.55" customHeight="1">
      <c r="A550" s="3">
        <v>21613</v>
      </c>
      <c r="B550" t="s" s="2">
        <v>25</v>
      </c>
      <c r="C550" t="str" s="8" cm="1">
        <f t="array" ref="C550">IF(B550="M","Married","Single")</f>
        <v>Single</v>
      </c>
      <c r="D550" t="s" s="2">
        <v>13</v>
      </c>
      <c r="E550" t="str" s="8" cm="1">
        <f t="array" ref="E550">IF(D550="M","Male",IF(D550="F","Female","Check"))</f>
        <v>Male</v>
      </c>
      <c r="F550" s="4">
        <v>50000</v>
      </c>
      <c r="G550" t="str" s="8" cm="1">
        <f t="array" ref="G550">IF(F550="","Check","okay")</f>
        <v>okay</v>
      </c>
      <c r="H550" s="3">
        <v>2</v>
      </c>
      <c r="I550" t="s" s="2">
        <v>15</v>
      </c>
      <c r="J550" t="s" s="2">
        <v>16</v>
      </c>
      <c r="K550" t="s" s="2">
        <v>20</v>
      </c>
      <c r="L550" s="3">
        <v>1</v>
      </c>
      <c r="M550" t="s" s="2">
        <v>18</v>
      </c>
      <c r="N550" t="s" s="2">
        <v>35</v>
      </c>
      <c r="O550" s="3">
        <v>39</v>
      </c>
      <c r="P550" t="str" s="8" cm="1">
        <f t="array" ref="P550">IF(O550="","check","Okay")</f>
        <v>Okay</v>
      </c>
      <c r="Q550" t="str" s="8" cm="1">
        <f t="array" ref="Q550">IF(O550&lt;30,"UNDER 30",IF(O550&lt;=50,"30-50","Over 50"))</f>
        <v>30-50</v>
      </c>
      <c r="R550" t="s" s="2">
        <v>17</v>
      </c>
      <c r="S550" s="3" cm="1">
        <f t="array" ref="S550">COUNTIF(A2:A1001,A550)</f>
        <v>1</v>
      </c>
      <c r="T550" t="str" s="8" cm="1">
        <f t="array" ref="T550">IF(ISNUMBER(F550),"Ok","check")</f>
        <v>Ok</v>
      </c>
      <c r="U550" t="str" s="8" cm="1">
        <f t="array" ref="U550">IF(ISNUMBER(O550),"ok","check")</f>
        <v>ok</v>
      </c>
    </row>
    <row r="551" ht="13.55" customHeight="1">
      <c r="A551" s="3">
        <v>27756</v>
      </c>
      <c r="B551" t="s" s="2">
        <v>25</v>
      </c>
      <c r="C551" t="str" s="8" cm="1">
        <f t="array" ref="C551">IF(B551="M","Married","Single")</f>
        <v>Single</v>
      </c>
      <c r="D551" t="s" s="2">
        <v>14</v>
      </c>
      <c r="E551" t="str" s="8" cm="1">
        <f t="array" ref="E551">IF(D551="M","Male",IF(D551="F","Female","Check"))</f>
        <v>Female</v>
      </c>
      <c r="F551" s="4">
        <v>50000</v>
      </c>
      <c r="G551" t="str" s="8" cm="1">
        <f t="array" ref="G551">IF(F551="","Check","okay")</f>
        <v>okay</v>
      </c>
      <c r="H551" s="3">
        <v>3</v>
      </c>
      <c r="I551" t="s" s="2">
        <v>15</v>
      </c>
      <c r="J551" t="s" s="2">
        <v>16</v>
      </c>
      <c r="K551" t="s" s="2">
        <v>20</v>
      </c>
      <c r="L551" s="3">
        <v>1</v>
      </c>
      <c r="M551" t="s" s="2">
        <v>18</v>
      </c>
      <c r="N551" t="s" s="2">
        <v>35</v>
      </c>
      <c r="O551" s="3">
        <v>40</v>
      </c>
      <c r="P551" t="str" s="8" cm="1">
        <f t="array" ref="P551">IF(O551="","check","Okay")</f>
        <v>Okay</v>
      </c>
      <c r="Q551" t="str" s="8" cm="1">
        <f t="array" ref="Q551">IF(O551&lt;30,"UNDER 30",IF(O551&lt;=50,"30-50","Over 50"))</f>
        <v>30-50</v>
      </c>
      <c r="R551" t="s" s="2">
        <v>20</v>
      </c>
      <c r="S551" s="3" cm="1">
        <f t="array" ref="S551">COUNTIF(A2:A1001,A551)</f>
        <v>1</v>
      </c>
      <c r="T551" t="str" s="8" cm="1">
        <f t="array" ref="T551">IF(ISNUMBER(F551),"Ok","check")</f>
        <v>Ok</v>
      </c>
      <c r="U551" t="str" s="8" cm="1">
        <f t="array" ref="U551">IF(ISNUMBER(O551),"ok","check")</f>
        <v>ok</v>
      </c>
    </row>
    <row r="552" ht="13.55" customHeight="1">
      <c r="A552" s="3">
        <v>23197</v>
      </c>
      <c r="B552" t="s" s="2">
        <v>13</v>
      </c>
      <c r="C552" t="str" s="8" cm="1">
        <f t="array" ref="C552">IF(B552="M","Married","Single")</f>
        <v>Married</v>
      </c>
      <c r="D552" t="s" s="2">
        <v>13</v>
      </c>
      <c r="E552" t="str" s="8" cm="1">
        <f t="array" ref="E552">IF(D552="M","Male",IF(D552="F","Female","Check"))</f>
        <v>Male</v>
      </c>
      <c r="F552" s="4">
        <v>50000</v>
      </c>
      <c r="G552" t="str" s="8" cm="1">
        <f t="array" ref="G552">IF(F552="","Check","okay")</f>
        <v>okay</v>
      </c>
      <c r="H552" s="3">
        <v>3</v>
      </c>
      <c r="I552" t="s" s="2">
        <v>15</v>
      </c>
      <c r="J552" t="s" s="2">
        <v>16</v>
      </c>
      <c r="K552" t="s" s="2">
        <v>17</v>
      </c>
      <c r="L552" s="3">
        <v>2</v>
      </c>
      <c r="M552" t="s" s="2">
        <v>24</v>
      </c>
      <c r="N552" t="s" s="2">
        <v>35</v>
      </c>
      <c r="O552" s="3">
        <v>40</v>
      </c>
      <c r="P552" t="str" s="8" cm="1">
        <f t="array" ref="P552">IF(O552="","check","Okay")</f>
        <v>Okay</v>
      </c>
      <c r="Q552" t="str" s="8" cm="1">
        <f t="array" ref="Q552">IF(O552&lt;30,"UNDER 30",IF(O552&lt;=50,"30-50","Over 50"))</f>
        <v>30-50</v>
      </c>
      <c r="R552" t="s" s="2">
        <v>20</v>
      </c>
      <c r="S552" s="3" cm="1">
        <f t="array" ref="S552">COUNTIF(A2:A1001,A552)</f>
        <v>1</v>
      </c>
      <c r="T552" t="str" s="8" cm="1">
        <f t="array" ref="T552">IF(ISNUMBER(F552),"Ok","check")</f>
        <v>Ok</v>
      </c>
      <c r="U552" t="str" s="8" cm="1">
        <f t="array" ref="U552">IF(ISNUMBER(O552),"ok","check")</f>
        <v>ok</v>
      </c>
    </row>
    <row r="553" ht="13.55" customHeight="1">
      <c r="A553" s="3">
        <v>23200</v>
      </c>
      <c r="B553" t="s" s="2">
        <v>13</v>
      </c>
      <c r="C553" t="str" s="8" cm="1">
        <f t="array" ref="C553">IF(B553="M","Married","Single")</f>
        <v>Married</v>
      </c>
      <c r="D553" t="s" s="2">
        <v>14</v>
      </c>
      <c r="E553" t="str" s="8" cm="1">
        <f t="array" ref="E553">IF(D553="M","Male",IF(D553="F","Female","Check"))</f>
        <v>Female</v>
      </c>
      <c r="F553" s="4">
        <v>50000</v>
      </c>
      <c r="G553" t="str" s="8" cm="1">
        <f t="array" ref="G553">IF(F553="","Check","okay")</f>
        <v>okay</v>
      </c>
      <c r="H553" s="3">
        <v>3</v>
      </c>
      <c r="I553" t="s" s="2">
        <v>15</v>
      </c>
      <c r="J553" t="s" s="2">
        <v>16</v>
      </c>
      <c r="K553" t="s" s="2">
        <v>17</v>
      </c>
      <c r="L553" s="3">
        <v>2</v>
      </c>
      <c r="M553" t="s" s="2">
        <v>18</v>
      </c>
      <c r="N553" t="s" s="2">
        <v>35</v>
      </c>
      <c r="O553" s="3">
        <v>41</v>
      </c>
      <c r="P553" t="str" s="8" cm="1">
        <f t="array" ref="P553">IF(O553="","check","Okay")</f>
        <v>Okay</v>
      </c>
      <c r="Q553" t="str" s="8" cm="1">
        <f t="array" ref="Q553">IF(O553&lt;30,"UNDER 30",IF(O553&lt;=50,"30-50","Over 50"))</f>
        <v>30-50</v>
      </c>
      <c r="R553" t="s" s="2">
        <v>20</v>
      </c>
      <c r="S553" s="3" cm="1">
        <f t="array" ref="S553">COUNTIF(A2:A1001,A553)</f>
        <v>1</v>
      </c>
      <c r="T553" t="str" s="8" cm="1">
        <f t="array" ref="T553">IF(ISNUMBER(F553),"Ok","check")</f>
        <v>Ok</v>
      </c>
      <c r="U553" t="str" s="8" cm="1">
        <f t="array" ref="U553">IF(ISNUMBER(O553),"ok","check")</f>
        <v>ok</v>
      </c>
    </row>
    <row r="554" ht="13.55" customHeight="1">
      <c r="A554" s="3">
        <v>23893</v>
      </c>
      <c r="B554" t="s" s="2">
        <v>13</v>
      </c>
      <c r="C554" t="str" s="8" cm="1">
        <f t="array" ref="C554">IF(B554="M","Married","Single")</f>
        <v>Married</v>
      </c>
      <c r="D554" t="s" s="2">
        <v>13</v>
      </c>
      <c r="E554" t="str" s="8" cm="1">
        <f t="array" ref="E554">IF(D554="M","Male",IF(D554="F","Female","Check"))</f>
        <v>Male</v>
      </c>
      <c r="F554" s="4">
        <v>50000</v>
      </c>
      <c r="G554" t="str" s="8" cm="1">
        <f t="array" ref="G554">IF(F554="","Check","okay")</f>
        <v>okay</v>
      </c>
      <c r="H554" s="3">
        <v>3</v>
      </c>
      <c r="I554" t="s" s="2">
        <v>15</v>
      </c>
      <c r="J554" t="s" s="2">
        <v>16</v>
      </c>
      <c r="K554" t="s" s="2">
        <v>17</v>
      </c>
      <c r="L554" s="3">
        <v>3</v>
      </c>
      <c r="M554" t="s" s="2">
        <v>33</v>
      </c>
      <c r="N554" t="s" s="2">
        <v>35</v>
      </c>
      <c r="O554" s="3">
        <v>41</v>
      </c>
      <c r="P554" t="str" s="8" cm="1">
        <f t="array" ref="P554">IF(O554="","check","Okay")</f>
        <v>Okay</v>
      </c>
      <c r="Q554" t="str" s="8" cm="1">
        <f t="array" ref="Q554">IF(O554&lt;30,"UNDER 30",IF(O554&lt;=50,"30-50","Over 50"))</f>
        <v>30-50</v>
      </c>
      <c r="R554" t="s" s="2">
        <v>20</v>
      </c>
      <c r="S554" s="3" cm="1">
        <f t="array" ref="S554">COUNTIF(A2:A1001,A554)</f>
        <v>1</v>
      </c>
      <c r="T554" t="str" s="8" cm="1">
        <f t="array" ref="T554">IF(ISNUMBER(F554),"Ok","check")</f>
        <v>Ok</v>
      </c>
      <c r="U554" t="str" s="8" cm="1">
        <f t="array" ref="U554">IF(ISNUMBER(O554),"ok","check")</f>
        <v>ok</v>
      </c>
    </row>
    <row r="555" ht="13.55" customHeight="1">
      <c r="A555" s="3">
        <v>23195</v>
      </c>
      <c r="B555" t="s" s="2">
        <v>25</v>
      </c>
      <c r="C555" t="str" s="8" cm="1">
        <f t="array" ref="C555">IF(B555="M","Married","Single")</f>
        <v>Single</v>
      </c>
      <c r="D555" t="s" s="2">
        <v>13</v>
      </c>
      <c r="E555" t="str" s="8" cm="1">
        <f t="array" ref="E555">IF(D555="M","Male",IF(D555="F","Female","Check"))</f>
        <v>Male</v>
      </c>
      <c r="F555" s="4">
        <v>50000</v>
      </c>
      <c r="G555" t="str" s="8" cm="1">
        <f t="array" ref="G555">IF(F555="","Check","okay")</f>
        <v>okay</v>
      </c>
      <c r="H555" s="3">
        <v>3</v>
      </c>
      <c r="I555" t="s" s="2">
        <v>15</v>
      </c>
      <c r="J555" t="s" s="2">
        <v>16</v>
      </c>
      <c r="K555" t="s" s="2">
        <v>17</v>
      </c>
      <c r="L555" s="3">
        <v>2</v>
      </c>
      <c r="M555" t="s" s="2">
        <v>24</v>
      </c>
      <c r="N555" t="s" s="2">
        <v>35</v>
      </c>
      <c r="O555" s="3">
        <v>41</v>
      </c>
      <c r="P555" t="str" s="8" cm="1">
        <f t="array" ref="P555">IF(O555="","check","Okay")</f>
        <v>Okay</v>
      </c>
      <c r="Q555" t="str" s="8" cm="1">
        <f t="array" ref="Q555">IF(O555&lt;30,"UNDER 30",IF(O555&lt;=50,"30-50","Over 50"))</f>
        <v>30-50</v>
      </c>
      <c r="R555" t="s" s="2">
        <v>17</v>
      </c>
      <c r="S555" s="3" cm="1">
        <f t="array" ref="S555">COUNTIF(A2:A1001,A555)</f>
        <v>1</v>
      </c>
      <c r="T555" t="str" s="8" cm="1">
        <f t="array" ref="T555">IF(ISNUMBER(F555),"Ok","check")</f>
        <v>Ok</v>
      </c>
      <c r="U555" t="str" s="8" cm="1">
        <f t="array" ref="U555">IF(ISNUMBER(O555),"ok","check")</f>
        <v>ok</v>
      </c>
    </row>
    <row r="556" ht="13.55" customHeight="1">
      <c r="A556" s="3">
        <v>13920</v>
      </c>
      <c r="B556" t="s" s="2">
        <v>25</v>
      </c>
      <c r="C556" t="str" s="8" cm="1">
        <f t="array" ref="C556">IF(B556="M","Married","Single")</f>
        <v>Single</v>
      </c>
      <c r="D556" t="s" s="2">
        <v>14</v>
      </c>
      <c r="E556" t="str" s="8" cm="1">
        <f t="array" ref="E556">IF(D556="M","Male",IF(D556="F","Female","Check"))</f>
        <v>Female</v>
      </c>
      <c r="F556" s="4">
        <v>50000</v>
      </c>
      <c r="G556" t="str" s="8" cm="1">
        <f t="array" ref="G556">IF(F556="","Check","okay")</f>
        <v>okay</v>
      </c>
      <c r="H556" s="3">
        <v>4</v>
      </c>
      <c r="I556" t="s" s="2">
        <v>15</v>
      </c>
      <c r="J556" t="s" s="2">
        <v>16</v>
      </c>
      <c r="K556" t="s" s="2">
        <v>17</v>
      </c>
      <c r="L556" s="3">
        <v>2</v>
      </c>
      <c r="M556" t="s" s="2">
        <v>18</v>
      </c>
      <c r="N556" t="s" s="2">
        <v>35</v>
      </c>
      <c r="O556" s="3">
        <v>42</v>
      </c>
      <c r="P556" t="str" s="8" cm="1">
        <f t="array" ref="P556">IF(O556="","check","Okay")</f>
        <v>Okay</v>
      </c>
      <c r="Q556" t="str" s="8" cm="1">
        <f t="array" ref="Q556">IF(O556&lt;30,"UNDER 30",IF(O556&lt;=50,"30-50","Over 50"))</f>
        <v>30-50</v>
      </c>
      <c r="R556" t="s" s="2">
        <v>20</v>
      </c>
      <c r="S556" s="3" cm="1">
        <f t="array" ref="S556">COUNTIF(A2:A1001,A556)</f>
        <v>1</v>
      </c>
      <c r="T556" t="str" s="8" cm="1">
        <f t="array" ref="T556">IF(ISNUMBER(F556),"Ok","check")</f>
        <v>Ok</v>
      </c>
      <c r="U556" t="str" s="8" cm="1">
        <f t="array" ref="U556">IF(ISNUMBER(O556),"ok","check")</f>
        <v>ok</v>
      </c>
    </row>
    <row r="557" ht="13.55" customHeight="1">
      <c r="A557" s="3">
        <v>14608</v>
      </c>
      <c r="B557" t="s" s="2">
        <v>13</v>
      </c>
      <c r="C557" t="str" s="8" cm="1">
        <f t="array" ref="C557">IF(B557="M","Married","Single")</f>
        <v>Married</v>
      </c>
      <c r="D557" t="s" s="2">
        <v>13</v>
      </c>
      <c r="E557" t="str" s="8" cm="1">
        <f t="array" ref="E557">IF(D557="M","Male",IF(D557="F","Female","Check"))</f>
        <v>Male</v>
      </c>
      <c r="F557" s="4">
        <v>50000</v>
      </c>
      <c r="G557" t="str" s="8" cm="1">
        <f t="array" ref="G557">IF(F557="","Check","okay")</f>
        <v>okay</v>
      </c>
      <c r="H557" s="3">
        <v>4</v>
      </c>
      <c r="I557" t="s" s="2">
        <v>15</v>
      </c>
      <c r="J557" t="s" s="2">
        <v>16</v>
      </c>
      <c r="K557" t="s" s="2">
        <v>17</v>
      </c>
      <c r="L557" s="3">
        <v>3</v>
      </c>
      <c r="M557" t="s" s="2">
        <v>33</v>
      </c>
      <c r="N557" t="s" s="2">
        <v>35</v>
      </c>
      <c r="O557" s="3">
        <v>42</v>
      </c>
      <c r="P557" t="str" s="8" cm="1">
        <f t="array" ref="P557">IF(O557="","check","Okay")</f>
        <v>Okay</v>
      </c>
      <c r="Q557" t="str" s="8" cm="1">
        <f t="array" ref="Q557">IF(O557&lt;30,"UNDER 30",IF(O557&lt;=50,"30-50","Over 50"))</f>
        <v>30-50</v>
      </c>
      <c r="R557" t="s" s="2">
        <v>20</v>
      </c>
      <c r="S557" s="3" cm="1">
        <f t="array" ref="S557">COUNTIF(A2:A1001,A557)</f>
        <v>1</v>
      </c>
      <c r="T557" t="str" s="8" cm="1">
        <f t="array" ref="T557">IF(ISNUMBER(F557),"Ok","check")</f>
        <v>Ok</v>
      </c>
      <c r="U557" t="str" s="8" cm="1">
        <f t="array" ref="U557">IF(ISNUMBER(O557),"ok","check")</f>
        <v>ok</v>
      </c>
    </row>
    <row r="558" ht="13.55" customHeight="1">
      <c r="A558" s="3">
        <v>27393</v>
      </c>
      <c r="B558" t="s" s="2">
        <v>13</v>
      </c>
      <c r="C558" t="str" s="8" cm="1">
        <f t="array" ref="C558">IF(B558="M","Married","Single")</f>
        <v>Married</v>
      </c>
      <c r="D558" t="s" s="2">
        <v>14</v>
      </c>
      <c r="E558" t="str" s="8" cm="1">
        <f t="array" ref="E558">IF(D558="M","Male",IF(D558="F","Female","Check"))</f>
        <v>Female</v>
      </c>
      <c r="F558" s="4">
        <v>50000</v>
      </c>
      <c r="G558" t="str" s="8" cm="1">
        <f t="array" ref="G558">IF(F558="","Check","okay")</f>
        <v>okay</v>
      </c>
      <c r="H558" s="3">
        <v>4</v>
      </c>
      <c r="I558" t="s" s="2">
        <v>15</v>
      </c>
      <c r="J558" t="s" s="2">
        <v>31</v>
      </c>
      <c r="K558" t="s" s="2">
        <v>17</v>
      </c>
      <c r="L558" s="3">
        <v>2</v>
      </c>
      <c r="M558" t="s" s="2">
        <v>33</v>
      </c>
      <c r="N558" t="s" s="2">
        <v>35</v>
      </c>
      <c r="O558" s="3">
        <v>63</v>
      </c>
      <c r="P558" t="str" s="8" cm="1">
        <f t="array" ref="P558">IF(O558="","check","Okay")</f>
        <v>Okay</v>
      </c>
      <c r="Q558" t="str" s="8" cm="1">
        <f t="array" ref="Q558">IF(O558&lt;30,"UNDER 30",IF(O558&lt;=50,"30-50","Over 50"))</f>
        <v>Over 50</v>
      </c>
      <c r="R558" t="s" s="2">
        <v>20</v>
      </c>
      <c r="S558" s="3" cm="1">
        <f t="array" ref="S558">COUNTIF(A2:A1001,A558)</f>
        <v>1</v>
      </c>
      <c r="T558" t="str" s="8" cm="1">
        <f t="array" ref="T558">IF(ISNUMBER(F558),"Ok","check")</f>
        <v>Ok</v>
      </c>
      <c r="U558" t="str" s="8" cm="1">
        <f t="array" ref="U558">IF(ISNUMBER(O558),"ok","check")</f>
        <v>ok</v>
      </c>
    </row>
    <row r="559" ht="13.55" customHeight="1">
      <c r="A559" s="3">
        <v>19747</v>
      </c>
      <c r="B559" t="s" s="2">
        <v>13</v>
      </c>
      <c r="C559" t="str" s="8" cm="1">
        <f t="array" ref="C559">IF(B559="M","Married","Single")</f>
        <v>Married</v>
      </c>
      <c r="D559" t="s" s="2">
        <v>13</v>
      </c>
      <c r="E559" t="str" s="8" cm="1">
        <f t="array" ref="E559">IF(D559="M","Male",IF(D559="F","Female","Check"))</f>
        <v>Male</v>
      </c>
      <c r="F559" s="4">
        <v>50000</v>
      </c>
      <c r="G559" t="str" s="8" cm="1">
        <f t="array" ref="G559">IF(F559="","Check","okay")</f>
        <v>okay</v>
      </c>
      <c r="H559" s="3">
        <v>4</v>
      </c>
      <c r="I559" t="s" s="2">
        <v>15</v>
      </c>
      <c r="J559" t="s" s="2">
        <v>31</v>
      </c>
      <c r="K559" t="s" s="2">
        <v>17</v>
      </c>
      <c r="L559" s="3">
        <v>2</v>
      </c>
      <c r="M559" t="s" s="2">
        <v>33</v>
      </c>
      <c r="N559" t="s" s="2">
        <v>35</v>
      </c>
      <c r="O559" s="3">
        <v>63</v>
      </c>
      <c r="P559" t="str" s="8" cm="1">
        <f t="array" ref="P559">IF(O559="","check","Okay")</f>
        <v>Okay</v>
      </c>
      <c r="Q559" t="str" s="8" cm="1">
        <f t="array" ref="Q559">IF(O559&lt;30,"UNDER 30",IF(O559&lt;=50,"30-50","Over 50"))</f>
        <v>Over 50</v>
      </c>
      <c r="R559" t="s" s="2">
        <v>20</v>
      </c>
      <c r="S559" s="3" cm="1">
        <f t="array" ref="S559">COUNTIF(A2:A1001,A559)</f>
        <v>1</v>
      </c>
      <c r="T559" t="str" s="8" cm="1">
        <f t="array" ref="T559">IF(ISNUMBER(F559),"Ok","check")</f>
        <v>Ok</v>
      </c>
      <c r="U559" t="str" s="8" cm="1">
        <f t="array" ref="U559">IF(ISNUMBER(O559),"ok","check")</f>
        <v>ok</v>
      </c>
    </row>
    <row r="560" ht="13.55" customHeight="1">
      <c r="A560" s="3">
        <v>20401</v>
      </c>
      <c r="B560" t="s" s="2">
        <v>13</v>
      </c>
      <c r="C560" t="str" s="8" cm="1">
        <f t="array" ref="C560">IF(B560="M","Married","Single")</f>
        <v>Married</v>
      </c>
      <c r="D560" t="s" s="2">
        <v>14</v>
      </c>
      <c r="E560" t="str" s="8" cm="1">
        <f t="array" ref="E560">IF(D560="M","Male",IF(D560="F","Female","Check"))</f>
        <v>Female</v>
      </c>
      <c r="F560" s="4">
        <v>50000</v>
      </c>
      <c r="G560" t="str" s="8" cm="1">
        <f t="array" ref="G560">IF(F560="","Check","okay")</f>
        <v>okay</v>
      </c>
      <c r="H560" s="3">
        <v>4</v>
      </c>
      <c r="I560" t="s" s="2">
        <v>15</v>
      </c>
      <c r="J560" t="s" s="2">
        <v>31</v>
      </c>
      <c r="K560" t="s" s="2">
        <v>17</v>
      </c>
      <c r="L560" s="3">
        <v>2</v>
      </c>
      <c r="M560" t="s" s="2">
        <v>29</v>
      </c>
      <c r="N560" t="s" s="2">
        <v>35</v>
      </c>
      <c r="O560" s="3">
        <v>64</v>
      </c>
      <c r="P560" t="str" s="8" cm="1">
        <f t="array" ref="P560">IF(O560="","check","Okay")</f>
        <v>Okay</v>
      </c>
      <c r="Q560" t="str" s="8" cm="1">
        <f t="array" ref="Q560">IF(O560&lt;30,"UNDER 30",IF(O560&lt;=50,"30-50","Over 50"))</f>
        <v>Over 50</v>
      </c>
      <c r="R560" t="s" s="2">
        <v>17</v>
      </c>
      <c r="S560" s="3" cm="1">
        <f t="array" ref="S560">COUNTIF(A2:A1001,A560)</f>
        <v>1</v>
      </c>
      <c r="T560" t="str" s="8" cm="1">
        <f t="array" ref="T560">IF(ISNUMBER(F560),"Ok","check")</f>
        <v>Ok</v>
      </c>
      <c r="U560" t="str" s="8" cm="1">
        <f t="array" ref="U560">IF(ISNUMBER(O560),"ok","check")</f>
        <v>ok</v>
      </c>
    </row>
    <row r="561" ht="13.55" customHeight="1">
      <c r="A561" s="3">
        <v>17352</v>
      </c>
      <c r="B561" t="s" s="2">
        <v>13</v>
      </c>
      <c r="C561" t="str" s="8" cm="1">
        <f t="array" ref="C561">IF(B561="M","Married","Single")</f>
        <v>Married</v>
      </c>
      <c r="D561" t="s" s="2">
        <v>13</v>
      </c>
      <c r="E561" t="str" s="8" cm="1">
        <f t="array" ref="E561">IF(D561="M","Male",IF(D561="F","Female","Check"))</f>
        <v>Male</v>
      </c>
      <c r="F561" s="4">
        <v>50000</v>
      </c>
      <c r="G561" t="str" s="8" cm="1">
        <f t="array" ref="G561">IF(F561="","Check","okay")</f>
        <v>okay</v>
      </c>
      <c r="H561" s="3">
        <v>2</v>
      </c>
      <c r="I561" t="s" s="2">
        <v>34</v>
      </c>
      <c r="J561" t="s" s="2">
        <v>31</v>
      </c>
      <c r="K561" t="s" s="2">
        <v>17</v>
      </c>
      <c r="L561" s="3">
        <v>1</v>
      </c>
      <c r="M561" t="s" s="2">
        <v>26</v>
      </c>
      <c r="N561" t="s" s="2">
        <v>27</v>
      </c>
      <c r="O561" s="3">
        <v>64</v>
      </c>
      <c r="P561" t="str" s="8" cm="1">
        <f t="array" ref="P561">IF(O561="","check","Okay")</f>
        <v>Okay</v>
      </c>
      <c r="Q561" t="str" s="8" cm="1">
        <f t="array" ref="Q561">IF(O561&lt;30,"UNDER 30",IF(O561&lt;=50,"30-50","Over 50"))</f>
        <v>Over 50</v>
      </c>
      <c r="R561" t="s" s="2">
        <v>17</v>
      </c>
      <c r="S561" s="3" cm="1">
        <f t="array" ref="S561">COUNTIF(A2:A1001,A561)</f>
        <v>1</v>
      </c>
      <c r="T561" t="str" s="8" cm="1">
        <f t="array" ref="T561">IF(ISNUMBER(F561),"Ok","check")</f>
        <v>Ok</v>
      </c>
      <c r="U561" t="str" s="8" cm="1">
        <f t="array" ref="U561">IF(ISNUMBER(O561),"ok","check")</f>
        <v>ok</v>
      </c>
    </row>
    <row r="562" ht="13.55" customHeight="1">
      <c r="A562" s="3">
        <v>21441</v>
      </c>
      <c r="B562" t="s" s="2">
        <v>13</v>
      </c>
      <c r="C562" t="str" s="8" cm="1">
        <f t="array" ref="C562">IF(B562="M","Married","Single")</f>
        <v>Married</v>
      </c>
      <c r="D562" t="s" s="2">
        <v>13</v>
      </c>
      <c r="E562" t="str" s="8" cm="1">
        <f t="array" ref="E562">IF(D562="M","Male",IF(D562="F","Female","Check"))</f>
        <v>Male</v>
      </c>
      <c r="F562" s="4">
        <v>50000</v>
      </c>
      <c r="G562" t="str" s="8" cm="1">
        <f t="array" ref="G562">IF(F562="","Check","okay")</f>
        <v>okay</v>
      </c>
      <c r="H562" s="3">
        <v>4</v>
      </c>
      <c r="I562" t="s" s="2">
        <v>15</v>
      </c>
      <c r="J562" t="s" s="2">
        <v>31</v>
      </c>
      <c r="K562" t="s" s="2">
        <v>17</v>
      </c>
      <c r="L562" s="3">
        <v>2</v>
      </c>
      <c r="M562" t="s" s="2">
        <v>33</v>
      </c>
      <c r="N562" t="s" s="2">
        <v>35</v>
      </c>
      <c r="O562" s="3">
        <v>64</v>
      </c>
      <c r="P562" t="str" s="8" cm="1">
        <f t="array" ref="P562">IF(O562="","check","Okay")</f>
        <v>Okay</v>
      </c>
      <c r="Q562" t="str" s="8" cm="1">
        <f t="array" ref="Q562">IF(O562&lt;30,"UNDER 30",IF(O562&lt;=50,"30-50","Over 50"))</f>
        <v>Over 50</v>
      </c>
      <c r="R562" t="s" s="2">
        <v>20</v>
      </c>
      <c r="S562" s="3" cm="1">
        <f t="array" ref="S562">COUNTIF(A2:A1001,A562)</f>
        <v>1</v>
      </c>
      <c r="T562" t="str" s="8" cm="1">
        <f t="array" ref="T562">IF(ISNUMBER(F562),"Ok","check")</f>
        <v>Ok</v>
      </c>
      <c r="U562" t="str" s="8" cm="1">
        <f t="array" ref="U562">IF(ISNUMBER(O562),"ok","check")</f>
        <v>ok</v>
      </c>
    </row>
    <row r="563" ht="13.55" customHeight="1">
      <c r="A563" s="3">
        <v>20361</v>
      </c>
      <c r="B563" t="s" s="2">
        <v>13</v>
      </c>
      <c r="C563" t="str" s="8" cm="1">
        <f t="array" ref="C563">IF(B563="M","Married","Single")</f>
        <v>Married</v>
      </c>
      <c r="D563" t="s" s="2">
        <v>13</v>
      </c>
      <c r="E563" t="str" s="8" cm="1">
        <f t="array" ref="E563">IF(D563="M","Male",IF(D563="F","Female","Check"))</f>
        <v>Male</v>
      </c>
      <c r="F563" s="4">
        <v>50000</v>
      </c>
      <c r="G563" t="str" s="8" cm="1">
        <f t="array" ref="G563">IF(F563="","Check","okay")</f>
        <v>okay</v>
      </c>
      <c r="H563" s="3">
        <v>2</v>
      </c>
      <c r="I563" t="s" s="2">
        <v>34</v>
      </c>
      <c r="J563" t="s" s="2">
        <v>31</v>
      </c>
      <c r="K563" t="s" s="2">
        <v>17</v>
      </c>
      <c r="L563" s="3">
        <v>2</v>
      </c>
      <c r="M563" t="s" s="2">
        <v>26</v>
      </c>
      <c r="N563" t="s" s="2">
        <v>35</v>
      </c>
      <c r="O563" s="3">
        <v>69</v>
      </c>
      <c r="P563" t="str" s="8" cm="1">
        <f t="array" ref="P563">IF(O563="","check","Okay")</f>
        <v>Okay</v>
      </c>
      <c r="Q563" t="str" s="8" cm="1">
        <f t="array" ref="Q563">IF(O563&lt;30,"UNDER 30",IF(O563&lt;=50,"30-50","Over 50"))</f>
        <v>Over 50</v>
      </c>
      <c r="R563" t="s" s="2">
        <v>20</v>
      </c>
      <c r="S563" s="3" cm="1">
        <f t="array" ref="S563">COUNTIF(A2:A1001,A563)</f>
        <v>1</v>
      </c>
      <c r="T563" t="str" s="8" cm="1">
        <f t="array" ref="T563">IF(ISNUMBER(F563),"Ok","check")</f>
        <v>Ok</v>
      </c>
      <c r="U563" t="str" s="8" cm="1">
        <f t="array" ref="U563">IF(ISNUMBER(O563),"ok","check")</f>
        <v>ok</v>
      </c>
    </row>
    <row r="564" ht="13.55" customHeight="1">
      <c r="A564" s="3">
        <v>26452</v>
      </c>
      <c r="B564" t="s" s="2">
        <v>25</v>
      </c>
      <c r="C564" t="str" s="8" cm="1">
        <f t="array" ref="C564">IF(B564="M","Married","Single")</f>
        <v>Single</v>
      </c>
      <c r="D564" t="s" s="2">
        <v>13</v>
      </c>
      <c r="E564" t="str" s="8" cm="1">
        <f t="array" ref="E564">IF(D564="M","Male",IF(D564="F","Female","Check"))</f>
        <v>Male</v>
      </c>
      <c r="F564" s="4">
        <v>50000</v>
      </c>
      <c r="G564" t="str" s="8" cm="1">
        <f t="array" ref="G564">IF(F564="","Check","okay")</f>
        <v>okay</v>
      </c>
      <c r="H564" s="3">
        <v>3</v>
      </c>
      <c r="I564" t="s" s="2">
        <v>34</v>
      </c>
      <c r="J564" t="s" s="2">
        <v>31</v>
      </c>
      <c r="K564" t="s" s="2">
        <v>17</v>
      </c>
      <c r="L564" s="3">
        <v>2</v>
      </c>
      <c r="M564" t="s" s="2">
        <v>33</v>
      </c>
      <c r="N564" t="s" s="2">
        <v>35</v>
      </c>
      <c r="O564" s="3">
        <v>69</v>
      </c>
      <c r="P564" t="str" s="8" cm="1">
        <f t="array" ref="P564">IF(O564="","check","Okay")</f>
        <v>Okay</v>
      </c>
      <c r="Q564" t="str" s="8" cm="1">
        <f t="array" ref="Q564">IF(O564&lt;30,"UNDER 30",IF(O564&lt;=50,"30-50","Over 50"))</f>
        <v>Over 50</v>
      </c>
      <c r="R564" t="s" s="2">
        <v>20</v>
      </c>
      <c r="S564" s="3" cm="1">
        <f t="array" ref="S564">COUNTIF(A2:A1001,A564)</f>
        <v>1</v>
      </c>
      <c r="T564" t="str" s="8" cm="1">
        <f t="array" ref="T564">IF(ISNUMBER(F564),"Ok","check")</f>
        <v>Ok</v>
      </c>
      <c r="U564" t="str" s="8" cm="1">
        <f t="array" ref="U564">IF(ISNUMBER(O564),"ok","check")</f>
        <v>ok</v>
      </c>
    </row>
    <row r="565" ht="13.55" customHeight="1">
      <c r="A565" s="3">
        <v>28278</v>
      </c>
      <c r="B565" t="s" s="2">
        <v>13</v>
      </c>
      <c r="C565" t="str" s="8" cm="1">
        <f t="array" ref="C565">IF(B565="M","Married","Single")</f>
        <v>Married</v>
      </c>
      <c r="D565" t="s" s="2">
        <v>13</v>
      </c>
      <c r="E565" t="str" s="8" cm="1">
        <f t="array" ref="E565">IF(D565="M","Male",IF(D565="F","Female","Check"))</f>
        <v>Male</v>
      </c>
      <c r="F565" s="4">
        <v>50000</v>
      </c>
      <c r="G565" t="str" s="8" cm="1">
        <f t="array" ref="G565">IF(F565="","Check","okay")</f>
        <v>okay</v>
      </c>
      <c r="H565" s="3">
        <v>2</v>
      </c>
      <c r="I565" t="s" s="2">
        <v>34</v>
      </c>
      <c r="J565" t="s" s="2">
        <v>31</v>
      </c>
      <c r="K565" t="s" s="2">
        <v>17</v>
      </c>
      <c r="L565" s="3">
        <v>2</v>
      </c>
      <c r="M565" t="s" s="2">
        <v>26</v>
      </c>
      <c r="N565" t="s" s="2">
        <v>35</v>
      </c>
      <c r="O565" s="3">
        <v>71</v>
      </c>
      <c r="P565" t="str" s="8" cm="1">
        <f t="array" ref="P565">IF(O565="","check","Okay")</f>
        <v>Okay</v>
      </c>
      <c r="Q565" t="str" s="8" cm="1">
        <f t="array" ref="Q565">IF(O565&lt;30,"UNDER 30",IF(O565&lt;=50,"30-50","Over 50"))</f>
        <v>Over 50</v>
      </c>
      <c r="R565" t="s" s="2">
        <v>20</v>
      </c>
      <c r="S565" s="3" cm="1">
        <f t="array" ref="S565">COUNTIF(A2:A1001,A565)</f>
        <v>1</v>
      </c>
      <c r="T565" t="str" s="8" cm="1">
        <f t="array" ref="T565">IF(ISNUMBER(F565),"Ok","check")</f>
        <v>Ok</v>
      </c>
      <c r="U565" t="str" s="8" cm="1">
        <f t="array" ref="U565">IF(ISNUMBER(O565),"ok","check")</f>
        <v>ok</v>
      </c>
    </row>
    <row r="566" ht="13.55" customHeight="1">
      <c r="A566" s="3">
        <v>19441</v>
      </c>
      <c r="B566" t="s" s="2">
        <v>13</v>
      </c>
      <c r="C566" t="str" s="8" cm="1">
        <f t="array" ref="C566">IF(B566="M","Married","Single")</f>
        <v>Married</v>
      </c>
      <c r="D566" t="s" s="2">
        <v>13</v>
      </c>
      <c r="E566" t="str" s="8" cm="1">
        <f t="array" ref="E566">IF(D566="M","Male",IF(D566="F","Female","Check"))</f>
        <v>Male</v>
      </c>
      <c r="F566" s="4">
        <v>40000</v>
      </c>
      <c r="G566" t="str" s="8" cm="1">
        <f t="array" ref="G566">IF(F566="","Check","okay")</f>
        <v>okay</v>
      </c>
      <c r="H566" s="3">
        <v>0</v>
      </c>
      <c r="I566" t="s" s="2">
        <v>34</v>
      </c>
      <c r="J566" t="s" s="2">
        <v>22</v>
      </c>
      <c r="K566" t="s" s="2">
        <v>17</v>
      </c>
      <c r="L566" s="3">
        <v>0</v>
      </c>
      <c r="M566" t="s" s="2">
        <v>18</v>
      </c>
      <c r="N566" t="s" s="2">
        <v>19</v>
      </c>
      <c r="O566" s="3">
        <v>25</v>
      </c>
      <c r="P566" t="str" s="8" cm="1">
        <f t="array" ref="P566">IF(O566="","check","Okay")</f>
        <v>Okay</v>
      </c>
      <c r="Q566" t="str" s="8" cm="1">
        <f t="array" ref="Q566">IF(O566&lt;30,"UNDER 30",IF(O566&lt;=50,"30-50","Over 50"))</f>
        <v>UNDER 30</v>
      </c>
      <c r="R566" t="s" s="2">
        <v>17</v>
      </c>
      <c r="S566" s="3" cm="1">
        <f t="array" ref="S566">COUNTIF(A2:A1001,A566)</f>
        <v>1</v>
      </c>
      <c r="T566" t="str" s="8" cm="1">
        <f t="array" ref="T566">IF(ISNUMBER(F566),"Ok","check")</f>
        <v>Ok</v>
      </c>
      <c r="U566" t="str" s="8" cm="1">
        <f t="array" ref="U566">IF(ISNUMBER(O566),"ok","check")</f>
        <v>ok</v>
      </c>
    </row>
    <row r="567" ht="13.55" customHeight="1">
      <c r="A567" s="3">
        <v>20421</v>
      </c>
      <c r="B567" t="s" s="2">
        <v>25</v>
      </c>
      <c r="C567" t="str" s="8" cm="1">
        <f t="array" ref="C567">IF(B567="M","Married","Single")</f>
        <v>Single</v>
      </c>
      <c r="D567" t="s" s="2">
        <v>14</v>
      </c>
      <c r="E567" t="str" s="8" cm="1">
        <f t="array" ref="E567">IF(D567="M","Male",IF(D567="F","Female","Check"))</f>
        <v>Female</v>
      </c>
      <c r="F567" s="4">
        <v>40000</v>
      </c>
      <c r="G567" t="str" s="8" cm="1">
        <f t="array" ref="G567">IF(F567="","Check","okay")</f>
        <v>okay</v>
      </c>
      <c r="H567" s="3">
        <v>0</v>
      </c>
      <c r="I567" t="s" s="2">
        <v>32</v>
      </c>
      <c r="J567" t="s" s="2">
        <v>22</v>
      </c>
      <c r="K567" t="s" s="2">
        <v>17</v>
      </c>
      <c r="L567" s="3">
        <v>2</v>
      </c>
      <c r="M567" t="s" s="2">
        <v>26</v>
      </c>
      <c r="N567" t="s" s="2">
        <v>35</v>
      </c>
      <c r="O567" s="3">
        <v>26</v>
      </c>
      <c r="P567" t="str" s="8" cm="1">
        <f t="array" ref="P567">IF(O567="","check","Okay")</f>
        <v>Okay</v>
      </c>
      <c r="Q567" t="str" s="8" cm="1">
        <f t="array" ref="Q567">IF(O567&lt;30,"UNDER 30",IF(O567&lt;=50,"30-50","Over 50"))</f>
        <v>UNDER 30</v>
      </c>
      <c r="R567" t="s" s="2">
        <v>20</v>
      </c>
      <c r="S567" s="3" cm="1">
        <f t="array" ref="S567">COUNTIF(A2:A1001,A567)</f>
        <v>1</v>
      </c>
      <c r="T567" t="str" s="8" cm="1">
        <f t="array" ref="T567">IF(ISNUMBER(F567),"Ok","check")</f>
        <v>Ok</v>
      </c>
      <c r="U567" t="str" s="8" cm="1">
        <f t="array" ref="U567">IF(ISNUMBER(O567),"ok","check")</f>
        <v>ok</v>
      </c>
    </row>
    <row r="568" ht="13.55" customHeight="1">
      <c r="A568" s="3">
        <v>27740</v>
      </c>
      <c r="B568" t="s" s="2">
        <v>13</v>
      </c>
      <c r="C568" t="str" s="8" cm="1">
        <f t="array" ref="C568">IF(B568="M","Married","Single")</f>
        <v>Married</v>
      </c>
      <c r="D568" t="s" s="2">
        <v>14</v>
      </c>
      <c r="E568" t="str" s="8" cm="1">
        <f t="array" ref="E568">IF(D568="M","Male",IF(D568="F","Female","Check"))</f>
        <v>Female</v>
      </c>
      <c r="F568" s="4">
        <v>40000</v>
      </c>
      <c r="G568" t="str" s="8" cm="1">
        <f t="array" ref="G568">IF(F568="","Check","okay")</f>
        <v>okay</v>
      </c>
      <c r="H568" s="3">
        <v>0</v>
      </c>
      <c r="I568" t="s" s="2">
        <v>30</v>
      </c>
      <c r="J568" t="s" s="2">
        <v>16</v>
      </c>
      <c r="K568" t="s" s="2">
        <v>17</v>
      </c>
      <c r="L568" s="3">
        <v>2</v>
      </c>
      <c r="M568" t="s" s="2">
        <v>26</v>
      </c>
      <c r="N568" t="s" s="2">
        <v>35</v>
      </c>
      <c r="O568" s="3">
        <v>27</v>
      </c>
      <c r="P568" t="str" s="8" cm="1">
        <f t="array" ref="P568">IF(O568="","check","Okay")</f>
        <v>Okay</v>
      </c>
      <c r="Q568" t="str" s="8" cm="1">
        <f t="array" ref="Q568">IF(O568&lt;30,"UNDER 30",IF(O568&lt;=50,"30-50","Over 50"))</f>
        <v>UNDER 30</v>
      </c>
      <c r="R568" t="s" s="2">
        <v>20</v>
      </c>
      <c r="S568" s="3" cm="1">
        <f t="array" ref="S568">COUNTIF(A2:A1001,A568)</f>
        <v>1</v>
      </c>
      <c r="T568" t="str" s="8" cm="1">
        <f t="array" ref="T568">IF(ISNUMBER(F568),"Ok","check")</f>
        <v>Ok</v>
      </c>
      <c r="U568" t="str" s="8" cm="1">
        <f t="array" ref="U568">IF(ISNUMBER(O568),"ok","check")</f>
        <v>ok</v>
      </c>
    </row>
    <row r="569" ht="13.55" customHeight="1">
      <c r="A569" s="3">
        <v>12033</v>
      </c>
      <c r="B569" t="s" s="2">
        <v>25</v>
      </c>
      <c r="C569" t="str" s="8" cm="1">
        <f t="array" ref="C569">IF(B569="M","Married","Single")</f>
        <v>Single</v>
      </c>
      <c r="D569" t="s" s="2">
        <v>14</v>
      </c>
      <c r="E569" t="str" s="8" cm="1">
        <f t="array" ref="E569">IF(D569="M","Male",IF(D569="F","Female","Check"))</f>
        <v>Female</v>
      </c>
      <c r="F569" s="4">
        <v>40000</v>
      </c>
      <c r="G569" t="str" s="8" cm="1">
        <f t="array" ref="G569">IF(F569="","Check","okay")</f>
        <v>okay</v>
      </c>
      <c r="H569" s="3">
        <v>0</v>
      </c>
      <c r="I569" t="s" s="2">
        <v>30</v>
      </c>
      <c r="J569" t="s" s="2">
        <v>16</v>
      </c>
      <c r="K569" t="s" s="2">
        <v>20</v>
      </c>
      <c r="L569" s="3">
        <v>2</v>
      </c>
      <c r="M569" t="s" s="2">
        <v>18</v>
      </c>
      <c r="N569" t="s" s="2">
        <v>35</v>
      </c>
      <c r="O569" s="3">
        <v>27</v>
      </c>
      <c r="P569" t="str" s="8" cm="1">
        <f t="array" ref="P569">IF(O569="","check","Okay")</f>
        <v>Okay</v>
      </c>
      <c r="Q569" t="str" s="8" cm="1">
        <f t="array" ref="Q569">IF(O569&lt;30,"UNDER 30",IF(O569&lt;=50,"30-50","Over 50"))</f>
        <v>UNDER 30</v>
      </c>
      <c r="R569" t="s" s="2">
        <v>17</v>
      </c>
      <c r="S569" s="3" cm="1">
        <f t="array" ref="S569">COUNTIF(A2:A1001,A569)</f>
        <v>1</v>
      </c>
      <c r="T569" t="str" s="8" cm="1">
        <f t="array" ref="T569">IF(ISNUMBER(F569),"Ok","check")</f>
        <v>Ok</v>
      </c>
      <c r="U569" t="str" s="8" cm="1">
        <f t="array" ref="U569">IF(ISNUMBER(O569),"ok","check")</f>
        <v>ok</v>
      </c>
    </row>
    <row r="570" ht="13.55" customHeight="1">
      <c r="A570" s="3">
        <v>28087</v>
      </c>
      <c r="B570" t="s" s="2">
        <v>25</v>
      </c>
      <c r="C570" t="str" s="8" cm="1">
        <f t="array" ref="C570">IF(B570="M","Married","Single")</f>
        <v>Single</v>
      </c>
      <c r="D570" t="s" s="2">
        <v>14</v>
      </c>
      <c r="E570" t="str" s="8" cm="1">
        <f t="array" ref="E570">IF(D570="M","Male",IF(D570="F","Female","Check"))</f>
        <v>Female</v>
      </c>
      <c r="F570" s="4">
        <v>40000</v>
      </c>
      <c r="G570" t="str" s="8" cm="1">
        <f t="array" ref="G570">IF(F570="","Check","okay")</f>
        <v>okay</v>
      </c>
      <c r="H570" s="3">
        <v>0</v>
      </c>
      <c r="I570" t="s" s="2">
        <v>21</v>
      </c>
      <c r="J570" t="s" s="2">
        <v>16</v>
      </c>
      <c r="K570" t="s" s="2">
        <v>20</v>
      </c>
      <c r="L570" s="3">
        <v>1</v>
      </c>
      <c r="M570" t="s" s="2">
        <v>29</v>
      </c>
      <c r="N570" t="s" s="2">
        <v>35</v>
      </c>
      <c r="O570" s="3">
        <v>27</v>
      </c>
      <c r="P570" t="str" s="8" cm="1">
        <f t="array" ref="P570">IF(O570="","check","Okay")</f>
        <v>Okay</v>
      </c>
      <c r="Q570" t="str" s="8" cm="1">
        <f t="array" ref="Q570">IF(O570&lt;30,"UNDER 30",IF(O570&lt;=50,"30-50","Over 50"))</f>
        <v>UNDER 30</v>
      </c>
      <c r="R570" t="s" s="2">
        <v>20</v>
      </c>
      <c r="S570" s="3" cm="1">
        <f t="array" ref="S570">COUNTIF(A2:A1001,A570)</f>
        <v>1</v>
      </c>
      <c r="T570" t="str" s="8" cm="1">
        <f t="array" ref="T570">IF(ISNUMBER(F570),"Ok","check")</f>
        <v>Ok</v>
      </c>
      <c r="U570" t="str" s="8" cm="1">
        <f t="array" ref="U570">IF(ISNUMBER(O570),"ok","check")</f>
        <v>ok</v>
      </c>
    </row>
    <row r="571" ht="13.55" customHeight="1">
      <c r="A571" s="3">
        <v>13154</v>
      </c>
      <c r="B571" t="s" s="2">
        <v>13</v>
      </c>
      <c r="C571" t="str" s="8" cm="1">
        <f t="array" ref="C571">IF(B571="M","Married","Single")</f>
        <v>Married</v>
      </c>
      <c r="D571" t="s" s="2">
        <v>13</v>
      </c>
      <c r="E571" t="str" s="8" cm="1">
        <f t="array" ref="E571">IF(D571="M","Male",IF(D571="F","Female","Check"))</f>
        <v>Male</v>
      </c>
      <c r="F571" s="4">
        <v>40000</v>
      </c>
      <c r="G571" t="str" s="8" cm="1">
        <f t="array" ref="G571">IF(F571="","Check","okay")</f>
        <v>okay</v>
      </c>
      <c r="H571" s="3">
        <v>0</v>
      </c>
      <c r="I571" t="s" s="2">
        <v>30</v>
      </c>
      <c r="J571" t="s" s="2">
        <v>16</v>
      </c>
      <c r="K571" t="s" s="2">
        <v>20</v>
      </c>
      <c r="L571" s="3">
        <v>2</v>
      </c>
      <c r="M571" t="s" s="2">
        <v>18</v>
      </c>
      <c r="N571" t="s" s="2">
        <v>35</v>
      </c>
      <c r="O571" s="3">
        <v>27</v>
      </c>
      <c r="P571" t="str" s="8" cm="1">
        <f t="array" ref="P571">IF(O571="","check","Okay")</f>
        <v>Okay</v>
      </c>
      <c r="Q571" t="str" s="8" cm="1">
        <f t="array" ref="Q571">IF(O571&lt;30,"UNDER 30",IF(O571&lt;=50,"30-50","Over 50"))</f>
        <v>UNDER 30</v>
      </c>
      <c r="R571" t="s" s="2">
        <v>17</v>
      </c>
      <c r="S571" s="3" cm="1">
        <f t="array" ref="S571">COUNTIF(A2:A1001,A571)</f>
        <v>1</v>
      </c>
      <c r="T571" t="str" s="8" cm="1">
        <f t="array" ref="T571">IF(ISNUMBER(F571),"Ok","check")</f>
        <v>Ok</v>
      </c>
      <c r="U571" t="str" s="8" cm="1">
        <f t="array" ref="U571">IF(ISNUMBER(O571),"ok","check")</f>
        <v>ok</v>
      </c>
    </row>
    <row r="572" ht="13.55" customHeight="1">
      <c r="A572" s="3">
        <v>25261</v>
      </c>
      <c r="B572" t="s" s="2">
        <v>13</v>
      </c>
      <c r="C572" t="str" s="8" cm="1">
        <f t="array" ref="C572">IF(B572="M","Married","Single")</f>
        <v>Married</v>
      </c>
      <c r="D572" t="s" s="2">
        <v>13</v>
      </c>
      <c r="E572" t="str" s="8" cm="1">
        <f t="array" ref="E572">IF(D572="M","Male",IF(D572="F","Female","Check"))</f>
        <v>Male</v>
      </c>
      <c r="F572" s="4">
        <v>40000</v>
      </c>
      <c r="G572" t="str" s="8" cm="1">
        <f t="array" ref="G572">IF(F572="","Check","okay")</f>
        <v>okay</v>
      </c>
      <c r="H572" s="3">
        <v>0</v>
      </c>
      <c r="I572" t="s" s="2">
        <v>30</v>
      </c>
      <c r="J572" t="s" s="2">
        <v>16</v>
      </c>
      <c r="K572" t="s" s="2">
        <v>17</v>
      </c>
      <c r="L572" s="3">
        <v>2</v>
      </c>
      <c r="M572" t="s" s="2">
        <v>26</v>
      </c>
      <c r="N572" t="s" s="2">
        <v>35</v>
      </c>
      <c r="O572" s="3">
        <v>27</v>
      </c>
      <c r="P572" t="str" s="8" cm="1">
        <f t="array" ref="P572">IF(O572="","check","Okay")</f>
        <v>Okay</v>
      </c>
      <c r="Q572" t="str" s="8" cm="1">
        <f t="array" ref="Q572">IF(O572&lt;30,"UNDER 30",IF(O572&lt;=50,"30-50","Over 50"))</f>
        <v>UNDER 30</v>
      </c>
      <c r="R572" t="s" s="2">
        <v>20</v>
      </c>
      <c r="S572" s="3" cm="1">
        <f t="array" ref="S572">COUNTIF(A2:A1001,A572)</f>
        <v>1</v>
      </c>
      <c r="T572" t="str" s="8" cm="1">
        <f t="array" ref="T572">IF(ISNUMBER(F572),"Ok","check")</f>
        <v>Ok</v>
      </c>
      <c r="U572" t="str" s="8" cm="1">
        <f t="array" ref="U572">IF(ISNUMBER(O572),"ok","check")</f>
        <v>ok</v>
      </c>
    </row>
    <row r="573" ht="13.55" customHeight="1">
      <c r="A573" s="3">
        <v>27731</v>
      </c>
      <c r="B573" t="s" s="2">
        <v>13</v>
      </c>
      <c r="C573" t="str" s="8" cm="1">
        <f t="array" ref="C573">IF(B573="M","Married","Single")</f>
        <v>Married</v>
      </c>
      <c r="D573" t="s" s="2">
        <v>13</v>
      </c>
      <c r="E573" t="str" s="8" cm="1">
        <f t="array" ref="E573">IF(D573="M","Male",IF(D573="F","Female","Check"))</f>
        <v>Male</v>
      </c>
      <c r="F573" s="4">
        <v>40000</v>
      </c>
      <c r="G573" t="str" s="8" cm="1">
        <f t="array" ref="G573">IF(F573="","Check","okay")</f>
        <v>okay</v>
      </c>
      <c r="H573" s="3">
        <v>0</v>
      </c>
      <c r="I573" t="s" s="2">
        <v>30</v>
      </c>
      <c r="J573" t="s" s="2">
        <v>16</v>
      </c>
      <c r="K573" t="s" s="2">
        <v>17</v>
      </c>
      <c r="L573" s="3">
        <v>2</v>
      </c>
      <c r="M573" t="s" s="2">
        <v>26</v>
      </c>
      <c r="N573" t="s" s="2">
        <v>35</v>
      </c>
      <c r="O573" s="3">
        <v>27</v>
      </c>
      <c r="P573" t="str" s="8" cm="1">
        <f t="array" ref="P573">IF(O573="","check","Okay")</f>
        <v>Okay</v>
      </c>
      <c r="Q573" t="str" s="8" cm="1">
        <f t="array" ref="Q573">IF(O573&lt;30,"UNDER 30",IF(O573&lt;=50,"30-50","Over 50"))</f>
        <v>UNDER 30</v>
      </c>
      <c r="R573" t="s" s="2">
        <v>20</v>
      </c>
      <c r="S573" s="3" cm="1">
        <f t="array" ref="S573">COUNTIF(A2:A1001,A573)</f>
        <v>1</v>
      </c>
      <c r="T573" t="str" s="8" cm="1">
        <f t="array" ref="T573">IF(ISNUMBER(F573),"Ok","check")</f>
        <v>Ok</v>
      </c>
      <c r="U573" t="str" s="8" cm="1">
        <f t="array" ref="U573">IF(ISNUMBER(O573),"ok","check")</f>
        <v>ok</v>
      </c>
    </row>
    <row r="574" ht="13.55" customHeight="1">
      <c r="A574" s="3">
        <v>28090</v>
      </c>
      <c r="B574" t="s" s="2">
        <v>13</v>
      </c>
      <c r="C574" t="str" s="8" cm="1">
        <f t="array" ref="C574">IF(B574="M","Married","Single")</f>
        <v>Married</v>
      </c>
      <c r="D574" t="s" s="2">
        <v>13</v>
      </c>
      <c r="E574" t="str" s="8" cm="1">
        <f t="array" ref="E574">IF(D574="M","Male",IF(D574="F","Female","Check"))</f>
        <v>Male</v>
      </c>
      <c r="F574" s="4">
        <v>40000</v>
      </c>
      <c r="G574" t="str" s="8" cm="1">
        <f t="array" ref="G574">IF(F574="","Check","okay")</f>
        <v>okay</v>
      </c>
      <c r="H574" s="3">
        <v>0</v>
      </c>
      <c r="I574" t="s" s="2">
        <v>21</v>
      </c>
      <c r="J574" t="s" s="2">
        <v>16</v>
      </c>
      <c r="K574" t="s" s="2">
        <v>17</v>
      </c>
      <c r="L574" s="3">
        <v>1</v>
      </c>
      <c r="M574" t="s" s="2">
        <v>26</v>
      </c>
      <c r="N574" t="s" s="2">
        <v>35</v>
      </c>
      <c r="O574" s="3">
        <v>27</v>
      </c>
      <c r="P574" t="str" s="8" cm="1">
        <f t="array" ref="P574">IF(O574="","check","Okay")</f>
        <v>Okay</v>
      </c>
      <c r="Q574" t="str" s="8" cm="1">
        <f t="array" ref="Q574">IF(O574&lt;30,"UNDER 30",IF(O574&lt;=50,"30-50","Over 50"))</f>
        <v>UNDER 30</v>
      </c>
      <c r="R574" t="s" s="2">
        <v>20</v>
      </c>
      <c r="S574" s="3" cm="1">
        <f t="array" ref="S574">COUNTIF(A2:A1001,A574)</f>
        <v>1</v>
      </c>
      <c r="T574" t="str" s="8" cm="1">
        <f t="array" ref="T574">IF(ISNUMBER(F574),"Ok","check")</f>
        <v>Ok</v>
      </c>
      <c r="U574" t="str" s="8" cm="1">
        <f t="array" ref="U574">IF(ISNUMBER(O574),"ok","check")</f>
        <v>ok</v>
      </c>
    </row>
    <row r="575" ht="13.55" customHeight="1">
      <c r="A575" s="3">
        <v>13151</v>
      </c>
      <c r="B575" t="s" s="2">
        <v>25</v>
      </c>
      <c r="C575" t="str" s="8" cm="1">
        <f t="array" ref="C575">IF(B575="M","Married","Single")</f>
        <v>Single</v>
      </c>
      <c r="D575" t="s" s="2">
        <v>13</v>
      </c>
      <c r="E575" t="str" s="8" cm="1">
        <f t="array" ref="E575">IF(D575="M","Male",IF(D575="F","Female","Check"))</f>
        <v>Male</v>
      </c>
      <c r="F575" s="4">
        <v>40000</v>
      </c>
      <c r="G575" t="str" s="8" cm="1">
        <f t="array" ref="G575">IF(F575="","Check","okay")</f>
        <v>okay</v>
      </c>
      <c r="H575" s="3">
        <v>0</v>
      </c>
      <c r="I575" t="s" s="2">
        <v>30</v>
      </c>
      <c r="J575" t="s" s="2">
        <v>16</v>
      </c>
      <c r="K575" t="s" s="2">
        <v>17</v>
      </c>
      <c r="L575" s="3">
        <v>2</v>
      </c>
      <c r="M575" t="s" s="2">
        <v>26</v>
      </c>
      <c r="N575" t="s" s="2">
        <v>35</v>
      </c>
      <c r="O575" s="3">
        <v>27</v>
      </c>
      <c r="P575" t="str" s="8" cm="1">
        <f t="array" ref="P575">IF(O575="","check","Okay")</f>
        <v>Okay</v>
      </c>
      <c r="Q575" t="str" s="8" cm="1">
        <f t="array" ref="Q575">IF(O575&lt;30,"UNDER 30",IF(O575&lt;=50,"30-50","Over 50"))</f>
        <v>UNDER 30</v>
      </c>
      <c r="R575" t="s" s="2">
        <v>20</v>
      </c>
      <c r="S575" s="3" cm="1">
        <f t="array" ref="S575">COUNTIF(A2:A1001,A575)</f>
        <v>1</v>
      </c>
      <c r="T575" t="str" s="8" cm="1">
        <f t="array" ref="T575">IF(ISNUMBER(F575),"Ok","check")</f>
        <v>Ok</v>
      </c>
      <c r="U575" t="str" s="8" cm="1">
        <f t="array" ref="U575">IF(ISNUMBER(O575),"ok","check")</f>
        <v>ok</v>
      </c>
    </row>
    <row r="576" ht="13.55" customHeight="1">
      <c r="A576" s="3">
        <v>29052</v>
      </c>
      <c r="B576" t="s" s="2">
        <v>25</v>
      </c>
      <c r="C576" t="str" s="8" cm="1">
        <f t="array" ref="C576">IF(B576="M","Married","Single")</f>
        <v>Single</v>
      </c>
      <c r="D576" t="s" s="2">
        <v>13</v>
      </c>
      <c r="E576" t="str" s="8" cm="1">
        <f t="array" ref="E576">IF(D576="M","Male",IF(D576="F","Female","Check"))</f>
        <v>Male</v>
      </c>
      <c r="F576" s="4">
        <v>40000</v>
      </c>
      <c r="G576" t="str" s="8" cm="1">
        <f t="array" ref="G576">IF(F576="","Check","okay")</f>
        <v>okay</v>
      </c>
      <c r="H576" s="3">
        <v>0</v>
      </c>
      <c r="I576" t="s" s="2">
        <v>21</v>
      </c>
      <c r="J576" t="s" s="2">
        <v>16</v>
      </c>
      <c r="K576" t="s" s="2">
        <v>17</v>
      </c>
      <c r="L576" s="3">
        <v>1</v>
      </c>
      <c r="M576" t="s" s="2">
        <v>26</v>
      </c>
      <c r="N576" t="s" s="2">
        <v>35</v>
      </c>
      <c r="O576" s="3">
        <v>27</v>
      </c>
      <c r="P576" t="str" s="8" cm="1">
        <f t="array" ref="P576">IF(O576="","check","Okay")</f>
        <v>Okay</v>
      </c>
      <c r="Q576" t="str" s="8" cm="1">
        <f t="array" ref="Q576">IF(O576&lt;30,"UNDER 30",IF(O576&lt;=50,"30-50","Over 50"))</f>
        <v>UNDER 30</v>
      </c>
      <c r="R576" t="s" s="2">
        <v>20</v>
      </c>
      <c r="S576" s="3" cm="1">
        <f t="array" ref="S576">COUNTIF(A2:A1001,A576)</f>
        <v>1</v>
      </c>
      <c r="T576" t="str" s="8" cm="1">
        <f t="array" ref="T576">IF(ISNUMBER(F576),"Ok","check")</f>
        <v>Ok</v>
      </c>
      <c r="U576" t="str" s="8" cm="1">
        <f t="array" ref="U576">IF(ISNUMBER(O576),"ok","check")</f>
        <v>ok</v>
      </c>
    </row>
    <row r="577" ht="13.55" customHeight="1">
      <c r="A577" s="3">
        <v>18891</v>
      </c>
      <c r="B577" t="s" s="2">
        <v>13</v>
      </c>
      <c r="C577" t="str" s="8" cm="1">
        <f t="array" ref="C577">IF(B577="M","Married","Single")</f>
        <v>Married</v>
      </c>
      <c r="D577" t="s" s="2">
        <v>14</v>
      </c>
      <c r="E577" t="str" s="8" cm="1">
        <f t="array" ref="E577">IF(D577="M","Male",IF(D577="F","Female","Check"))</f>
        <v>Female</v>
      </c>
      <c r="F577" s="4">
        <v>40000</v>
      </c>
      <c r="G577" t="str" s="8" cm="1">
        <f t="array" ref="G577">IF(F577="","Check","okay")</f>
        <v>okay</v>
      </c>
      <c r="H577" s="3">
        <v>0</v>
      </c>
      <c r="I577" t="s" s="2">
        <v>21</v>
      </c>
      <c r="J577" t="s" s="2">
        <v>16</v>
      </c>
      <c r="K577" t="s" s="2">
        <v>17</v>
      </c>
      <c r="L577" s="3">
        <v>2</v>
      </c>
      <c r="M577" t="s" s="2">
        <v>26</v>
      </c>
      <c r="N577" t="s" s="2">
        <v>35</v>
      </c>
      <c r="O577" s="3">
        <v>28</v>
      </c>
      <c r="P577" t="str" s="8" cm="1">
        <f t="array" ref="P577">IF(O577="","check","Okay")</f>
        <v>Okay</v>
      </c>
      <c r="Q577" t="str" s="8" cm="1">
        <f t="array" ref="Q577">IF(O577&lt;30,"UNDER 30",IF(O577&lt;=50,"30-50","Over 50"))</f>
        <v>UNDER 30</v>
      </c>
      <c r="R577" t="s" s="2">
        <v>20</v>
      </c>
      <c r="S577" s="3" cm="1">
        <f t="array" ref="S577">COUNTIF(A2:A1001,A577)</f>
        <v>1</v>
      </c>
      <c r="T577" t="str" s="8" cm="1">
        <f t="array" ref="T577">IF(ISNUMBER(F577),"Ok","check")</f>
        <v>Ok</v>
      </c>
      <c r="U577" t="str" s="8" cm="1">
        <f t="array" ref="U577">IF(ISNUMBER(O577),"ok","check")</f>
        <v>ok</v>
      </c>
    </row>
    <row r="578" ht="13.55" customHeight="1">
      <c r="A578" s="3">
        <v>17926</v>
      </c>
      <c r="B578" t="s" s="2">
        <v>25</v>
      </c>
      <c r="C578" t="str" s="8" cm="1">
        <f t="array" ref="C578">IF(B578="M","Married","Single")</f>
        <v>Single</v>
      </c>
      <c r="D578" t="s" s="2">
        <v>14</v>
      </c>
      <c r="E578" t="str" s="8" cm="1">
        <f t="array" ref="E578">IF(D578="M","Male",IF(D578="F","Female","Check"))</f>
        <v>Female</v>
      </c>
      <c r="F578" s="4">
        <v>40000</v>
      </c>
      <c r="G578" t="str" s="8" cm="1">
        <f t="array" ref="G578">IF(F578="","Check","okay")</f>
        <v>okay</v>
      </c>
      <c r="H578" s="3">
        <v>0</v>
      </c>
      <c r="I578" t="s" s="2">
        <v>15</v>
      </c>
      <c r="J578" t="s" s="2">
        <v>22</v>
      </c>
      <c r="K578" t="s" s="2">
        <v>20</v>
      </c>
      <c r="L578" s="3">
        <v>0</v>
      </c>
      <c r="M578" t="s" s="2">
        <v>18</v>
      </c>
      <c r="N578" t="s" s="2">
        <v>27</v>
      </c>
      <c r="O578" s="3">
        <v>28</v>
      </c>
      <c r="P578" t="str" s="8" cm="1">
        <f t="array" ref="P578">IF(O578="","check","Okay")</f>
        <v>Okay</v>
      </c>
      <c r="Q578" t="str" s="8" cm="1">
        <f t="array" ref="Q578">IF(O578&lt;30,"UNDER 30",IF(O578&lt;=50,"30-50","Over 50"))</f>
        <v>UNDER 30</v>
      </c>
      <c r="R578" t="s" s="2">
        <v>17</v>
      </c>
      <c r="S578" s="3" cm="1">
        <f t="array" ref="S578">COUNTIF(A2:A1001,A578)</f>
        <v>1</v>
      </c>
      <c r="T578" t="str" s="8" cm="1">
        <f t="array" ref="T578">IF(ISNUMBER(F578),"Ok","check")</f>
        <v>Ok</v>
      </c>
      <c r="U578" t="str" s="8" cm="1">
        <f t="array" ref="U578">IF(ISNUMBER(O578),"ok","check")</f>
        <v>ok</v>
      </c>
    </row>
    <row r="579" ht="13.55" customHeight="1">
      <c r="A579" s="3">
        <v>24496</v>
      </c>
      <c r="B579" t="s" s="2">
        <v>25</v>
      </c>
      <c r="C579" t="str" s="8" cm="1">
        <f t="array" ref="C579">IF(B579="M","Married","Single")</f>
        <v>Single</v>
      </c>
      <c r="D579" t="s" s="2">
        <v>14</v>
      </c>
      <c r="E579" t="str" s="8" cm="1">
        <f t="array" ref="E579">IF(D579="M","Male",IF(D579="F","Female","Check"))</f>
        <v>Female</v>
      </c>
      <c r="F579" s="4">
        <v>40000</v>
      </c>
      <c r="G579" t="str" s="8" cm="1">
        <f t="array" ref="G579">IF(F579="","Check","okay")</f>
        <v>okay</v>
      </c>
      <c r="H579" s="3">
        <v>0</v>
      </c>
      <c r="I579" t="s" s="2">
        <v>30</v>
      </c>
      <c r="J579" t="s" s="2">
        <v>16</v>
      </c>
      <c r="K579" t="s" s="2">
        <v>20</v>
      </c>
      <c r="L579" s="3">
        <v>2</v>
      </c>
      <c r="M579" t="s" s="2">
        <v>18</v>
      </c>
      <c r="N579" t="s" s="2">
        <v>35</v>
      </c>
      <c r="O579" s="3">
        <v>28</v>
      </c>
      <c r="P579" t="str" s="8" cm="1">
        <f t="array" ref="P579">IF(O579="","check","Okay")</f>
        <v>Okay</v>
      </c>
      <c r="Q579" t="str" s="8" cm="1">
        <f t="array" ref="Q579">IF(O579&lt;30,"UNDER 30",IF(O579&lt;=50,"30-50","Over 50"))</f>
        <v>UNDER 30</v>
      </c>
      <c r="R579" t="s" s="2">
        <v>17</v>
      </c>
      <c r="S579" s="3" cm="1">
        <f t="array" ref="S579">COUNTIF(A2:A1001,A579)</f>
        <v>1</v>
      </c>
      <c r="T579" t="str" s="8" cm="1">
        <f t="array" ref="T579">IF(ISNUMBER(F579),"Ok","check")</f>
        <v>Ok</v>
      </c>
      <c r="U579" t="str" s="8" cm="1">
        <f t="array" ref="U579">IF(ISNUMBER(O579),"ok","check")</f>
        <v>ok</v>
      </c>
    </row>
    <row r="580" ht="13.55" customHeight="1">
      <c r="A580" s="3">
        <v>15255</v>
      </c>
      <c r="B580" t="s" s="2">
        <v>13</v>
      </c>
      <c r="C580" t="str" s="8" cm="1">
        <f t="array" ref="C580">IF(B580="M","Married","Single")</f>
        <v>Married</v>
      </c>
      <c r="D580" t="s" s="2">
        <v>13</v>
      </c>
      <c r="E580" t="str" s="8" cm="1">
        <f t="array" ref="E580">IF(D580="M","Male",IF(D580="F","Female","Check"))</f>
        <v>Male</v>
      </c>
      <c r="F580" s="4">
        <v>40000</v>
      </c>
      <c r="G580" t="str" s="8" cm="1">
        <f t="array" ref="G580">IF(F580="","Check","okay")</f>
        <v>okay</v>
      </c>
      <c r="H580" s="3">
        <v>0</v>
      </c>
      <c r="I580" t="s" s="2">
        <v>30</v>
      </c>
      <c r="J580" t="s" s="2">
        <v>16</v>
      </c>
      <c r="K580" t="s" s="2">
        <v>17</v>
      </c>
      <c r="L580" s="3">
        <v>2</v>
      </c>
      <c r="M580" t="s" s="2">
        <v>26</v>
      </c>
      <c r="N580" t="s" s="2">
        <v>35</v>
      </c>
      <c r="O580" s="3">
        <v>28</v>
      </c>
      <c r="P580" t="str" s="8" cm="1">
        <f t="array" ref="P580">IF(O580="","check","Okay")</f>
        <v>Okay</v>
      </c>
      <c r="Q580" t="str" s="8" cm="1">
        <f t="array" ref="Q580">IF(O580&lt;30,"UNDER 30",IF(O580&lt;=50,"30-50","Over 50"))</f>
        <v>UNDER 30</v>
      </c>
      <c r="R580" t="s" s="2">
        <v>17</v>
      </c>
      <c r="S580" s="3" cm="1">
        <f t="array" ref="S580">COUNTIF(A2:A1001,A580)</f>
        <v>1</v>
      </c>
      <c r="T580" t="str" s="8" cm="1">
        <f t="array" ref="T580">IF(ISNUMBER(F580),"Ok","check")</f>
        <v>Ok</v>
      </c>
      <c r="U580" t="str" s="8" cm="1">
        <f t="array" ref="U580">IF(ISNUMBER(O580),"ok","check")</f>
        <v>ok</v>
      </c>
    </row>
    <row r="581" ht="13.55" customHeight="1">
      <c r="A581" s="3">
        <v>16020</v>
      </c>
      <c r="B581" t="s" s="2">
        <v>13</v>
      </c>
      <c r="C581" t="str" s="8" cm="1">
        <f t="array" ref="C581">IF(B581="M","Married","Single")</f>
        <v>Married</v>
      </c>
      <c r="D581" t="s" s="2">
        <v>13</v>
      </c>
      <c r="E581" t="str" s="8" cm="1">
        <f t="array" ref="E581">IF(D581="M","Male",IF(D581="F","Female","Check"))</f>
        <v>Male</v>
      </c>
      <c r="F581" s="4">
        <v>40000</v>
      </c>
      <c r="G581" t="str" s="8" cm="1">
        <f t="array" ref="G581">IF(F581="","Check","okay")</f>
        <v>okay</v>
      </c>
      <c r="H581" s="3">
        <v>0</v>
      </c>
      <c r="I581" t="s" s="2">
        <v>30</v>
      </c>
      <c r="J581" t="s" s="2">
        <v>16</v>
      </c>
      <c r="K581" t="s" s="2">
        <v>17</v>
      </c>
      <c r="L581" s="3">
        <v>2</v>
      </c>
      <c r="M581" t="s" s="2">
        <v>26</v>
      </c>
      <c r="N581" t="s" s="2">
        <v>35</v>
      </c>
      <c r="O581" s="3">
        <v>28</v>
      </c>
      <c r="P581" t="str" s="8" cm="1">
        <f t="array" ref="P581">IF(O581="","check","Okay")</f>
        <v>Okay</v>
      </c>
      <c r="Q581" t="str" s="8" cm="1">
        <f t="array" ref="Q581">IF(O581&lt;30,"UNDER 30",IF(O581&lt;=50,"30-50","Over 50"))</f>
        <v>UNDER 30</v>
      </c>
      <c r="R581" t="s" s="2">
        <v>17</v>
      </c>
      <c r="S581" s="3" cm="1">
        <f t="array" ref="S581">COUNTIF(A2:A1001,A581)</f>
        <v>1</v>
      </c>
      <c r="T581" t="str" s="8" cm="1">
        <f t="array" ref="T581">IF(ISNUMBER(F581),"Ok","check")</f>
        <v>Ok</v>
      </c>
      <c r="U581" t="str" s="8" cm="1">
        <f t="array" ref="U581">IF(ISNUMBER(O581),"ok","check")</f>
        <v>ok</v>
      </c>
    </row>
    <row r="582" ht="13.55" customHeight="1">
      <c r="A582" s="3">
        <v>18363</v>
      </c>
      <c r="B582" t="s" s="2">
        <v>13</v>
      </c>
      <c r="C582" t="str" s="8" cm="1">
        <f t="array" ref="C582">IF(B582="M","Married","Single")</f>
        <v>Married</v>
      </c>
      <c r="D582" t="s" s="2">
        <v>13</v>
      </c>
      <c r="E582" t="str" s="8" cm="1">
        <f t="array" ref="E582">IF(D582="M","Male",IF(D582="F","Female","Check"))</f>
        <v>Male</v>
      </c>
      <c r="F582" s="4">
        <v>40000</v>
      </c>
      <c r="G582" t="str" s="8" cm="1">
        <f t="array" ref="G582">IF(F582="","Check","okay")</f>
        <v>okay</v>
      </c>
      <c r="H582" s="3">
        <v>0</v>
      </c>
      <c r="I582" t="s" s="2">
        <v>30</v>
      </c>
      <c r="J582" t="s" s="2">
        <v>16</v>
      </c>
      <c r="K582" t="s" s="2">
        <v>17</v>
      </c>
      <c r="L582" s="3">
        <v>2</v>
      </c>
      <c r="M582" t="s" s="2">
        <v>26</v>
      </c>
      <c r="N582" t="s" s="2">
        <v>35</v>
      </c>
      <c r="O582" s="3">
        <v>28</v>
      </c>
      <c r="P582" t="str" s="8" cm="1">
        <f t="array" ref="P582">IF(O582="","check","Okay")</f>
        <v>Okay</v>
      </c>
      <c r="Q582" t="str" s="8" cm="1">
        <f t="array" ref="Q582">IF(O582&lt;30,"UNDER 30",IF(O582&lt;=50,"30-50","Over 50"))</f>
        <v>UNDER 30</v>
      </c>
      <c r="R582" t="s" s="2">
        <v>17</v>
      </c>
      <c r="S582" s="3" cm="1">
        <f t="array" ref="S582">COUNTIF(A2:A1001,A582)</f>
        <v>1</v>
      </c>
      <c r="T582" t="str" s="8" cm="1">
        <f t="array" ref="T582">IF(ISNUMBER(F582),"Ok","check")</f>
        <v>Ok</v>
      </c>
      <c r="U582" t="str" s="8" cm="1">
        <f t="array" ref="U582">IF(ISNUMBER(O582),"ok","check")</f>
        <v>ok</v>
      </c>
    </row>
    <row r="583" ht="13.55" customHeight="1">
      <c r="A583" s="3">
        <v>23089</v>
      </c>
      <c r="B583" t="s" s="2">
        <v>13</v>
      </c>
      <c r="C583" t="str" s="8" cm="1">
        <f t="array" ref="C583">IF(B583="M","Married","Single")</f>
        <v>Married</v>
      </c>
      <c r="D583" t="s" s="2">
        <v>13</v>
      </c>
      <c r="E583" t="str" s="8" cm="1">
        <f t="array" ref="E583">IF(D583="M","Male",IF(D583="F","Female","Check"))</f>
        <v>Male</v>
      </c>
      <c r="F583" s="4">
        <v>40000</v>
      </c>
      <c r="G583" t="str" s="8" cm="1">
        <f t="array" ref="G583">IF(F583="","Check","okay")</f>
        <v>okay</v>
      </c>
      <c r="H583" s="3">
        <v>0</v>
      </c>
      <c r="I583" t="s" s="2">
        <v>21</v>
      </c>
      <c r="J583" t="s" s="2">
        <v>16</v>
      </c>
      <c r="K583" t="s" s="2">
        <v>17</v>
      </c>
      <c r="L583" s="3">
        <v>1</v>
      </c>
      <c r="M583" t="s" s="2">
        <v>26</v>
      </c>
      <c r="N583" t="s" s="2">
        <v>35</v>
      </c>
      <c r="O583" s="3">
        <v>28</v>
      </c>
      <c r="P583" t="str" s="8" cm="1">
        <f t="array" ref="P583">IF(O583="","check","Okay")</f>
        <v>Okay</v>
      </c>
      <c r="Q583" t="str" s="8" cm="1">
        <f t="array" ref="Q583">IF(O583&lt;30,"UNDER 30",IF(O583&lt;=50,"30-50","Over 50"))</f>
        <v>UNDER 30</v>
      </c>
      <c r="R583" t="s" s="2">
        <v>20</v>
      </c>
      <c r="S583" s="3" cm="1">
        <f t="array" ref="S583">COUNTIF(A2:A1001,A583)</f>
        <v>1</v>
      </c>
      <c r="T583" t="str" s="8" cm="1">
        <f t="array" ref="T583">IF(ISNUMBER(F583),"Ok","check")</f>
        <v>Ok</v>
      </c>
      <c r="U583" t="str" s="8" cm="1">
        <f t="array" ref="U583">IF(ISNUMBER(O583),"ok","check")</f>
        <v>ok</v>
      </c>
    </row>
    <row r="584" ht="13.55" customHeight="1">
      <c r="A584" s="3">
        <v>22976</v>
      </c>
      <c r="B584" t="s" s="2">
        <v>25</v>
      </c>
      <c r="C584" t="str" s="8" cm="1">
        <f t="array" ref="C584">IF(B584="M","Married","Single")</f>
        <v>Single</v>
      </c>
      <c r="D584" t="s" s="2">
        <v>13</v>
      </c>
      <c r="E584" t="str" s="8" cm="1">
        <f t="array" ref="E584">IF(D584="M","Male",IF(D584="F","Female","Check"))</f>
        <v>Male</v>
      </c>
      <c r="F584" s="4">
        <v>40000</v>
      </c>
      <c r="G584" t="str" s="8" cm="1">
        <f t="array" ref="G584">IF(F584="","Check","okay")</f>
        <v>okay</v>
      </c>
      <c r="H584" s="3">
        <v>0</v>
      </c>
      <c r="I584" t="s" s="2">
        <v>30</v>
      </c>
      <c r="J584" t="s" s="2">
        <v>16</v>
      </c>
      <c r="K584" t="s" s="2">
        <v>20</v>
      </c>
      <c r="L584" s="3">
        <v>2</v>
      </c>
      <c r="M584" t="s" s="2">
        <v>18</v>
      </c>
      <c r="N584" t="s" s="2">
        <v>35</v>
      </c>
      <c r="O584" s="3">
        <v>28</v>
      </c>
      <c r="P584" t="str" s="8" cm="1">
        <f t="array" ref="P584">IF(O584="","check","Okay")</f>
        <v>Okay</v>
      </c>
      <c r="Q584" t="str" s="8" cm="1">
        <f t="array" ref="Q584">IF(O584&lt;30,"UNDER 30",IF(O584&lt;=50,"30-50","Over 50"))</f>
        <v>UNDER 30</v>
      </c>
      <c r="R584" t="s" s="2">
        <v>17</v>
      </c>
      <c r="S584" s="3" cm="1">
        <f t="array" ref="S584">COUNTIF(A2:A1001,A584)</f>
        <v>1</v>
      </c>
      <c r="T584" t="str" s="8" cm="1">
        <f t="array" ref="T584">IF(ISNUMBER(F584),"Ok","check")</f>
        <v>Ok</v>
      </c>
      <c r="U584" t="str" s="8" cm="1">
        <f t="array" ref="U584">IF(ISNUMBER(O584),"ok","check")</f>
        <v>ok</v>
      </c>
    </row>
    <row r="585" ht="13.55" customHeight="1">
      <c r="A585" s="3">
        <v>17482</v>
      </c>
      <c r="B585" t="s" s="2">
        <v>25</v>
      </c>
      <c r="C585" t="str" s="8" cm="1">
        <f t="array" ref="C585">IF(B585="M","Married","Single")</f>
        <v>Single</v>
      </c>
      <c r="D585" t="s" s="2">
        <v>14</v>
      </c>
      <c r="E585" t="str" s="8" cm="1">
        <f t="array" ref="E585">IF(D585="M","Male",IF(D585="F","Female","Check"))</f>
        <v>Female</v>
      </c>
      <c r="F585" s="4">
        <v>40000</v>
      </c>
      <c r="G585" t="str" s="8" cm="1">
        <f t="array" ref="G585">IF(F585="","Check","okay")</f>
        <v>okay</v>
      </c>
      <c r="H585" s="3">
        <v>0</v>
      </c>
      <c r="I585" t="s" s="2">
        <v>32</v>
      </c>
      <c r="J585" t="s" s="2">
        <v>22</v>
      </c>
      <c r="K585" t="s" s="2">
        <v>17</v>
      </c>
      <c r="L585" s="3">
        <v>2</v>
      </c>
      <c r="M585" t="s" s="2">
        <v>26</v>
      </c>
      <c r="N585" t="s" s="2">
        <v>35</v>
      </c>
      <c r="O585" s="3">
        <v>29</v>
      </c>
      <c r="P585" t="str" s="8" cm="1">
        <f t="array" ref="P585">IF(O585="","check","Okay")</f>
        <v>Okay</v>
      </c>
      <c r="Q585" t="str" s="8" cm="1">
        <f t="array" ref="Q585">IF(O585&lt;30,"UNDER 30",IF(O585&lt;=50,"30-50","Over 50"))</f>
        <v>UNDER 30</v>
      </c>
      <c r="R585" t="s" s="2">
        <v>20</v>
      </c>
      <c r="S585" s="3" cm="1">
        <f t="array" ref="S585">COUNTIF(A2:A1001,A585)</f>
        <v>1</v>
      </c>
      <c r="T585" t="str" s="8" cm="1">
        <f t="array" ref="T585">IF(ISNUMBER(F585),"Ok","check")</f>
        <v>Ok</v>
      </c>
      <c r="U585" t="str" s="8" cm="1">
        <f t="array" ref="U585">IF(ISNUMBER(O585),"ok","check")</f>
        <v>ok</v>
      </c>
    </row>
    <row r="586" ht="13.55" customHeight="1">
      <c r="A586" s="3">
        <v>11143</v>
      </c>
      <c r="B586" t="s" s="2">
        <v>13</v>
      </c>
      <c r="C586" t="str" s="8" cm="1">
        <f t="array" ref="C586">IF(B586="M","Married","Single")</f>
        <v>Married</v>
      </c>
      <c r="D586" t="s" s="2">
        <v>13</v>
      </c>
      <c r="E586" t="str" s="8" cm="1">
        <f t="array" ref="E586">IF(D586="M","Male",IF(D586="F","Female","Check"))</f>
        <v>Male</v>
      </c>
      <c r="F586" s="4">
        <v>40000</v>
      </c>
      <c r="G586" t="str" s="8" cm="1">
        <f t="array" ref="G586">IF(F586="","Check","okay")</f>
        <v>okay</v>
      </c>
      <c r="H586" s="3">
        <v>0</v>
      </c>
      <c r="I586" t="s" s="2">
        <v>30</v>
      </c>
      <c r="J586" t="s" s="2">
        <v>16</v>
      </c>
      <c r="K586" t="s" s="2">
        <v>17</v>
      </c>
      <c r="L586" s="3">
        <v>2</v>
      </c>
      <c r="M586" t="s" s="2">
        <v>26</v>
      </c>
      <c r="N586" t="s" s="2">
        <v>35</v>
      </c>
      <c r="O586" s="3">
        <v>29</v>
      </c>
      <c r="P586" t="str" s="8" cm="1">
        <f t="array" ref="P586">IF(O586="","check","Okay")</f>
        <v>Okay</v>
      </c>
      <c r="Q586" t="str" s="8" cm="1">
        <f t="array" ref="Q586">IF(O586&lt;30,"UNDER 30",IF(O586&lt;=50,"30-50","Over 50"))</f>
        <v>UNDER 30</v>
      </c>
      <c r="R586" t="s" s="2">
        <v>20</v>
      </c>
      <c r="S586" s="3" cm="1">
        <f t="array" ref="S586">COUNTIF(A2:A1001,A586)</f>
        <v>1</v>
      </c>
      <c r="T586" t="str" s="8" cm="1">
        <f t="array" ref="T586">IF(ISNUMBER(F586),"Ok","check")</f>
        <v>Ok</v>
      </c>
      <c r="U586" t="str" s="8" cm="1">
        <f t="array" ref="U586">IF(ISNUMBER(O586),"ok","check")</f>
        <v>ok</v>
      </c>
    </row>
    <row r="587" ht="13.55" customHeight="1">
      <c r="A587" s="3">
        <v>15275</v>
      </c>
      <c r="B587" t="s" s="2">
        <v>13</v>
      </c>
      <c r="C587" t="str" s="8" cm="1">
        <f t="array" ref="C587">IF(B587="M","Married","Single")</f>
        <v>Married</v>
      </c>
      <c r="D587" t="s" s="2">
        <v>13</v>
      </c>
      <c r="E587" t="str" s="8" cm="1">
        <f t="array" ref="E587">IF(D587="M","Male",IF(D587="F","Female","Check"))</f>
        <v>Male</v>
      </c>
      <c r="F587" s="4">
        <v>40000</v>
      </c>
      <c r="G587" t="str" s="8" cm="1">
        <f t="array" ref="G587">IF(F587="","Check","okay")</f>
        <v>okay</v>
      </c>
      <c r="H587" s="3">
        <v>0</v>
      </c>
      <c r="I587" t="s" s="2">
        <v>21</v>
      </c>
      <c r="J587" t="s" s="2">
        <v>16</v>
      </c>
      <c r="K587" t="s" s="2">
        <v>17</v>
      </c>
      <c r="L587" s="3">
        <v>1</v>
      </c>
      <c r="M587" t="s" s="2">
        <v>26</v>
      </c>
      <c r="N587" t="s" s="2">
        <v>35</v>
      </c>
      <c r="O587" s="3">
        <v>29</v>
      </c>
      <c r="P587" t="str" s="8" cm="1">
        <f t="array" ref="P587">IF(O587="","check","Okay")</f>
        <v>Okay</v>
      </c>
      <c r="Q587" t="str" s="8" cm="1">
        <f t="array" ref="Q587">IF(O587&lt;30,"UNDER 30",IF(O587&lt;=50,"30-50","Over 50"))</f>
        <v>UNDER 30</v>
      </c>
      <c r="R587" t="s" s="2">
        <v>20</v>
      </c>
      <c r="S587" s="3" cm="1">
        <f t="array" ref="S587">COUNTIF(A2:A1001,A587)</f>
        <v>1</v>
      </c>
      <c r="T587" t="str" s="8" cm="1">
        <f t="array" ref="T587">IF(ISNUMBER(F587),"Ok","check")</f>
        <v>Ok</v>
      </c>
      <c r="U587" t="str" s="8" cm="1">
        <f t="array" ref="U587">IF(ISNUMBER(O587),"ok","check")</f>
        <v>ok</v>
      </c>
    </row>
    <row r="588" ht="13.55" customHeight="1">
      <c r="A588" s="3">
        <v>15814</v>
      </c>
      <c r="B588" t="s" s="2">
        <v>25</v>
      </c>
      <c r="C588" t="str" s="8" cm="1">
        <f t="array" ref="C588">IF(B588="M","Married","Single")</f>
        <v>Single</v>
      </c>
      <c r="D588" t="s" s="2">
        <v>14</v>
      </c>
      <c r="E588" t="str" s="8" cm="1">
        <f t="array" ref="E588">IF(D588="M","Male",IF(D588="F","Female","Check"))</f>
        <v>Female</v>
      </c>
      <c r="F588" s="4">
        <v>40000</v>
      </c>
      <c r="G588" t="str" s="8" cm="1">
        <f t="array" ref="G588">IF(F588="","Check","okay")</f>
        <v>okay</v>
      </c>
      <c r="H588" s="3">
        <v>0</v>
      </c>
      <c r="I588" t="s" s="2">
        <v>30</v>
      </c>
      <c r="J588" t="s" s="2">
        <v>16</v>
      </c>
      <c r="K588" t="s" s="2">
        <v>17</v>
      </c>
      <c r="L588" s="3">
        <v>1</v>
      </c>
      <c r="M588" t="s" s="2">
        <v>26</v>
      </c>
      <c r="N588" t="s" s="2">
        <v>35</v>
      </c>
      <c r="O588" s="3">
        <v>30</v>
      </c>
      <c r="P588" t="str" s="8" cm="1">
        <f t="array" ref="P588">IF(O588="","check","Okay")</f>
        <v>Okay</v>
      </c>
      <c r="Q588" t="str" s="8" cm="1">
        <f t="array" ref="Q588">IF(O588&lt;30,"UNDER 30",IF(O588&lt;=50,"30-50","Over 50"))</f>
        <v>30-50</v>
      </c>
      <c r="R588" t="s" s="2">
        <v>20</v>
      </c>
      <c r="S588" s="3" cm="1">
        <f t="array" ref="S588">COUNTIF(A2:A1001,A588)</f>
        <v>1</v>
      </c>
      <c r="T588" t="str" s="8" cm="1">
        <f t="array" ref="T588">IF(ISNUMBER(F588),"Ok","check")</f>
        <v>Ok</v>
      </c>
      <c r="U588" t="str" s="8" cm="1">
        <f t="array" ref="U588">IF(ISNUMBER(O588),"ok","check")</f>
        <v>ok</v>
      </c>
    </row>
    <row r="589" ht="13.55" customHeight="1">
      <c r="A589" s="3">
        <v>17654</v>
      </c>
      <c r="B589" t="s" s="2">
        <v>25</v>
      </c>
      <c r="C589" t="str" s="8" cm="1">
        <f t="array" ref="C589">IF(B589="M","Married","Single")</f>
        <v>Single</v>
      </c>
      <c r="D589" t="s" s="2">
        <v>14</v>
      </c>
      <c r="E589" t="str" s="8" cm="1">
        <f t="array" ref="E589">IF(D589="M","Male",IF(D589="F","Female","Check"))</f>
        <v>Female</v>
      </c>
      <c r="F589" s="4">
        <v>40000</v>
      </c>
      <c r="G589" t="str" s="8" cm="1">
        <f t="array" ref="G589">IF(F589="","Check","okay")</f>
        <v>okay</v>
      </c>
      <c r="H589" s="3">
        <v>3</v>
      </c>
      <c r="I589" t="s" s="2">
        <v>21</v>
      </c>
      <c r="J589" t="s" s="2">
        <v>22</v>
      </c>
      <c r="K589" t="s" s="2">
        <v>17</v>
      </c>
      <c r="L589" s="3">
        <v>1</v>
      </c>
      <c r="M589" t="s" s="2">
        <v>29</v>
      </c>
      <c r="N589" t="s" s="2">
        <v>35</v>
      </c>
      <c r="O589" s="3">
        <v>30</v>
      </c>
      <c r="P589" t="str" s="8" cm="1">
        <f t="array" ref="P589">IF(O589="","check","Okay")</f>
        <v>Okay</v>
      </c>
      <c r="Q589" t="str" s="8" cm="1">
        <f t="array" ref="Q589">IF(O589&lt;30,"UNDER 30",IF(O589&lt;=50,"30-50","Over 50"))</f>
        <v>30-50</v>
      </c>
      <c r="R589" t="s" s="2">
        <v>17</v>
      </c>
      <c r="S589" s="3" cm="1">
        <f t="array" ref="S589">COUNTIF(A2:A1001,A589)</f>
        <v>1</v>
      </c>
      <c r="T589" t="str" s="8" cm="1">
        <f t="array" ref="T589">IF(ISNUMBER(F589),"Ok","check")</f>
        <v>Ok</v>
      </c>
      <c r="U589" t="str" s="8" cm="1">
        <f t="array" ref="U589">IF(ISNUMBER(O589),"ok","check")</f>
        <v>ok</v>
      </c>
    </row>
    <row r="590" ht="13.55" customHeight="1">
      <c r="A590" s="3">
        <v>21260</v>
      </c>
      <c r="B590" t="s" s="2">
        <v>25</v>
      </c>
      <c r="C590" t="str" s="8" cm="1">
        <f t="array" ref="C590">IF(B590="M","Married","Single")</f>
        <v>Single</v>
      </c>
      <c r="D590" t="s" s="2">
        <v>14</v>
      </c>
      <c r="E590" t="str" s="8" cm="1">
        <f t="array" ref="E590">IF(D590="M","Male",IF(D590="F","Female","Check"))</f>
        <v>Female</v>
      </c>
      <c r="F590" s="4">
        <v>40000</v>
      </c>
      <c r="G590" t="str" s="8" cm="1">
        <f t="array" ref="G590">IF(F590="","Check","okay")</f>
        <v>okay</v>
      </c>
      <c r="H590" s="3">
        <v>0</v>
      </c>
      <c r="I590" t="s" s="2">
        <v>30</v>
      </c>
      <c r="J590" t="s" s="2">
        <v>16</v>
      </c>
      <c r="K590" t="s" s="2">
        <v>17</v>
      </c>
      <c r="L590" s="3">
        <v>2</v>
      </c>
      <c r="M590" t="s" s="2">
        <v>26</v>
      </c>
      <c r="N590" t="s" s="2">
        <v>35</v>
      </c>
      <c r="O590" s="3">
        <v>30</v>
      </c>
      <c r="P590" t="str" s="8" cm="1">
        <f t="array" ref="P590">IF(O590="","check","Okay")</f>
        <v>Okay</v>
      </c>
      <c r="Q590" t="str" s="8" cm="1">
        <f t="array" ref="Q590">IF(O590&lt;30,"UNDER 30",IF(O590&lt;=50,"30-50","Over 50"))</f>
        <v>30-50</v>
      </c>
      <c r="R590" t="s" s="2">
        <v>20</v>
      </c>
      <c r="S590" s="3" cm="1">
        <f t="array" ref="S590">COUNTIF(A2:A1001,A590)</f>
        <v>1</v>
      </c>
      <c r="T590" t="str" s="8" cm="1">
        <f t="array" ref="T590">IF(ISNUMBER(F590),"Ok","check")</f>
        <v>Ok</v>
      </c>
      <c r="U590" t="str" s="8" cm="1">
        <f t="array" ref="U590">IF(ISNUMBER(O590),"ok","check")</f>
        <v>ok</v>
      </c>
    </row>
    <row r="591" ht="13.55" customHeight="1">
      <c r="A591" s="3">
        <v>27505</v>
      </c>
      <c r="B591" t="s" s="2">
        <v>25</v>
      </c>
      <c r="C591" t="str" s="8" cm="1">
        <f t="array" ref="C591">IF(B591="M","Married","Single")</f>
        <v>Single</v>
      </c>
      <c r="D591" t="s" s="2">
        <v>14</v>
      </c>
      <c r="E591" t="str" s="8" cm="1">
        <f t="array" ref="E591">IF(D591="M","Male",IF(D591="F","Female","Check"))</f>
        <v>Female</v>
      </c>
      <c r="F591" s="4">
        <v>40000</v>
      </c>
      <c r="G591" t="str" s="8" cm="1">
        <f t="array" ref="G591">IF(F591="","Check","okay")</f>
        <v>okay</v>
      </c>
      <c r="H591" s="3">
        <v>0</v>
      </c>
      <c r="I591" t="s" s="2">
        <v>30</v>
      </c>
      <c r="J591" t="s" s="2">
        <v>16</v>
      </c>
      <c r="K591" t="s" s="2">
        <v>17</v>
      </c>
      <c r="L591" s="3">
        <v>2</v>
      </c>
      <c r="M591" t="s" s="2">
        <v>26</v>
      </c>
      <c r="N591" t="s" s="2">
        <v>35</v>
      </c>
      <c r="O591" s="3">
        <v>30</v>
      </c>
      <c r="P591" t="str" s="8" cm="1">
        <f t="array" ref="P591">IF(O591="","check","Okay")</f>
        <v>Okay</v>
      </c>
      <c r="Q591" t="str" s="8" cm="1">
        <f t="array" ref="Q591">IF(O591&lt;30,"UNDER 30",IF(O591&lt;=50,"30-50","Over 50"))</f>
        <v>30-50</v>
      </c>
      <c r="R591" t="s" s="2">
        <v>20</v>
      </c>
      <c r="S591" s="3" cm="1">
        <f t="array" ref="S591">COUNTIF(A2:A1001,A591)</f>
        <v>1</v>
      </c>
      <c r="T591" t="str" s="8" cm="1">
        <f t="array" ref="T591">IF(ISNUMBER(F591),"Ok","check")</f>
        <v>Ok</v>
      </c>
      <c r="U591" t="str" s="8" cm="1">
        <f t="array" ref="U591">IF(ISNUMBER(O591),"ok","check")</f>
        <v>ok</v>
      </c>
    </row>
    <row r="592" ht="13.55" customHeight="1">
      <c r="A592" s="3">
        <v>17657</v>
      </c>
      <c r="B592" t="s" s="2">
        <v>13</v>
      </c>
      <c r="C592" t="str" s="8" cm="1">
        <f t="array" ref="C592">IF(B592="M","Married","Single")</f>
        <v>Married</v>
      </c>
      <c r="D592" t="s" s="2">
        <v>13</v>
      </c>
      <c r="E592" t="str" s="8" cm="1">
        <f t="array" ref="E592">IF(D592="M","Male",IF(D592="F","Female","Check"))</f>
        <v>Male</v>
      </c>
      <c r="F592" s="4">
        <v>40000</v>
      </c>
      <c r="G592" t="str" s="8" cm="1">
        <f t="array" ref="G592">IF(F592="","Check","okay")</f>
        <v>okay</v>
      </c>
      <c r="H592" s="3">
        <v>4</v>
      </c>
      <c r="I592" t="s" s="2">
        <v>21</v>
      </c>
      <c r="J592" t="s" s="2">
        <v>22</v>
      </c>
      <c r="K592" t="s" s="2">
        <v>20</v>
      </c>
      <c r="L592" s="3">
        <v>0</v>
      </c>
      <c r="M592" t="s" s="2">
        <v>18</v>
      </c>
      <c r="N592" t="s" s="2">
        <v>35</v>
      </c>
      <c r="O592" s="3">
        <v>30</v>
      </c>
      <c r="P592" t="str" s="8" cm="1">
        <f t="array" ref="P592">IF(O592="","check","Okay")</f>
        <v>Okay</v>
      </c>
      <c r="Q592" t="str" s="8" cm="1">
        <f t="array" ref="Q592">IF(O592&lt;30,"UNDER 30",IF(O592&lt;=50,"30-50","Over 50"))</f>
        <v>30-50</v>
      </c>
      <c r="R592" t="s" s="2">
        <v>20</v>
      </c>
      <c r="S592" s="3" cm="1">
        <f t="array" ref="S592">COUNTIF(A2:A1001,A592)</f>
        <v>1</v>
      </c>
      <c r="T592" t="str" s="8" cm="1">
        <f t="array" ref="T592">IF(ISNUMBER(F592),"Ok","check")</f>
        <v>Ok</v>
      </c>
      <c r="U592" t="str" s="8" cm="1">
        <f t="array" ref="U592">IF(ISNUMBER(O592),"ok","check")</f>
        <v>ok</v>
      </c>
    </row>
    <row r="593" ht="13.55" customHeight="1">
      <c r="A593" s="3">
        <v>23333</v>
      </c>
      <c r="B593" t="s" s="2">
        <v>13</v>
      </c>
      <c r="C593" t="str" s="8" cm="1">
        <f t="array" ref="C593">IF(B593="M","Married","Single")</f>
        <v>Married</v>
      </c>
      <c r="D593" t="s" s="2">
        <v>13</v>
      </c>
      <c r="E593" t="str" s="8" cm="1">
        <f t="array" ref="E593">IF(D593="M","Male",IF(D593="F","Female","Check"))</f>
        <v>Male</v>
      </c>
      <c r="F593" s="4">
        <v>40000</v>
      </c>
      <c r="G593" t="str" s="8" cm="1">
        <f t="array" ref="G593">IF(F593="","Check","okay")</f>
        <v>okay</v>
      </c>
      <c r="H593" s="3">
        <v>0</v>
      </c>
      <c r="I593" t="s" s="2">
        <v>21</v>
      </c>
      <c r="J593" t="s" s="2">
        <v>16</v>
      </c>
      <c r="K593" t="s" s="2">
        <v>20</v>
      </c>
      <c r="L593" s="3">
        <v>2</v>
      </c>
      <c r="M593" t="s" s="2">
        <v>29</v>
      </c>
      <c r="N593" t="s" s="2">
        <v>35</v>
      </c>
      <c r="O593" s="3">
        <v>30</v>
      </c>
      <c r="P593" t="str" s="8" cm="1">
        <f t="array" ref="P593">IF(O593="","check","Okay")</f>
        <v>Okay</v>
      </c>
      <c r="Q593" t="str" s="8" cm="1">
        <f t="array" ref="Q593">IF(O593&lt;30,"UNDER 30",IF(O593&lt;=50,"30-50","Over 50"))</f>
        <v>30-50</v>
      </c>
      <c r="R593" t="s" s="2">
        <v>20</v>
      </c>
      <c r="S593" s="3" cm="1">
        <f t="array" ref="S593">COUNTIF(A2:A1001,A593)</f>
        <v>1</v>
      </c>
      <c r="T593" t="str" s="8" cm="1">
        <f t="array" ref="T593">IF(ISNUMBER(F593),"Ok","check")</f>
        <v>Ok</v>
      </c>
      <c r="U593" t="str" s="8" cm="1">
        <f t="array" ref="U593">IF(ISNUMBER(O593),"ok","check")</f>
        <v>ok</v>
      </c>
    </row>
    <row r="594" ht="13.55" customHeight="1">
      <c r="A594" s="3">
        <v>24514</v>
      </c>
      <c r="B594" t="s" s="2">
        <v>13</v>
      </c>
      <c r="C594" t="str" s="8" cm="1">
        <f t="array" ref="C594">IF(B594="M","Married","Single")</f>
        <v>Married</v>
      </c>
      <c r="D594" t="s" s="2">
        <v>13</v>
      </c>
      <c r="E594" t="str" s="8" cm="1">
        <f t="array" ref="E594">IF(D594="M","Male",IF(D594="F","Female","Check"))</f>
        <v>Male</v>
      </c>
      <c r="F594" s="4">
        <v>40000</v>
      </c>
      <c r="G594" t="str" s="8" cm="1">
        <f t="array" ref="G594">IF(F594="","Check","okay")</f>
        <v>okay</v>
      </c>
      <c r="H594" s="3">
        <v>0</v>
      </c>
      <c r="I594" t="s" s="2">
        <v>21</v>
      </c>
      <c r="J594" t="s" s="2">
        <v>16</v>
      </c>
      <c r="K594" t="s" s="2">
        <v>17</v>
      </c>
      <c r="L594" s="3">
        <v>1</v>
      </c>
      <c r="M594" t="s" s="2">
        <v>26</v>
      </c>
      <c r="N594" t="s" s="2">
        <v>35</v>
      </c>
      <c r="O594" s="3">
        <v>30</v>
      </c>
      <c r="P594" t="str" s="8" cm="1">
        <f t="array" ref="P594">IF(O594="","check","Okay")</f>
        <v>Okay</v>
      </c>
      <c r="Q594" t="str" s="8" cm="1">
        <f t="array" ref="Q594">IF(O594&lt;30,"UNDER 30",IF(O594&lt;=50,"30-50","Over 50"))</f>
        <v>30-50</v>
      </c>
      <c r="R594" t="s" s="2">
        <v>20</v>
      </c>
      <c r="S594" s="3" cm="1">
        <f t="array" ref="S594">COUNTIF(A2:A1001,A594)</f>
        <v>1</v>
      </c>
      <c r="T594" t="str" s="8" cm="1">
        <f t="array" ref="T594">IF(ISNUMBER(F594),"Ok","check")</f>
        <v>Ok</v>
      </c>
      <c r="U594" t="str" s="8" cm="1">
        <f t="array" ref="U594">IF(ISNUMBER(O594),"ok","check")</f>
        <v>ok</v>
      </c>
    </row>
    <row r="595" ht="13.55" customHeight="1">
      <c r="A595" s="3">
        <v>27753</v>
      </c>
      <c r="B595" t="s" s="2">
        <v>13</v>
      </c>
      <c r="C595" t="str" s="8" cm="1">
        <f t="array" ref="C595">IF(B595="M","Married","Single")</f>
        <v>Married</v>
      </c>
      <c r="D595" t="s" s="2">
        <v>13</v>
      </c>
      <c r="E595" t="str" s="8" cm="1">
        <f t="array" ref="E595">IF(D595="M","Male",IF(D595="F","Female","Check"))</f>
        <v>Male</v>
      </c>
      <c r="F595" s="4">
        <v>40000</v>
      </c>
      <c r="G595" t="str" s="8" cm="1">
        <f t="array" ref="G595">IF(F595="","Check","okay")</f>
        <v>okay</v>
      </c>
      <c r="H595" s="3">
        <v>0</v>
      </c>
      <c r="I595" t="s" s="2">
        <v>30</v>
      </c>
      <c r="J595" t="s" s="2">
        <v>16</v>
      </c>
      <c r="K595" t="s" s="2">
        <v>20</v>
      </c>
      <c r="L595" s="3">
        <v>2</v>
      </c>
      <c r="M595" t="s" s="2">
        <v>29</v>
      </c>
      <c r="N595" t="s" s="2">
        <v>35</v>
      </c>
      <c r="O595" s="3">
        <v>30</v>
      </c>
      <c r="P595" t="str" s="8" cm="1">
        <f t="array" ref="P595">IF(O595="","check","Okay")</f>
        <v>Okay</v>
      </c>
      <c r="Q595" t="str" s="8" cm="1">
        <f t="array" ref="Q595">IF(O595&lt;30,"UNDER 30",IF(O595&lt;=50,"30-50","Over 50"))</f>
        <v>30-50</v>
      </c>
      <c r="R595" t="s" s="2">
        <v>20</v>
      </c>
      <c r="S595" s="3" cm="1">
        <f t="array" ref="S595">COUNTIF(A2:A1001,A595)</f>
        <v>1</v>
      </c>
      <c r="T595" t="str" s="8" cm="1">
        <f t="array" ref="T595">IF(ISNUMBER(F595),"Ok","check")</f>
        <v>Ok</v>
      </c>
      <c r="U595" t="str" s="8" cm="1">
        <f t="array" ref="U595">IF(ISNUMBER(O595),"ok","check")</f>
        <v>ok</v>
      </c>
    </row>
    <row r="596" ht="13.55" customHeight="1">
      <c r="A596" s="3">
        <v>15272</v>
      </c>
      <c r="B596" t="s" s="2">
        <v>25</v>
      </c>
      <c r="C596" t="str" s="8" cm="1">
        <f t="array" ref="C596">IF(B596="M","Married","Single")</f>
        <v>Single</v>
      </c>
      <c r="D596" t="s" s="2">
        <v>13</v>
      </c>
      <c r="E596" t="str" s="8" cm="1">
        <f t="array" ref="E596">IF(D596="M","Male",IF(D596="F","Female","Check"))</f>
        <v>Male</v>
      </c>
      <c r="F596" s="4">
        <v>40000</v>
      </c>
      <c r="G596" t="str" s="8" cm="1">
        <f t="array" ref="G596">IF(F596="","Check","okay")</f>
        <v>okay</v>
      </c>
      <c r="H596" s="3">
        <v>0</v>
      </c>
      <c r="I596" t="s" s="2">
        <v>30</v>
      </c>
      <c r="J596" t="s" s="2">
        <v>16</v>
      </c>
      <c r="K596" t="s" s="2">
        <v>20</v>
      </c>
      <c r="L596" s="3">
        <v>2</v>
      </c>
      <c r="M596" t="s" s="2">
        <v>29</v>
      </c>
      <c r="N596" t="s" s="2">
        <v>35</v>
      </c>
      <c r="O596" s="3">
        <v>30</v>
      </c>
      <c r="P596" t="str" s="8" cm="1">
        <f t="array" ref="P596">IF(O596="","check","Okay")</f>
        <v>Okay</v>
      </c>
      <c r="Q596" t="str" s="8" cm="1">
        <f t="array" ref="Q596">IF(O596&lt;30,"UNDER 30",IF(O596&lt;=50,"30-50","Over 50"))</f>
        <v>30-50</v>
      </c>
      <c r="R596" t="s" s="2">
        <v>20</v>
      </c>
      <c r="S596" s="3" cm="1">
        <f t="array" ref="S596">COUNTIF(A2:A1001,A596)</f>
        <v>1</v>
      </c>
      <c r="T596" t="str" s="8" cm="1">
        <f t="array" ref="T596">IF(ISNUMBER(F596),"Ok","check")</f>
        <v>Ok</v>
      </c>
      <c r="U596" t="str" s="8" cm="1">
        <f t="array" ref="U596">IF(ISNUMBER(O596),"ok","check")</f>
        <v>ok</v>
      </c>
    </row>
    <row r="597" ht="13.55" customHeight="1">
      <c r="A597" s="3">
        <v>24725</v>
      </c>
      <c r="B597" t="s" s="2">
        <v>13</v>
      </c>
      <c r="C597" t="str" s="8" cm="1">
        <f t="array" ref="C597">IF(B597="M","Married","Single")</f>
        <v>Married</v>
      </c>
      <c r="D597" t="s" s="2">
        <v>14</v>
      </c>
      <c r="E597" t="str" s="8" cm="1">
        <f t="array" ref="E597">IF(D597="M","Male",IF(D597="F","Female","Check"))</f>
        <v>Female</v>
      </c>
      <c r="F597" s="4">
        <v>40000</v>
      </c>
      <c r="G597" t="str" s="8" cm="1">
        <f t="array" ref="G597">IF(F597="","Check","okay")</f>
        <v>okay</v>
      </c>
      <c r="H597" s="3">
        <v>3</v>
      </c>
      <c r="I597" t="s" s="2">
        <v>21</v>
      </c>
      <c r="J597" t="s" s="2">
        <v>22</v>
      </c>
      <c r="K597" t="s" s="2">
        <v>17</v>
      </c>
      <c r="L597" s="3">
        <v>0</v>
      </c>
      <c r="M597" t="s" s="2">
        <v>29</v>
      </c>
      <c r="N597" t="s" s="2">
        <v>35</v>
      </c>
      <c r="O597" s="3">
        <v>31</v>
      </c>
      <c r="P597" t="str" s="8" cm="1">
        <f t="array" ref="P597">IF(O597="","check","Okay")</f>
        <v>Okay</v>
      </c>
      <c r="Q597" t="str" s="8" cm="1">
        <f t="array" ref="Q597">IF(O597&lt;30,"UNDER 30",IF(O597&lt;=50,"30-50","Over 50"))</f>
        <v>30-50</v>
      </c>
      <c r="R597" t="s" s="2">
        <v>20</v>
      </c>
      <c r="S597" s="3" cm="1">
        <f t="array" ref="S597">COUNTIF(A2:A1001,A597)</f>
        <v>1</v>
      </c>
      <c r="T597" t="str" s="8" cm="1">
        <f t="array" ref="T597">IF(ISNUMBER(F597),"Ok","check")</f>
        <v>Ok</v>
      </c>
      <c r="U597" t="str" s="8" cm="1">
        <f t="array" ref="U597">IF(ISNUMBER(O597),"ok","check")</f>
        <v>ok</v>
      </c>
    </row>
    <row r="598" ht="13.55" customHeight="1">
      <c r="A598" s="3">
        <v>26236</v>
      </c>
      <c r="B598" t="s" s="2">
        <v>13</v>
      </c>
      <c r="C598" t="str" s="8" cm="1">
        <f t="array" ref="C598">IF(B598="M","Married","Single")</f>
        <v>Married</v>
      </c>
      <c r="D598" t="s" s="2">
        <v>14</v>
      </c>
      <c r="E598" t="str" s="8" cm="1">
        <f t="array" ref="E598">IF(D598="M","Male",IF(D598="F","Female","Check"))</f>
        <v>Female</v>
      </c>
      <c r="F598" s="4">
        <v>40000</v>
      </c>
      <c r="G598" t="str" s="8" cm="1">
        <f t="array" ref="G598">IF(F598="","Check","okay")</f>
        <v>okay</v>
      </c>
      <c r="H598" s="3">
        <v>3</v>
      </c>
      <c r="I598" t="s" s="2">
        <v>21</v>
      </c>
      <c r="J598" t="s" s="2">
        <v>22</v>
      </c>
      <c r="K598" t="s" s="2">
        <v>17</v>
      </c>
      <c r="L598" s="3">
        <v>1</v>
      </c>
      <c r="M598" t="s" s="2">
        <v>18</v>
      </c>
      <c r="N598" t="s" s="2">
        <v>35</v>
      </c>
      <c r="O598" s="3">
        <v>31</v>
      </c>
      <c r="P598" t="str" s="8" cm="1">
        <f t="array" ref="P598">IF(O598="","check","Okay")</f>
        <v>Okay</v>
      </c>
      <c r="Q598" t="str" s="8" cm="1">
        <f t="array" ref="Q598">IF(O598&lt;30,"UNDER 30",IF(O598&lt;=50,"30-50","Over 50"))</f>
        <v>30-50</v>
      </c>
      <c r="R598" t="s" s="2">
        <v>20</v>
      </c>
      <c r="S598" s="3" cm="1">
        <f t="array" ref="S598">COUNTIF(A2:A1001,A598)</f>
        <v>1</v>
      </c>
      <c r="T598" t="str" s="8" cm="1">
        <f t="array" ref="T598">IF(ISNUMBER(F598),"Ok","check")</f>
        <v>Ok</v>
      </c>
      <c r="U598" t="str" s="8" cm="1">
        <f t="array" ref="U598">IF(ISNUMBER(O598),"ok","check")</f>
        <v>ok</v>
      </c>
    </row>
    <row r="599" ht="13.55" customHeight="1">
      <c r="A599" s="3">
        <v>18752</v>
      </c>
      <c r="B599" t="s" s="2">
        <v>25</v>
      </c>
      <c r="C599" t="str" s="8" cm="1">
        <f t="array" ref="C599">IF(B599="M","Married","Single")</f>
        <v>Single</v>
      </c>
      <c r="D599" t="s" s="2">
        <v>14</v>
      </c>
      <c r="E599" t="str" s="8" cm="1">
        <f t="array" ref="E599">IF(D599="M","Male",IF(D599="F","Female","Check"))</f>
        <v>Female</v>
      </c>
      <c r="F599" s="4">
        <v>40000</v>
      </c>
      <c r="G599" t="str" s="8" cm="1">
        <f t="array" ref="G599">IF(F599="","Check","okay")</f>
        <v>okay</v>
      </c>
      <c r="H599" s="3">
        <v>0</v>
      </c>
      <c r="I599" t="s" s="2">
        <v>30</v>
      </c>
      <c r="J599" t="s" s="2">
        <v>16</v>
      </c>
      <c r="K599" t="s" s="2">
        <v>17</v>
      </c>
      <c r="L599" s="3">
        <v>1</v>
      </c>
      <c r="M599" t="s" s="2">
        <v>26</v>
      </c>
      <c r="N599" t="s" s="2">
        <v>35</v>
      </c>
      <c r="O599" s="3">
        <v>31</v>
      </c>
      <c r="P599" t="str" s="8" cm="1">
        <f t="array" ref="P599">IF(O599="","check","Okay")</f>
        <v>Okay</v>
      </c>
      <c r="Q599" t="str" s="8" cm="1">
        <f t="array" ref="Q599">IF(O599&lt;30,"UNDER 30",IF(O599&lt;=50,"30-50","Over 50"))</f>
        <v>30-50</v>
      </c>
      <c r="R599" t="s" s="2">
        <v>20</v>
      </c>
      <c r="S599" s="3" cm="1">
        <f t="array" ref="S599">COUNTIF(A2:A1001,A599)</f>
        <v>1</v>
      </c>
      <c r="T599" t="str" s="8" cm="1">
        <f t="array" ref="T599">IF(ISNUMBER(F599),"Ok","check")</f>
        <v>Ok</v>
      </c>
      <c r="U599" t="str" s="8" cm="1">
        <f t="array" ref="U599">IF(ISNUMBER(O599),"ok","check")</f>
        <v>ok</v>
      </c>
    </row>
    <row r="600" ht="13.55" customHeight="1">
      <c r="A600" s="3">
        <v>26238</v>
      </c>
      <c r="B600" t="s" s="2">
        <v>25</v>
      </c>
      <c r="C600" t="str" s="8" cm="1">
        <f t="array" ref="C600">IF(B600="M","Married","Single")</f>
        <v>Single</v>
      </c>
      <c r="D600" t="s" s="2">
        <v>14</v>
      </c>
      <c r="E600" t="str" s="8" cm="1">
        <f t="array" ref="E600">IF(D600="M","Male",IF(D600="F","Female","Check"))</f>
        <v>Female</v>
      </c>
      <c r="F600" s="4">
        <v>40000</v>
      </c>
      <c r="G600" t="str" s="8" cm="1">
        <f t="array" ref="G600">IF(F600="","Check","okay")</f>
        <v>okay</v>
      </c>
      <c r="H600" s="3">
        <v>3</v>
      </c>
      <c r="I600" t="s" s="2">
        <v>21</v>
      </c>
      <c r="J600" t="s" s="2">
        <v>22</v>
      </c>
      <c r="K600" t="s" s="2">
        <v>17</v>
      </c>
      <c r="L600" s="3">
        <v>1</v>
      </c>
      <c r="M600" t="s" s="2">
        <v>29</v>
      </c>
      <c r="N600" t="s" s="2">
        <v>35</v>
      </c>
      <c r="O600" s="3">
        <v>31</v>
      </c>
      <c r="P600" t="str" s="8" cm="1">
        <f t="array" ref="P600">IF(O600="","check","Okay")</f>
        <v>Okay</v>
      </c>
      <c r="Q600" t="str" s="8" cm="1">
        <f t="array" ref="Q600">IF(O600&lt;30,"UNDER 30",IF(O600&lt;=50,"30-50","Over 50"))</f>
        <v>30-50</v>
      </c>
      <c r="R600" t="s" s="2">
        <v>17</v>
      </c>
      <c r="S600" s="3" cm="1">
        <f t="array" ref="S600">COUNTIF(A2:A1001,A600)</f>
        <v>1</v>
      </c>
      <c r="T600" t="str" s="8" cm="1">
        <f t="array" ref="T600">IF(ISNUMBER(F600),"Ok","check")</f>
        <v>Ok</v>
      </c>
      <c r="U600" t="str" s="8" cm="1">
        <f t="array" ref="U600">IF(ISNUMBER(O600),"ok","check")</f>
        <v>ok</v>
      </c>
    </row>
    <row r="601" ht="13.55" customHeight="1">
      <c r="A601" s="3">
        <v>26575</v>
      </c>
      <c r="B601" t="s" s="2">
        <v>25</v>
      </c>
      <c r="C601" t="str" s="8" cm="1">
        <f t="array" ref="C601">IF(B601="M","Married","Single")</f>
        <v>Single</v>
      </c>
      <c r="D601" t="s" s="2">
        <v>14</v>
      </c>
      <c r="E601" t="str" s="8" cm="1">
        <f t="array" ref="E601">IF(D601="M","Male",IF(D601="F","Female","Check"))</f>
        <v>Female</v>
      </c>
      <c r="F601" s="4">
        <v>40000</v>
      </c>
      <c r="G601" t="str" s="8" cm="1">
        <f t="array" ref="G601">IF(F601="","Check","okay")</f>
        <v>okay</v>
      </c>
      <c r="H601" s="3">
        <v>0</v>
      </c>
      <c r="I601" t="s" s="2">
        <v>30</v>
      </c>
      <c r="J601" t="s" s="2">
        <v>16</v>
      </c>
      <c r="K601" t="s" s="2">
        <v>20</v>
      </c>
      <c r="L601" s="3">
        <v>2</v>
      </c>
      <c r="M601" t="s" s="2">
        <v>29</v>
      </c>
      <c r="N601" t="s" s="2">
        <v>35</v>
      </c>
      <c r="O601" s="3">
        <v>31</v>
      </c>
      <c r="P601" t="str" s="8" cm="1">
        <f t="array" ref="P601">IF(O601="","check","Okay")</f>
        <v>Okay</v>
      </c>
      <c r="Q601" t="str" s="8" cm="1">
        <f t="array" ref="Q601">IF(O601&lt;30,"UNDER 30",IF(O601&lt;=50,"30-50","Over 50"))</f>
        <v>30-50</v>
      </c>
      <c r="R601" t="s" s="2">
        <v>17</v>
      </c>
      <c r="S601" s="3" cm="1">
        <f t="array" ref="S601">COUNTIF(A2:A1001,A601)</f>
        <v>1</v>
      </c>
      <c r="T601" t="str" s="8" cm="1">
        <f t="array" ref="T601">IF(ISNUMBER(F601),"Ok","check")</f>
        <v>Ok</v>
      </c>
      <c r="U601" t="str" s="8" cm="1">
        <f t="array" ref="U601">IF(ISNUMBER(O601),"ok","check")</f>
        <v>ok</v>
      </c>
    </row>
    <row r="602" ht="13.55" customHeight="1">
      <c r="A602" s="3">
        <v>26778</v>
      </c>
      <c r="B602" t="s" s="2">
        <v>25</v>
      </c>
      <c r="C602" t="str" s="8" cm="1">
        <f t="array" ref="C602">IF(B602="M","Married","Single")</f>
        <v>Single</v>
      </c>
      <c r="D602" t="s" s="2">
        <v>14</v>
      </c>
      <c r="E602" t="str" s="8" cm="1">
        <f t="array" ref="E602">IF(D602="M","Male",IF(D602="F","Female","Check"))</f>
        <v>Female</v>
      </c>
      <c r="F602" s="4">
        <v>40000</v>
      </c>
      <c r="G602" t="str" s="8" cm="1">
        <f t="array" ref="G602">IF(F602="","Check","okay")</f>
        <v>okay</v>
      </c>
      <c r="H602" s="3">
        <v>0</v>
      </c>
      <c r="I602" t="s" s="2">
        <v>30</v>
      </c>
      <c r="J602" t="s" s="2">
        <v>16</v>
      </c>
      <c r="K602" t="s" s="2">
        <v>17</v>
      </c>
      <c r="L602" s="3">
        <v>2</v>
      </c>
      <c r="M602" t="s" s="2">
        <v>26</v>
      </c>
      <c r="N602" t="s" s="2">
        <v>35</v>
      </c>
      <c r="O602" s="3">
        <v>31</v>
      </c>
      <c r="P602" t="str" s="8" cm="1">
        <f t="array" ref="P602">IF(O602="","check","Okay")</f>
        <v>Okay</v>
      </c>
      <c r="Q602" t="str" s="8" cm="1">
        <f t="array" ref="Q602">IF(O602&lt;30,"UNDER 30",IF(O602&lt;=50,"30-50","Over 50"))</f>
        <v>30-50</v>
      </c>
      <c r="R602" t="s" s="2">
        <v>20</v>
      </c>
      <c r="S602" s="3" cm="1">
        <f t="array" ref="S602">COUNTIF(A2:A1001,A602)</f>
        <v>1</v>
      </c>
      <c r="T602" t="str" s="8" cm="1">
        <f t="array" ref="T602">IF(ISNUMBER(F602),"Ok","check")</f>
        <v>Ok</v>
      </c>
      <c r="U602" t="str" s="8" cm="1">
        <f t="array" ref="U602">IF(ISNUMBER(O602),"ok","check")</f>
        <v>ok</v>
      </c>
    </row>
    <row r="603" ht="13.55" customHeight="1">
      <c r="A603" s="3">
        <v>19634</v>
      </c>
      <c r="B603" t="s" s="2">
        <v>13</v>
      </c>
      <c r="C603" t="str" s="8" cm="1">
        <f t="array" ref="C603">IF(B603="M","Married","Single")</f>
        <v>Married</v>
      </c>
      <c r="D603" t="s" s="2">
        <v>13</v>
      </c>
      <c r="E603" t="str" s="8" cm="1">
        <f t="array" ref="E603">IF(D603="M","Male",IF(D603="F","Female","Check"))</f>
        <v>Male</v>
      </c>
      <c r="F603" s="4">
        <v>40000</v>
      </c>
      <c r="G603" t="str" s="8" cm="1">
        <f t="array" ref="G603">IF(F603="","Check","okay")</f>
        <v>okay</v>
      </c>
      <c r="H603" s="3">
        <v>0</v>
      </c>
      <c r="I603" t="s" s="2">
        <v>30</v>
      </c>
      <c r="J603" t="s" s="2">
        <v>16</v>
      </c>
      <c r="K603" t="s" s="2">
        <v>17</v>
      </c>
      <c r="L603" s="3">
        <v>1</v>
      </c>
      <c r="M603" t="s" s="2">
        <v>26</v>
      </c>
      <c r="N603" t="s" s="2">
        <v>35</v>
      </c>
      <c r="O603" s="3">
        <v>31</v>
      </c>
      <c r="P603" t="str" s="8" cm="1">
        <f t="array" ref="P603">IF(O603="","check","Okay")</f>
        <v>Okay</v>
      </c>
      <c r="Q603" t="str" s="8" cm="1">
        <f t="array" ref="Q603">IF(O603&lt;30,"UNDER 30",IF(O603&lt;=50,"30-50","Over 50"))</f>
        <v>30-50</v>
      </c>
      <c r="R603" t="s" s="2">
        <v>20</v>
      </c>
      <c r="S603" s="3" cm="1">
        <f t="array" ref="S603">COUNTIF(A2:A1001,A603)</f>
        <v>1</v>
      </c>
      <c r="T603" t="str" s="8" cm="1">
        <f t="array" ref="T603">IF(ISNUMBER(F603),"Ok","check")</f>
        <v>Ok</v>
      </c>
      <c r="U603" t="str" s="8" cm="1">
        <f t="array" ref="U603">IF(ISNUMBER(O603),"ok","check")</f>
        <v>ok</v>
      </c>
    </row>
    <row r="604" ht="13.55" customHeight="1">
      <c r="A604" s="3">
        <v>17337</v>
      </c>
      <c r="B604" t="s" s="2">
        <v>25</v>
      </c>
      <c r="C604" t="str" s="8" cm="1">
        <f t="array" ref="C604">IF(B604="M","Married","Single")</f>
        <v>Single</v>
      </c>
      <c r="D604" t="s" s="2">
        <v>13</v>
      </c>
      <c r="E604" t="str" s="8" cm="1">
        <f t="array" ref="E604">IF(D604="M","Male",IF(D604="F","Female","Check"))</f>
        <v>Male</v>
      </c>
      <c r="F604" s="4">
        <v>40000</v>
      </c>
      <c r="G604" t="str" s="8" cm="1">
        <f t="array" ref="G604">IF(F604="","Check","okay")</f>
        <v>okay</v>
      </c>
      <c r="H604" s="3">
        <v>0</v>
      </c>
      <c r="I604" t="s" s="2">
        <v>30</v>
      </c>
      <c r="J604" t="s" s="2">
        <v>16</v>
      </c>
      <c r="K604" t="s" s="2">
        <v>17</v>
      </c>
      <c r="L604" s="3">
        <v>1</v>
      </c>
      <c r="M604" t="s" s="2">
        <v>26</v>
      </c>
      <c r="N604" t="s" s="2">
        <v>35</v>
      </c>
      <c r="O604" s="3">
        <v>31</v>
      </c>
      <c r="P604" t="str" s="8" cm="1">
        <f t="array" ref="P604">IF(O604="","check","Okay")</f>
        <v>Okay</v>
      </c>
      <c r="Q604" t="str" s="8" cm="1">
        <f t="array" ref="Q604">IF(O604&lt;30,"UNDER 30",IF(O604&lt;=50,"30-50","Over 50"))</f>
        <v>30-50</v>
      </c>
      <c r="R604" t="s" s="2">
        <v>20</v>
      </c>
      <c r="S604" s="3" cm="1">
        <f t="array" ref="S604">COUNTIF(A2:A1001,A604)</f>
        <v>1</v>
      </c>
      <c r="T604" t="str" s="8" cm="1">
        <f t="array" ref="T604">IF(ISNUMBER(F604),"Ok","check")</f>
        <v>Ok</v>
      </c>
      <c r="U604" t="str" s="8" cm="1">
        <f t="array" ref="U604">IF(ISNUMBER(O604),"ok","check")</f>
        <v>ok</v>
      </c>
    </row>
    <row r="605" ht="13.55" customHeight="1">
      <c r="A605" s="3">
        <v>22010</v>
      </c>
      <c r="B605" t="s" s="2">
        <v>25</v>
      </c>
      <c r="C605" t="str" s="8" cm="1">
        <f t="array" ref="C605">IF(B605="M","Married","Single")</f>
        <v>Single</v>
      </c>
      <c r="D605" t="s" s="2">
        <v>13</v>
      </c>
      <c r="E605" t="str" s="8" cm="1">
        <f t="array" ref="E605">IF(D605="M","Male",IF(D605="F","Female","Check"))</f>
        <v>Male</v>
      </c>
      <c r="F605" s="4">
        <v>40000</v>
      </c>
      <c r="G605" t="str" s="8" cm="1">
        <f t="array" ref="G605">IF(F605="","Check","okay")</f>
        <v>okay</v>
      </c>
      <c r="H605" s="3">
        <v>0</v>
      </c>
      <c r="I605" t="s" s="2">
        <v>30</v>
      </c>
      <c r="J605" t="s" s="2">
        <v>16</v>
      </c>
      <c r="K605" t="s" s="2">
        <v>17</v>
      </c>
      <c r="L605" s="3">
        <v>2</v>
      </c>
      <c r="M605" t="s" s="2">
        <v>26</v>
      </c>
      <c r="N605" t="s" s="2">
        <v>35</v>
      </c>
      <c r="O605" s="3">
        <v>31</v>
      </c>
      <c r="P605" t="str" s="8" cm="1">
        <f t="array" ref="P605">IF(O605="","check","Okay")</f>
        <v>Okay</v>
      </c>
      <c r="Q605" t="str" s="8" cm="1">
        <f t="array" ref="Q605">IF(O605&lt;30,"UNDER 30",IF(O605&lt;=50,"30-50","Over 50"))</f>
        <v>30-50</v>
      </c>
      <c r="R605" t="s" s="2">
        <v>20</v>
      </c>
      <c r="S605" s="3" cm="1">
        <f t="array" ref="S605">COUNTIF(A2:A1001,A605)</f>
        <v>1</v>
      </c>
      <c r="T605" t="str" s="8" cm="1">
        <f t="array" ref="T605">IF(ISNUMBER(F605),"Ok","check")</f>
        <v>Ok</v>
      </c>
      <c r="U605" t="str" s="8" cm="1">
        <f t="array" ref="U605">IF(ISNUMBER(O605),"ok","check")</f>
        <v>ok</v>
      </c>
    </row>
    <row r="606" ht="13.55" customHeight="1">
      <c r="A606" s="3">
        <v>25041</v>
      </c>
      <c r="B606" t="s" s="2">
        <v>25</v>
      </c>
      <c r="C606" t="str" s="8" cm="1">
        <f t="array" ref="C606">IF(B606="M","Married","Single")</f>
        <v>Single</v>
      </c>
      <c r="D606" t="s" s="2">
        <v>13</v>
      </c>
      <c r="E606" t="str" s="8" cm="1">
        <f t="array" ref="E606">IF(D606="M","Male",IF(D606="F","Female","Check"))</f>
        <v>Male</v>
      </c>
      <c r="F606" s="4">
        <v>40000</v>
      </c>
      <c r="G606" t="str" s="8" cm="1">
        <f t="array" ref="G606">IF(F606="","Check","okay")</f>
        <v>okay</v>
      </c>
      <c r="H606" s="3">
        <v>0</v>
      </c>
      <c r="I606" t="s" s="2">
        <v>30</v>
      </c>
      <c r="J606" t="s" s="2">
        <v>16</v>
      </c>
      <c r="K606" t="s" s="2">
        <v>17</v>
      </c>
      <c r="L606" s="3">
        <v>2</v>
      </c>
      <c r="M606" t="s" s="2">
        <v>26</v>
      </c>
      <c r="N606" t="s" s="2">
        <v>35</v>
      </c>
      <c r="O606" s="3">
        <v>31</v>
      </c>
      <c r="P606" t="str" s="8" cm="1">
        <f t="array" ref="P606">IF(O606="","check","Okay")</f>
        <v>Okay</v>
      </c>
      <c r="Q606" t="str" s="8" cm="1">
        <f t="array" ref="Q606">IF(O606&lt;30,"UNDER 30",IF(O606&lt;=50,"30-50","Over 50"))</f>
        <v>30-50</v>
      </c>
      <c r="R606" t="s" s="2">
        <v>20</v>
      </c>
      <c r="S606" s="3" cm="1">
        <f t="array" ref="S606">COUNTIF(A2:A1001,A606)</f>
        <v>1</v>
      </c>
      <c r="T606" t="str" s="8" cm="1">
        <f t="array" ref="T606">IF(ISNUMBER(F606),"Ok","check")</f>
        <v>Ok</v>
      </c>
      <c r="U606" t="str" s="8" cm="1">
        <f t="array" ref="U606">IF(ISNUMBER(O606),"ok","check")</f>
        <v>ok</v>
      </c>
    </row>
    <row r="607" ht="13.55" customHeight="1">
      <c r="A607" s="3">
        <v>29106</v>
      </c>
      <c r="B607" t="s" s="2">
        <v>25</v>
      </c>
      <c r="C607" t="str" s="8" cm="1">
        <f t="array" ref="C607">IF(B607="M","Married","Single")</f>
        <v>Single</v>
      </c>
      <c r="D607" t="s" s="2">
        <v>13</v>
      </c>
      <c r="E607" t="str" s="8" cm="1">
        <f t="array" ref="E607">IF(D607="M","Male",IF(D607="F","Female","Check"))</f>
        <v>Male</v>
      </c>
      <c r="F607" s="4">
        <v>40000</v>
      </c>
      <c r="G607" t="str" s="8" cm="1">
        <f t="array" ref="G607">IF(F607="","Check","okay")</f>
        <v>okay</v>
      </c>
      <c r="H607" s="3">
        <v>0</v>
      </c>
      <c r="I607" t="s" s="2">
        <v>30</v>
      </c>
      <c r="J607" t="s" s="2">
        <v>16</v>
      </c>
      <c r="K607" t="s" s="2">
        <v>20</v>
      </c>
      <c r="L607" s="3">
        <v>2</v>
      </c>
      <c r="M607" t="s" s="2">
        <v>29</v>
      </c>
      <c r="N607" t="s" s="2">
        <v>35</v>
      </c>
      <c r="O607" s="3">
        <v>31</v>
      </c>
      <c r="P607" t="str" s="8" cm="1">
        <f t="array" ref="P607">IF(O607="","check","Okay")</f>
        <v>Okay</v>
      </c>
      <c r="Q607" t="str" s="8" cm="1">
        <f t="array" ref="Q607">IF(O607&lt;30,"UNDER 30",IF(O607&lt;=50,"30-50","Over 50"))</f>
        <v>30-50</v>
      </c>
      <c r="R607" t="s" s="2">
        <v>17</v>
      </c>
      <c r="S607" s="3" cm="1">
        <f t="array" ref="S607">COUNTIF(A2:A1001,A607)</f>
        <v>1</v>
      </c>
      <c r="T607" t="str" s="8" cm="1">
        <f t="array" ref="T607">IF(ISNUMBER(F607),"Ok","check")</f>
        <v>Ok</v>
      </c>
      <c r="U607" t="str" s="8" cm="1">
        <f t="array" ref="U607">IF(ISNUMBER(O607),"ok","check")</f>
        <v>ok</v>
      </c>
    </row>
    <row r="608" ht="13.55" customHeight="1">
      <c r="A608" s="3">
        <v>20711</v>
      </c>
      <c r="B608" t="s" s="2">
        <v>13</v>
      </c>
      <c r="C608" t="str" s="8" cm="1">
        <f t="array" ref="C608">IF(B608="M","Married","Single")</f>
        <v>Married</v>
      </c>
      <c r="D608" t="s" s="2">
        <v>14</v>
      </c>
      <c r="E608" t="str" s="8" cm="1">
        <f t="array" ref="E608">IF(D608="M","Male",IF(D608="F","Female","Check"))</f>
        <v>Female</v>
      </c>
      <c r="F608" s="4">
        <v>40000</v>
      </c>
      <c r="G608" t="str" s="8" cm="1">
        <f t="array" ref="G608">IF(F608="","Check","okay")</f>
        <v>okay</v>
      </c>
      <c r="H608" s="3">
        <v>1</v>
      </c>
      <c r="I608" t="s" s="2">
        <v>15</v>
      </c>
      <c r="J608" t="s" s="2">
        <v>16</v>
      </c>
      <c r="K608" t="s" s="2">
        <v>17</v>
      </c>
      <c r="L608" s="3">
        <v>0</v>
      </c>
      <c r="M608" t="s" s="2">
        <v>29</v>
      </c>
      <c r="N608" t="s" s="2">
        <v>19</v>
      </c>
      <c r="O608" s="3">
        <v>32</v>
      </c>
      <c r="P608" t="str" s="8" cm="1">
        <f t="array" ref="P608">IF(O608="","check","Okay")</f>
        <v>Okay</v>
      </c>
      <c r="Q608" t="str" s="8" cm="1">
        <f t="array" ref="Q608">IF(O608&lt;30,"UNDER 30",IF(O608&lt;=50,"30-50","Over 50"))</f>
        <v>30-50</v>
      </c>
      <c r="R608" t="s" s="2">
        <v>17</v>
      </c>
      <c r="S608" s="3" cm="1">
        <f t="array" ref="S608">COUNTIF(A2:A1001,A608)</f>
        <v>1</v>
      </c>
      <c r="T608" t="str" s="8" cm="1">
        <f t="array" ref="T608">IF(ISNUMBER(F608),"Ok","check")</f>
        <v>Ok</v>
      </c>
      <c r="U608" t="str" s="8" cm="1">
        <f t="array" ref="U608">IF(ISNUMBER(O608),"ok","check")</f>
        <v>ok</v>
      </c>
    </row>
    <row r="609" ht="13.55" customHeight="1">
      <c r="A609" s="3">
        <v>25307</v>
      </c>
      <c r="B609" t="s" s="2">
        <v>13</v>
      </c>
      <c r="C609" t="str" s="8" cm="1">
        <f t="array" ref="C609">IF(B609="M","Married","Single")</f>
        <v>Married</v>
      </c>
      <c r="D609" t="s" s="2">
        <v>14</v>
      </c>
      <c r="E609" t="str" s="8" cm="1">
        <f t="array" ref="E609">IF(D609="M","Male",IF(D609="F","Female","Check"))</f>
        <v>Female</v>
      </c>
      <c r="F609" s="4">
        <v>40000</v>
      </c>
      <c r="G609" t="str" s="8" cm="1">
        <f t="array" ref="G609">IF(F609="","Check","okay")</f>
        <v>okay</v>
      </c>
      <c r="H609" s="3">
        <v>1</v>
      </c>
      <c r="I609" t="s" s="2">
        <v>15</v>
      </c>
      <c r="J609" t="s" s="2">
        <v>16</v>
      </c>
      <c r="K609" t="s" s="2">
        <v>17</v>
      </c>
      <c r="L609" s="3">
        <v>1</v>
      </c>
      <c r="M609" t="s" s="2">
        <v>29</v>
      </c>
      <c r="N609" t="s" s="2">
        <v>19</v>
      </c>
      <c r="O609" s="3">
        <v>32</v>
      </c>
      <c r="P609" t="str" s="8" cm="1">
        <f t="array" ref="P609">IF(O609="","check","Okay")</f>
        <v>Okay</v>
      </c>
      <c r="Q609" t="str" s="8" cm="1">
        <f t="array" ref="Q609">IF(O609&lt;30,"UNDER 30",IF(O609&lt;=50,"30-50","Over 50"))</f>
        <v>30-50</v>
      </c>
      <c r="R609" t="s" s="2">
        <v>17</v>
      </c>
      <c r="S609" s="3" cm="1">
        <f t="array" ref="S609">COUNTIF(A2:A1001,A609)</f>
        <v>1</v>
      </c>
      <c r="T609" t="str" s="8" cm="1">
        <f t="array" ref="T609">IF(ISNUMBER(F609),"Ok","check")</f>
        <v>Ok</v>
      </c>
      <c r="U609" t="str" s="8" cm="1">
        <f t="array" ref="U609">IF(ISNUMBER(O609),"ok","check")</f>
        <v>ok</v>
      </c>
    </row>
    <row r="610" ht="13.55" customHeight="1">
      <c r="A610" s="3">
        <v>27190</v>
      </c>
      <c r="B610" t="s" s="2">
        <v>13</v>
      </c>
      <c r="C610" t="str" s="8" cm="1">
        <f t="array" ref="C610">IF(B610="M","Married","Single")</f>
        <v>Married</v>
      </c>
      <c r="D610" t="s" s="2">
        <v>14</v>
      </c>
      <c r="E610" t="str" s="8" cm="1">
        <f t="array" ref="E610">IF(D610="M","Male",IF(D610="F","Female","Check"))</f>
        <v>Female</v>
      </c>
      <c r="F610" s="4">
        <v>40000</v>
      </c>
      <c r="G610" t="str" s="8" cm="1">
        <f t="array" ref="G610">IF(F610="","Check","okay")</f>
        <v>okay</v>
      </c>
      <c r="H610" s="3">
        <v>3</v>
      </c>
      <c r="I610" t="s" s="2">
        <v>21</v>
      </c>
      <c r="J610" t="s" s="2">
        <v>22</v>
      </c>
      <c r="K610" t="s" s="2">
        <v>17</v>
      </c>
      <c r="L610" s="3">
        <v>1</v>
      </c>
      <c r="M610" t="s" s="2">
        <v>29</v>
      </c>
      <c r="N610" t="s" s="2">
        <v>35</v>
      </c>
      <c r="O610" s="3">
        <v>32</v>
      </c>
      <c r="P610" t="str" s="8" cm="1">
        <f t="array" ref="P610">IF(O610="","check","Okay")</f>
        <v>Okay</v>
      </c>
      <c r="Q610" t="str" s="8" cm="1">
        <f t="array" ref="Q610">IF(O610&lt;30,"UNDER 30",IF(O610&lt;=50,"30-50","Over 50"))</f>
        <v>30-50</v>
      </c>
      <c r="R610" t="s" s="2">
        <v>20</v>
      </c>
      <c r="S610" s="3" cm="1">
        <f t="array" ref="S610">COUNTIF(A2:A1001,A610)</f>
        <v>1</v>
      </c>
      <c r="T610" t="str" s="8" cm="1">
        <f t="array" ref="T610">IF(ISNUMBER(F610),"Ok","check")</f>
        <v>Ok</v>
      </c>
      <c r="U610" t="str" s="8" cm="1">
        <f t="array" ref="U610">IF(ISNUMBER(O610),"ok","check")</f>
        <v>ok</v>
      </c>
    </row>
    <row r="611" ht="13.55" customHeight="1">
      <c r="A611" s="3">
        <v>25329</v>
      </c>
      <c r="B611" t="s" s="2">
        <v>25</v>
      </c>
      <c r="C611" t="str" s="8" cm="1">
        <f t="array" ref="C611">IF(B611="M","Married","Single")</f>
        <v>Single</v>
      </c>
      <c r="D611" t="s" s="2">
        <v>14</v>
      </c>
      <c r="E611" t="str" s="8" cm="1">
        <f t="array" ref="E611">IF(D611="M","Male",IF(D611="F","Female","Check"))</f>
        <v>Female</v>
      </c>
      <c r="F611" s="4">
        <v>40000</v>
      </c>
      <c r="G611" t="str" s="8" cm="1">
        <f t="array" ref="G611">IF(F611="","Check","okay")</f>
        <v>okay</v>
      </c>
      <c r="H611" s="3">
        <v>3</v>
      </c>
      <c r="I611" t="s" s="2">
        <v>21</v>
      </c>
      <c r="J611" t="s" s="2">
        <v>22</v>
      </c>
      <c r="K611" t="s" s="2">
        <v>20</v>
      </c>
      <c r="L611" s="3">
        <v>2</v>
      </c>
      <c r="M611" t="s" s="2">
        <v>18</v>
      </c>
      <c r="N611" t="s" s="2">
        <v>35</v>
      </c>
      <c r="O611" s="3">
        <v>32</v>
      </c>
      <c r="P611" t="str" s="8" cm="1">
        <f t="array" ref="P611">IF(O611="","check","Okay")</f>
        <v>Okay</v>
      </c>
      <c r="Q611" t="str" s="8" cm="1">
        <f t="array" ref="Q611">IF(O611&lt;30,"UNDER 30",IF(O611&lt;=50,"30-50","Over 50"))</f>
        <v>30-50</v>
      </c>
      <c r="R611" t="s" s="2">
        <v>20</v>
      </c>
      <c r="S611" s="3" cm="1">
        <f t="array" ref="S611">COUNTIF(A2:A1001,A611)</f>
        <v>1</v>
      </c>
      <c r="T611" t="str" s="8" cm="1">
        <f t="array" ref="T611">IF(ISNUMBER(F611),"Ok","check")</f>
        <v>Ok</v>
      </c>
      <c r="U611" t="str" s="8" cm="1">
        <f t="array" ref="U611">IF(ISNUMBER(O611),"ok","check")</f>
        <v>ok</v>
      </c>
    </row>
    <row r="612" ht="13.55" customHeight="1">
      <c r="A612" s="3">
        <v>26984</v>
      </c>
      <c r="B612" t="s" s="2">
        <v>13</v>
      </c>
      <c r="C612" t="str" s="8" cm="1">
        <f t="array" ref="C612">IF(B612="M","Married","Single")</f>
        <v>Married</v>
      </c>
      <c r="D612" t="s" s="2">
        <v>13</v>
      </c>
      <c r="E612" t="str" s="8" cm="1">
        <f t="array" ref="E612">IF(D612="M","Male",IF(D612="F","Female","Check"))</f>
        <v>Male</v>
      </c>
      <c r="F612" s="4">
        <v>40000</v>
      </c>
      <c r="G612" t="str" s="8" cm="1">
        <f t="array" ref="G612">IF(F612="","Check","okay")</f>
        <v>okay</v>
      </c>
      <c r="H612" s="3">
        <v>1</v>
      </c>
      <c r="I612" t="s" s="2">
        <v>15</v>
      </c>
      <c r="J612" t="s" s="2">
        <v>16</v>
      </c>
      <c r="K612" t="s" s="2">
        <v>17</v>
      </c>
      <c r="L612" s="3">
        <v>1</v>
      </c>
      <c r="M612" t="s" s="2">
        <v>18</v>
      </c>
      <c r="N612" t="s" s="2">
        <v>19</v>
      </c>
      <c r="O612" s="3">
        <v>32</v>
      </c>
      <c r="P612" t="str" s="8" cm="1">
        <f t="array" ref="P612">IF(O612="","check","Okay")</f>
        <v>Okay</v>
      </c>
      <c r="Q612" t="str" s="8" cm="1">
        <f t="array" ref="Q612">IF(O612&lt;30,"UNDER 30",IF(O612&lt;=50,"30-50","Over 50"))</f>
        <v>30-50</v>
      </c>
      <c r="R612" t="s" s="2">
        <v>17</v>
      </c>
      <c r="S612" s="3" cm="1">
        <f t="array" ref="S612">COUNTIF(A2:A1001,A612)</f>
        <v>1</v>
      </c>
      <c r="T612" t="str" s="8" cm="1">
        <f t="array" ref="T612">IF(ISNUMBER(F612),"Ok","check")</f>
        <v>Ok</v>
      </c>
      <c r="U612" t="str" s="8" cm="1">
        <f t="array" ref="U612">IF(ISNUMBER(O612),"ok","check")</f>
        <v>ok</v>
      </c>
    </row>
    <row r="613" ht="13.55" customHeight="1">
      <c r="A613" s="3">
        <v>26219</v>
      </c>
      <c r="B613" t="s" s="2">
        <v>13</v>
      </c>
      <c r="C613" t="str" s="8" cm="1">
        <f t="array" ref="C613">IF(B613="M","Married","Single")</f>
        <v>Married</v>
      </c>
      <c r="D613" t="s" s="2">
        <v>14</v>
      </c>
      <c r="E613" t="str" s="8" cm="1">
        <f t="array" ref="E613">IF(D613="M","Male",IF(D613="F","Female","Check"))</f>
        <v>Female</v>
      </c>
      <c r="F613" s="4">
        <v>40000</v>
      </c>
      <c r="G613" t="str" s="8" cm="1">
        <f t="array" ref="G613">IF(F613="","Check","okay")</f>
        <v>okay</v>
      </c>
      <c r="H613" s="3">
        <v>1</v>
      </c>
      <c r="I613" t="s" s="2">
        <v>15</v>
      </c>
      <c r="J613" t="s" s="2">
        <v>16</v>
      </c>
      <c r="K613" t="s" s="2">
        <v>17</v>
      </c>
      <c r="L613" s="3">
        <v>1</v>
      </c>
      <c r="M613" t="s" s="2">
        <v>29</v>
      </c>
      <c r="N613" t="s" s="2">
        <v>19</v>
      </c>
      <c r="O613" s="3">
        <v>33</v>
      </c>
      <c r="P613" t="str" s="8" cm="1">
        <f t="array" ref="P613">IF(O613="","check","Okay")</f>
        <v>Okay</v>
      </c>
      <c r="Q613" t="str" s="8" cm="1">
        <f t="array" ref="Q613">IF(O613&lt;30,"UNDER 30",IF(O613&lt;=50,"30-50","Over 50"))</f>
        <v>30-50</v>
      </c>
      <c r="R613" t="s" s="2">
        <v>17</v>
      </c>
      <c r="S613" s="3" cm="1">
        <f t="array" ref="S613">COUNTIF(A2:A1001,A613)</f>
        <v>1</v>
      </c>
      <c r="T613" t="str" s="8" cm="1">
        <f t="array" ref="T613">IF(ISNUMBER(F613),"Ok","check")</f>
        <v>Ok</v>
      </c>
      <c r="U613" t="str" s="8" cm="1">
        <f t="array" ref="U613">IF(ISNUMBER(O613),"ok","check")</f>
        <v>ok</v>
      </c>
    </row>
    <row r="614" ht="13.55" customHeight="1">
      <c r="A614" s="3">
        <v>12744</v>
      </c>
      <c r="B614" t="s" s="2">
        <v>25</v>
      </c>
      <c r="C614" t="str" s="8" cm="1">
        <f t="array" ref="C614">IF(B614="M","Married","Single")</f>
        <v>Single</v>
      </c>
      <c r="D614" t="s" s="2">
        <v>14</v>
      </c>
      <c r="E614" t="str" s="8" cm="1">
        <f t="array" ref="E614">IF(D614="M","Male",IF(D614="F","Female","Check"))</f>
        <v>Female</v>
      </c>
      <c r="F614" s="4">
        <v>40000</v>
      </c>
      <c r="G614" t="str" s="8" cm="1">
        <f t="array" ref="G614">IF(F614="","Check","okay")</f>
        <v>okay</v>
      </c>
      <c r="H614" s="3">
        <v>2</v>
      </c>
      <c r="I614" t="s" s="2">
        <v>21</v>
      </c>
      <c r="J614" t="s" s="2">
        <v>22</v>
      </c>
      <c r="K614" t="s" s="2">
        <v>17</v>
      </c>
      <c r="L614" s="3">
        <v>0</v>
      </c>
      <c r="M614" t="s" s="2">
        <v>18</v>
      </c>
      <c r="N614" t="s" s="2">
        <v>19</v>
      </c>
      <c r="O614" s="3">
        <v>33</v>
      </c>
      <c r="P614" t="str" s="8" cm="1">
        <f t="array" ref="P614">IF(O614="","check","Okay")</f>
        <v>Okay</v>
      </c>
      <c r="Q614" t="str" s="8" cm="1">
        <f t="array" ref="Q614">IF(O614&lt;30,"UNDER 30",IF(O614&lt;=50,"30-50","Over 50"))</f>
        <v>30-50</v>
      </c>
      <c r="R614" t="s" s="2">
        <v>20</v>
      </c>
      <c r="S614" s="3" cm="1">
        <f t="array" ref="S614">COUNTIF(A2:A1001,A614)</f>
        <v>1</v>
      </c>
      <c r="T614" t="str" s="8" cm="1">
        <f t="array" ref="T614">IF(ISNUMBER(F614),"Ok","check")</f>
        <v>Ok</v>
      </c>
      <c r="U614" t="str" s="8" cm="1">
        <f t="array" ref="U614">IF(ISNUMBER(O614),"ok","check")</f>
        <v>ok</v>
      </c>
    </row>
    <row r="615" ht="13.55" customHeight="1">
      <c r="A615" s="3">
        <v>28564</v>
      </c>
      <c r="B615" t="s" s="2">
        <v>25</v>
      </c>
      <c r="C615" t="str" s="8" cm="1">
        <f t="array" ref="C615">IF(B615="M","Married","Single")</f>
        <v>Single</v>
      </c>
      <c r="D615" t="s" s="2">
        <v>14</v>
      </c>
      <c r="E615" t="str" s="8" cm="1">
        <f t="array" ref="E615">IF(D615="M","Male",IF(D615="F","Female","Check"))</f>
        <v>Female</v>
      </c>
      <c r="F615" s="4">
        <v>40000</v>
      </c>
      <c r="G615" t="str" s="8" cm="1">
        <f t="array" ref="G615">IF(F615="","Check","okay")</f>
        <v>okay</v>
      </c>
      <c r="H615" s="3">
        <v>2</v>
      </c>
      <c r="I615" t="s" s="2">
        <v>21</v>
      </c>
      <c r="J615" t="s" s="2">
        <v>22</v>
      </c>
      <c r="K615" t="s" s="2">
        <v>17</v>
      </c>
      <c r="L615" s="3">
        <v>0</v>
      </c>
      <c r="M615" t="s" s="2">
        <v>29</v>
      </c>
      <c r="N615" t="s" s="2">
        <v>19</v>
      </c>
      <c r="O615" s="3">
        <v>33</v>
      </c>
      <c r="P615" t="str" s="8" cm="1">
        <f t="array" ref="P615">IF(O615="","check","Okay")</f>
        <v>Okay</v>
      </c>
      <c r="Q615" t="str" s="8" cm="1">
        <f t="array" ref="Q615">IF(O615&lt;30,"UNDER 30",IF(O615&lt;=50,"30-50","Over 50"))</f>
        <v>30-50</v>
      </c>
      <c r="R615" t="s" s="2">
        <v>17</v>
      </c>
      <c r="S615" s="3" cm="1">
        <f t="array" ref="S615">COUNTIF(A2:A1001,A615)</f>
        <v>1</v>
      </c>
      <c r="T615" t="str" s="8" cm="1">
        <f t="array" ref="T615">IF(ISNUMBER(F615),"Ok","check")</f>
        <v>Ok</v>
      </c>
      <c r="U615" t="str" s="8" cm="1">
        <f t="array" ref="U615">IF(ISNUMBER(O615),"ok","check")</f>
        <v>ok</v>
      </c>
    </row>
    <row r="616" ht="13.55" customHeight="1">
      <c r="A616" s="3">
        <v>13687</v>
      </c>
      <c r="B616" t="s" s="2">
        <v>13</v>
      </c>
      <c r="C616" t="str" s="8" cm="1">
        <f t="array" ref="C616">IF(B616="M","Married","Single")</f>
        <v>Married</v>
      </c>
      <c r="D616" t="s" s="2">
        <v>13</v>
      </c>
      <c r="E616" t="str" s="8" cm="1">
        <f t="array" ref="E616">IF(D616="M","Male",IF(D616="F","Female","Check"))</f>
        <v>Male</v>
      </c>
      <c r="F616" s="4">
        <v>40000</v>
      </c>
      <c r="G616" t="str" s="8" cm="1">
        <f t="array" ref="G616">IF(F616="","Check","okay")</f>
        <v>okay</v>
      </c>
      <c r="H616" s="3">
        <v>1</v>
      </c>
      <c r="I616" t="s" s="2">
        <v>15</v>
      </c>
      <c r="J616" t="s" s="2">
        <v>16</v>
      </c>
      <c r="K616" t="s" s="2">
        <v>17</v>
      </c>
      <c r="L616" s="3">
        <v>1</v>
      </c>
      <c r="M616" t="s" s="2">
        <v>18</v>
      </c>
      <c r="N616" t="s" s="2">
        <v>19</v>
      </c>
      <c r="O616" s="3">
        <v>33</v>
      </c>
      <c r="P616" t="str" s="8" cm="1">
        <f t="array" ref="P616">IF(O616="","check","Okay")</f>
        <v>Okay</v>
      </c>
      <c r="Q616" t="str" s="8" cm="1">
        <f t="array" ref="Q616">IF(O616&lt;30,"UNDER 30",IF(O616&lt;=50,"30-50","Over 50"))</f>
        <v>30-50</v>
      </c>
      <c r="R616" t="s" s="2">
        <v>17</v>
      </c>
      <c r="S616" s="3" cm="1">
        <f t="array" ref="S616">COUNTIF(A2:A1001,A616)</f>
        <v>1</v>
      </c>
      <c r="T616" t="str" s="8" cm="1">
        <f t="array" ref="T616">IF(ISNUMBER(F616),"Ok","check")</f>
        <v>Ok</v>
      </c>
      <c r="U616" t="str" s="8" cm="1">
        <f t="array" ref="U616">IF(ISNUMBER(O616),"ok","check")</f>
        <v>ok</v>
      </c>
    </row>
    <row r="617" ht="13.55" customHeight="1">
      <c r="A617" s="3">
        <v>18626</v>
      </c>
      <c r="B617" t="s" s="2">
        <v>25</v>
      </c>
      <c r="C617" t="str" s="8" cm="1">
        <f t="array" ref="C617">IF(B617="M","Married","Single")</f>
        <v>Single</v>
      </c>
      <c r="D617" t="s" s="2">
        <v>13</v>
      </c>
      <c r="E617" t="str" s="8" cm="1">
        <f t="array" ref="E617">IF(D617="M","Male",IF(D617="F","Female","Check"))</f>
        <v>Male</v>
      </c>
      <c r="F617" s="4">
        <v>40000</v>
      </c>
      <c r="G617" t="str" s="8" cm="1">
        <f t="array" ref="G617">IF(F617="","Check","okay")</f>
        <v>okay</v>
      </c>
      <c r="H617" s="3">
        <v>2</v>
      </c>
      <c r="I617" t="s" s="2">
        <v>21</v>
      </c>
      <c r="J617" t="s" s="2">
        <v>22</v>
      </c>
      <c r="K617" t="s" s="2">
        <v>17</v>
      </c>
      <c r="L617" s="3">
        <v>0</v>
      </c>
      <c r="M617" t="s" s="2">
        <v>29</v>
      </c>
      <c r="N617" t="s" s="2">
        <v>19</v>
      </c>
      <c r="O617" s="3">
        <v>33</v>
      </c>
      <c r="P617" t="str" s="8" cm="1">
        <f t="array" ref="P617">IF(O617="","check","Okay")</f>
        <v>Okay</v>
      </c>
      <c r="Q617" t="str" s="8" cm="1">
        <f t="array" ref="Q617">IF(O617&lt;30,"UNDER 30",IF(O617&lt;=50,"30-50","Over 50"))</f>
        <v>30-50</v>
      </c>
      <c r="R617" t="s" s="2">
        <v>17</v>
      </c>
      <c r="S617" s="3" cm="1">
        <f t="array" ref="S617">COUNTIF(A2:A1001,A617)</f>
        <v>1</v>
      </c>
      <c r="T617" t="str" s="8" cm="1">
        <f t="array" ref="T617">IF(ISNUMBER(F617),"Ok","check")</f>
        <v>Ok</v>
      </c>
      <c r="U617" t="str" s="8" cm="1">
        <f t="array" ref="U617">IF(ISNUMBER(O617),"ok","check")</f>
        <v>ok</v>
      </c>
    </row>
    <row r="618" ht="13.55" customHeight="1">
      <c r="A618" s="3">
        <v>20729</v>
      </c>
      <c r="B618" t="s" s="2">
        <v>13</v>
      </c>
      <c r="C618" t="str" s="8" cm="1">
        <f t="array" ref="C618">IF(B618="M","Married","Single")</f>
        <v>Married</v>
      </c>
      <c r="D618" t="s" s="2">
        <v>14</v>
      </c>
      <c r="E618" t="str" s="8" cm="1">
        <f t="array" ref="E618">IF(D618="M","Male",IF(D618="F","Female","Check"))</f>
        <v>Female</v>
      </c>
      <c r="F618" s="4">
        <v>40000</v>
      </c>
      <c r="G618" t="str" s="8" cm="1">
        <f t="array" ref="G618">IF(F618="","Check","okay")</f>
        <v>okay</v>
      </c>
      <c r="H618" s="3">
        <v>2</v>
      </c>
      <c r="I618" t="s" s="2">
        <v>21</v>
      </c>
      <c r="J618" t="s" s="2">
        <v>22</v>
      </c>
      <c r="K618" t="s" s="2">
        <v>20</v>
      </c>
      <c r="L618" s="3">
        <v>1</v>
      </c>
      <c r="M618" t="s" s="2">
        <v>18</v>
      </c>
      <c r="N618" t="s" s="2">
        <v>19</v>
      </c>
      <c r="O618" s="3">
        <v>34</v>
      </c>
      <c r="P618" t="str" s="8" cm="1">
        <f t="array" ref="P618">IF(O618="","check","Okay")</f>
        <v>Okay</v>
      </c>
      <c r="Q618" t="str" s="8" cm="1">
        <f t="array" ref="Q618">IF(O618&lt;30,"UNDER 30",IF(O618&lt;=50,"30-50","Over 50"))</f>
        <v>30-50</v>
      </c>
      <c r="R618" t="s" s="2">
        <v>20</v>
      </c>
      <c r="S618" s="3" cm="1">
        <f t="array" ref="S618">COUNTIF(A2:A1001,A618)</f>
        <v>1</v>
      </c>
      <c r="T618" t="str" s="8" cm="1">
        <f t="array" ref="T618">IF(ISNUMBER(F618),"Ok","check")</f>
        <v>Ok</v>
      </c>
      <c r="U618" t="str" s="8" cm="1">
        <f t="array" ref="U618">IF(ISNUMBER(O618),"ok","check")</f>
        <v>ok</v>
      </c>
    </row>
    <row r="619" ht="13.55" customHeight="1">
      <c r="A619" s="3">
        <v>27184</v>
      </c>
      <c r="B619" t="s" s="2">
        <v>25</v>
      </c>
      <c r="C619" t="str" s="8" cm="1">
        <f t="array" ref="C619">IF(B619="M","Married","Single")</f>
        <v>Single</v>
      </c>
      <c r="D619" t="s" s="2">
        <v>13</v>
      </c>
      <c r="E619" t="str" s="8" cm="1">
        <f t="array" ref="E619">IF(D619="M","Male",IF(D619="F","Female","Check"))</f>
        <v>Male</v>
      </c>
      <c r="F619" s="4">
        <v>40000</v>
      </c>
      <c r="G619" t="str" s="8" cm="1">
        <f t="array" ref="G619">IF(F619="","Check","okay")</f>
        <v>okay</v>
      </c>
      <c r="H619" s="3">
        <v>2</v>
      </c>
      <c r="I619" t="s" s="2">
        <v>21</v>
      </c>
      <c r="J619" t="s" s="2">
        <v>22</v>
      </c>
      <c r="K619" t="s" s="2">
        <v>20</v>
      </c>
      <c r="L619" s="3">
        <v>1</v>
      </c>
      <c r="M619" t="s" s="2">
        <v>18</v>
      </c>
      <c r="N619" t="s" s="2">
        <v>19</v>
      </c>
      <c r="O619" s="3">
        <v>34</v>
      </c>
      <c r="P619" t="str" s="8" cm="1">
        <f t="array" ref="P619">IF(O619="","check","Okay")</f>
        <v>Okay</v>
      </c>
      <c r="Q619" t="str" s="8" cm="1">
        <f t="array" ref="Q619">IF(O619&lt;30,"UNDER 30",IF(O619&lt;=50,"30-50","Over 50"))</f>
        <v>30-50</v>
      </c>
      <c r="R619" t="s" s="2">
        <v>20</v>
      </c>
      <c r="S619" s="3" cm="1">
        <f t="array" ref="S619">COUNTIF(A2:A1001,A619)</f>
        <v>1</v>
      </c>
      <c r="T619" t="str" s="8" cm="1">
        <f t="array" ref="T619">IF(ISNUMBER(F619),"Ok","check")</f>
        <v>Ok</v>
      </c>
      <c r="U619" t="str" s="8" cm="1">
        <f t="array" ref="U619">IF(ISNUMBER(O619),"ok","check")</f>
        <v>ok</v>
      </c>
    </row>
    <row r="620" ht="13.55" customHeight="1">
      <c r="A620" s="3">
        <v>20053</v>
      </c>
      <c r="B620" t="s" s="2">
        <v>25</v>
      </c>
      <c r="C620" t="str" s="8" cm="1">
        <f t="array" ref="C620">IF(B620="M","Married","Single")</f>
        <v>Single</v>
      </c>
      <c r="D620" t="s" s="2">
        <v>13</v>
      </c>
      <c r="E620" t="str" s="8" cm="1">
        <f t="array" ref="E620">IF(D620="M","Male",IF(D620="F","Female","Check"))</f>
        <v>Male</v>
      </c>
      <c r="F620" s="4">
        <v>40000</v>
      </c>
      <c r="G620" t="str" s="8" cm="1">
        <f t="array" ref="G620">IF(F620="","Check","okay")</f>
        <v>okay</v>
      </c>
      <c r="H620" s="3">
        <v>2</v>
      </c>
      <c r="I620" t="s" s="2">
        <v>21</v>
      </c>
      <c r="J620" t="s" s="2">
        <v>22</v>
      </c>
      <c r="K620" t="s" s="2">
        <v>17</v>
      </c>
      <c r="L620" s="3">
        <v>0</v>
      </c>
      <c r="M620" t="s" s="2">
        <v>18</v>
      </c>
      <c r="N620" t="s" s="2">
        <v>19</v>
      </c>
      <c r="O620" s="3">
        <v>34</v>
      </c>
      <c r="P620" t="str" s="8" cm="1">
        <f t="array" ref="P620">IF(O620="","check","Okay")</f>
        <v>Okay</v>
      </c>
      <c r="Q620" t="str" s="8" cm="1">
        <f t="array" ref="Q620">IF(O620&lt;30,"UNDER 30",IF(O620&lt;=50,"30-50","Over 50"))</f>
        <v>30-50</v>
      </c>
      <c r="R620" t="s" s="2">
        <v>20</v>
      </c>
      <c r="S620" s="3" cm="1">
        <f t="array" ref="S620">COUNTIF(A2:A1001,A620)</f>
        <v>1</v>
      </c>
      <c r="T620" t="str" s="8" cm="1">
        <f t="array" ref="T620">IF(ISNUMBER(F620),"Ok","check")</f>
        <v>Ok</v>
      </c>
      <c r="U620" t="str" s="8" cm="1">
        <f t="array" ref="U620">IF(ISNUMBER(O620),"ok","check")</f>
        <v>ok</v>
      </c>
    </row>
    <row r="621" ht="13.55" customHeight="1">
      <c r="A621" s="3">
        <v>17960</v>
      </c>
      <c r="B621" t="s" s="2">
        <v>13</v>
      </c>
      <c r="C621" t="str" s="8" cm="1">
        <f t="array" ref="C621">IF(B621="M","Married","Single")</f>
        <v>Married</v>
      </c>
      <c r="D621" t="s" s="2">
        <v>14</v>
      </c>
      <c r="E621" t="str" s="8" cm="1">
        <f t="array" ref="E621">IF(D621="M","Male",IF(D621="F","Female","Check"))</f>
        <v>Female</v>
      </c>
      <c r="F621" s="4">
        <v>40000</v>
      </c>
      <c r="G621" t="str" s="8" cm="1">
        <f t="array" ref="G621">IF(F621="","Check","okay")</f>
        <v>okay</v>
      </c>
      <c r="H621" s="3">
        <v>0</v>
      </c>
      <c r="I621" t="s" s="2">
        <v>34</v>
      </c>
      <c r="J621" t="s" s="2">
        <v>22</v>
      </c>
      <c r="K621" t="s" s="2">
        <v>17</v>
      </c>
      <c r="L621" s="3">
        <v>0</v>
      </c>
      <c r="M621" t="s" s="2">
        <v>18</v>
      </c>
      <c r="N621" t="s" s="2">
        <v>19</v>
      </c>
      <c r="O621" s="3">
        <v>35</v>
      </c>
      <c r="P621" t="str" s="8" cm="1">
        <f t="array" ref="P621">IF(O621="","check","Okay")</f>
        <v>Okay</v>
      </c>
      <c r="Q621" t="str" s="8" cm="1">
        <f t="array" ref="Q621">IF(O621&lt;30,"UNDER 30",IF(O621&lt;=50,"30-50","Over 50"))</f>
        <v>30-50</v>
      </c>
      <c r="R621" t="s" s="2">
        <v>17</v>
      </c>
      <c r="S621" s="3" cm="1">
        <f t="array" ref="S621">COUNTIF(A2:A1001,A621)</f>
        <v>1</v>
      </c>
      <c r="T621" t="str" s="8" cm="1">
        <f t="array" ref="T621">IF(ISNUMBER(F621),"Ok","check")</f>
        <v>Ok</v>
      </c>
      <c r="U621" t="str" s="8" cm="1">
        <f t="array" ref="U621">IF(ISNUMBER(O621),"ok","check")</f>
        <v>ok</v>
      </c>
    </row>
    <row r="622" ht="13.55" customHeight="1">
      <c r="A622" s="3">
        <v>17650</v>
      </c>
      <c r="B622" t="s" s="2">
        <v>25</v>
      </c>
      <c r="C622" t="str" s="8" cm="1">
        <f t="array" ref="C622">IF(B622="M","Married","Single")</f>
        <v>Single</v>
      </c>
      <c r="D622" t="s" s="2">
        <v>14</v>
      </c>
      <c r="E622" t="str" s="8" cm="1">
        <f t="array" ref="E622">IF(D622="M","Male",IF(D622="F","Female","Check"))</f>
        <v>Female</v>
      </c>
      <c r="F622" s="4">
        <v>40000</v>
      </c>
      <c r="G622" t="str" s="8" cm="1">
        <f t="array" ref="G622">IF(F622="","Check","okay")</f>
        <v>okay</v>
      </c>
      <c r="H622" s="3">
        <v>2</v>
      </c>
      <c r="I622" t="s" s="2">
        <v>21</v>
      </c>
      <c r="J622" t="s" s="2">
        <v>22</v>
      </c>
      <c r="K622" t="s" s="2">
        <v>17</v>
      </c>
      <c r="L622" s="3">
        <v>2</v>
      </c>
      <c r="M622" t="s" s="2">
        <v>29</v>
      </c>
      <c r="N622" t="s" s="2">
        <v>19</v>
      </c>
      <c r="O622" s="3">
        <v>35</v>
      </c>
      <c r="P622" t="str" s="8" cm="1">
        <f t="array" ref="P622">IF(O622="","check","Okay")</f>
        <v>Okay</v>
      </c>
      <c r="Q622" t="str" s="8" cm="1">
        <f t="array" ref="Q622">IF(O622&lt;30,"UNDER 30",IF(O622&lt;=50,"30-50","Over 50"))</f>
        <v>30-50</v>
      </c>
      <c r="R622" t="s" s="2">
        <v>20</v>
      </c>
      <c r="S622" s="3" cm="1">
        <f t="array" ref="S622">COUNTIF(A2:A1001,A622)</f>
        <v>1</v>
      </c>
      <c r="T622" t="str" s="8" cm="1">
        <f t="array" ref="T622">IF(ISNUMBER(F622),"Ok","check")</f>
        <v>Ok</v>
      </c>
      <c r="U622" t="str" s="8" cm="1">
        <f t="array" ref="U622">IF(ISNUMBER(O622),"ok","check")</f>
        <v>ok</v>
      </c>
    </row>
    <row r="623" ht="13.55" customHeight="1">
      <c r="A623" s="3">
        <v>25323</v>
      </c>
      <c r="B623" t="s" s="2">
        <v>13</v>
      </c>
      <c r="C623" t="str" s="8" cm="1">
        <f t="array" ref="C623">IF(B623="M","Married","Single")</f>
        <v>Married</v>
      </c>
      <c r="D623" t="s" s="2">
        <v>13</v>
      </c>
      <c r="E623" t="str" s="8" cm="1">
        <f t="array" ref="E623">IF(D623="M","Male",IF(D623="F","Female","Check"))</f>
        <v>Male</v>
      </c>
      <c r="F623" s="4">
        <v>40000</v>
      </c>
      <c r="G623" t="str" s="8" cm="1">
        <f t="array" ref="G623">IF(F623="","Check","okay")</f>
        <v>okay</v>
      </c>
      <c r="H623" s="3">
        <v>2</v>
      </c>
      <c r="I623" t="s" s="2">
        <v>21</v>
      </c>
      <c r="J623" t="s" s="2">
        <v>22</v>
      </c>
      <c r="K623" t="s" s="2">
        <v>17</v>
      </c>
      <c r="L623" s="3">
        <v>1</v>
      </c>
      <c r="M623" t="s" s="2">
        <v>29</v>
      </c>
      <c r="N623" t="s" s="2">
        <v>19</v>
      </c>
      <c r="O623" s="3">
        <v>35</v>
      </c>
      <c r="P623" t="str" s="8" cm="1">
        <f t="array" ref="P623">IF(O623="","check","Okay")</f>
        <v>Okay</v>
      </c>
      <c r="Q623" t="str" s="8" cm="1">
        <f t="array" ref="Q623">IF(O623&lt;30,"UNDER 30",IF(O623&lt;=50,"30-50","Over 50"))</f>
        <v>30-50</v>
      </c>
      <c r="R623" t="s" s="2">
        <v>17</v>
      </c>
      <c r="S623" s="3" cm="1">
        <f t="array" ref="S623">COUNTIF(A2:A1001,A623)</f>
        <v>1</v>
      </c>
      <c r="T623" t="str" s="8" cm="1">
        <f t="array" ref="T623">IF(ISNUMBER(F623),"Ok","check")</f>
        <v>Ok</v>
      </c>
      <c r="U623" t="str" s="8" cm="1">
        <f t="array" ref="U623">IF(ISNUMBER(O623),"ok","check")</f>
        <v>ok</v>
      </c>
    </row>
    <row r="624" ht="13.55" customHeight="1">
      <c r="A624" s="3">
        <v>28758</v>
      </c>
      <c r="B624" t="s" s="2">
        <v>13</v>
      </c>
      <c r="C624" t="str" s="8" cm="1">
        <f t="array" ref="C624">IF(B624="M","Married","Single")</f>
        <v>Married</v>
      </c>
      <c r="D624" t="s" s="2">
        <v>13</v>
      </c>
      <c r="E624" t="str" s="8" cm="1">
        <f t="array" ref="E624">IF(D624="M","Male",IF(D624="F","Female","Check"))</f>
        <v>Male</v>
      </c>
      <c r="F624" s="4">
        <v>40000</v>
      </c>
      <c r="G624" t="str" s="8" cm="1">
        <f t="array" ref="G624">IF(F624="","Check","okay")</f>
        <v>okay</v>
      </c>
      <c r="H624" s="3">
        <v>2</v>
      </c>
      <c r="I624" t="s" s="2">
        <v>21</v>
      </c>
      <c r="J624" t="s" s="2">
        <v>22</v>
      </c>
      <c r="K624" t="s" s="2">
        <v>17</v>
      </c>
      <c r="L624" s="3">
        <v>1</v>
      </c>
      <c r="M624" t="s" s="2">
        <v>29</v>
      </c>
      <c r="N624" t="s" s="2">
        <v>19</v>
      </c>
      <c r="O624" s="3">
        <v>35</v>
      </c>
      <c r="P624" t="str" s="8" cm="1">
        <f t="array" ref="P624">IF(O624="","check","Okay")</f>
        <v>Okay</v>
      </c>
      <c r="Q624" t="str" s="8" cm="1">
        <f t="array" ref="Q624">IF(O624&lt;30,"UNDER 30",IF(O624&lt;=50,"30-50","Over 50"))</f>
        <v>30-50</v>
      </c>
      <c r="R624" t="s" s="2">
        <v>17</v>
      </c>
      <c r="S624" s="3" cm="1">
        <f t="array" ref="S624">COUNTIF(A2:A1001,A624)</f>
        <v>1</v>
      </c>
      <c r="T624" t="str" s="8" cm="1">
        <f t="array" ref="T624">IF(ISNUMBER(F624),"Ok","check")</f>
        <v>Ok</v>
      </c>
      <c r="U624" t="str" s="8" cm="1">
        <f t="array" ref="U624">IF(ISNUMBER(O624),"ok","check")</f>
        <v>ok</v>
      </c>
    </row>
    <row r="625" ht="13.55" customHeight="1">
      <c r="A625" s="3">
        <v>19193</v>
      </c>
      <c r="B625" t="s" s="2">
        <v>25</v>
      </c>
      <c r="C625" t="str" s="8" cm="1">
        <f t="array" ref="C625">IF(B625="M","Married","Single")</f>
        <v>Single</v>
      </c>
      <c r="D625" t="s" s="2">
        <v>13</v>
      </c>
      <c r="E625" t="str" s="8" cm="1">
        <f t="array" ref="E625">IF(D625="M","Male",IF(D625="F","Female","Check"))</f>
        <v>Male</v>
      </c>
      <c r="F625" s="4">
        <v>40000</v>
      </c>
      <c r="G625" t="str" s="8" cm="1">
        <f t="array" ref="G625">IF(F625="","Check","okay")</f>
        <v>okay</v>
      </c>
      <c r="H625" s="3">
        <v>2</v>
      </c>
      <c r="I625" t="s" s="2">
        <v>21</v>
      </c>
      <c r="J625" t="s" s="2">
        <v>22</v>
      </c>
      <c r="K625" t="s" s="2">
        <v>17</v>
      </c>
      <c r="L625" s="3">
        <v>0</v>
      </c>
      <c r="M625" t="s" s="2">
        <v>29</v>
      </c>
      <c r="N625" t="s" s="2">
        <v>19</v>
      </c>
      <c r="O625" s="3">
        <v>35</v>
      </c>
      <c r="P625" t="str" s="8" cm="1">
        <f t="array" ref="P625">IF(O625="","check","Okay")</f>
        <v>Okay</v>
      </c>
      <c r="Q625" t="str" s="8" cm="1">
        <f t="array" ref="Q625">IF(O625&lt;30,"UNDER 30",IF(O625&lt;=50,"30-50","Over 50"))</f>
        <v>30-50</v>
      </c>
      <c r="R625" t="s" s="2">
        <v>17</v>
      </c>
      <c r="S625" s="3" cm="1">
        <f t="array" ref="S625">COUNTIF(A2:A1001,A625)</f>
        <v>1</v>
      </c>
      <c r="T625" t="str" s="8" cm="1">
        <f t="array" ref="T625">IF(ISNUMBER(F625),"Ok","check")</f>
        <v>Ok</v>
      </c>
      <c r="U625" t="str" s="8" cm="1">
        <f t="array" ref="U625">IF(ISNUMBER(O625),"ok","check")</f>
        <v>ok</v>
      </c>
    </row>
    <row r="626" ht="13.55" customHeight="1">
      <c r="A626" s="3">
        <v>27183</v>
      </c>
      <c r="B626" t="s" s="2">
        <v>25</v>
      </c>
      <c r="C626" t="str" s="8" cm="1">
        <f t="array" ref="C626">IF(B626="M","Married","Single")</f>
        <v>Single</v>
      </c>
      <c r="D626" t="s" s="2">
        <v>13</v>
      </c>
      <c r="E626" t="str" s="8" cm="1">
        <f t="array" ref="E626">IF(D626="M","Male",IF(D626="F","Female","Check"))</f>
        <v>Male</v>
      </c>
      <c r="F626" s="4">
        <v>40000</v>
      </c>
      <c r="G626" t="str" s="8" cm="1">
        <f t="array" ref="G626">IF(F626="","Check","okay")</f>
        <v>okay</v>
      </c>
      <c r="H626" s="3">
        <v>2</v>
      </c>
      <c r="I626" t="s" s="2">
        <v>21</v>
      </c>
      <c r="J626" t="s" s="2">
        <v>22</v>
      </c>
      <c r="K626" t="s" s="2">
        <v>17</v>
      </c>
      <c r="L626" s="3">
        <v>1</v>
      </c>
      <c r="M626" t="s" s="2">
        <v>29</v>
      </c>
      <c r="N626" t="s" s="2">
        <v>19</v>
      </c>
      <c r="O626" s="3">
        <v>35</v>
      </c>
      <c r="P626" t="str" s="8" cm="1">
        <f t="array" ref="P626">IF(O626="","check","Okay")</f>
        <v>Okay</v>
      </c>
      <c r="Q626" t="str" s="8" cm="1">
        <f t="array" ref="Q626">IF(O626&lt;30,"UNDER 30",IF(O626&lt;=50,"30-50","Over 50"))</f>
        <v>30-50</v>
      </c>
      <c r="R626" t="s" s="2">
        <v>17</v>
      </c>
      <c r="S626" s="3" cm="1">
        <f t="array" ref="S626">COUNTIF(A2:A1001,A626)</f>
        <v>1</v>
      </c>
      <c r="T626" t="str" s="8" cm="1">
        <f t="array" ref="T626">IF(ISNUMBER(F626),"Ok","check")</f>
        <v>Ok</v>
      </c>
      <c r="U626" t="str" s="8" cm="1">
        <f t="array" ref="U626">IF(ISNUMBER(O626),"ok","check")</f>
        <v>ok</v>
      </c>
    </row>
    <row r="627" ht="13.55" customHeight="1">
      <c r="A627" s="3">
        <v>25598</v>
      </c>
      <c r="B627" t="s" s="2">
        <v>13</v>
      </c>
      <c r="C627" t="str" s="8" cm="1">
        <f t="array" ref="C627">IF(B627="M","Married","Single")</f>
        <v>Married</v>
      </c>
      <c r="D627" t="s" s="2">
        <v>14</v>
      </c>
      <c r="E627" t="str" s="8" cm="1">
        <f t="array" ref="E627">IF(D627="M","Male",IF(D627="F","Female","Check"))</f>
        <v>Female</v>
      </c>
      <c r="F627" s="4">
        <v>40000</v>
      </c>
      <c r="G627" t="str" s="8" cm="1">
        <f t="array" ref="G627">IF(F627="","Check","okay")</f>
        <v>okay</v>
      </c>
      <c r="H627" s="3">
        <v>0</v>
      </c>
      <c r="I627" t="s" s="2">
        <v>34</v>
      </c>
      <c r="J627" t="s" s="2">
        <v>22</v>
      </c>
      <c r="K627" t="s" s="2">
        <v>17</v>
      </c>
      <c r="L627" s="3">
        <v>0</v>
      </c>
      <c r="M627" t="s" s="2">
        <v>18</v>
      </c>
      <c r="N627" t="s" s="2">
        <v>19</v>
      </c>
      <c r="O627" s="3">
        <v>36</v>
      </c>
      <c r="P627" t="str" s="8" cm="1">
        <f t="array" ref="P627">IF(O627="","check","Okay")</f>
        <v>Okay</v>
      </c>
      <c r="Q627" t="str" s="8" cm="1">
        <f t="array" ref="Q627">IF(O627&lt;30,"UNDER 30",IF(O627&lt;=50,"30-50","Over 50"))</f>
        <v>30-50</v>
      </c>
      <c r="R627" t="s" s="2">
        <v>17</v>
      </c>
      <c r="S627" s="3" cm="1">
        <f t="array" ref="S627">COUNTIF(A2:A1001,A627)</f>
        <v>1</v>
      </c>
      <c r="T627" t="str" s="8" cm="1">
        <f t="array" ref="T627">IF(ISNUMBER(F627),"Ok","check")</f>
        <v>Ok</v>
      </c>
      <c r="U627" t="str" s="8" cm="1">
        <f t="array" ref="U627">IF(ISNUMBER(O627),"ok","check")</f>
        <v>ok</v>
      </c>
    </row>
    <row r="628" ht="13.55" customHeight="1">
      <c r="A628" s="3">
        <v>27261</v>
      </c>
      <c r="B628" t="s" s="2">
        <v>13</v>
      </c>
      <c r="C628" t="str" s="8" cm="1">
        <f t="array" ref="C628">IF(B628="M","Married","Single")</f>
        <v>Married</v>
      </c>
      <c r="D628" t="s" s="2">
        <v>13</v>
      </c>
      <c r="E628" t="str" s="8" cm="1">
        <f t="array" ref="E628">IF(D628="M","Male",IF(D628="F","Female","Check"))</f>
        <v>Male</v>
      </c>
      <c r="F628" s="4">
        <v>40000</v>
      </c>
      <c r="G628" t="str" s="8" cm="1">
        <f t="array" ref="G628">IF(F628="","Check","okay")</f>
        <v>okay</v>
      </c>
      <c r="H628" s="3">
        <v>1</v>
      </c>
      <c r="I628" t="s" s="2">
        <v>15</v>
      </c>
      <c r="J628" t="s" s="2">
        <v>16</v>
      </c>
      <c r="K628" t="s" s="2">
        <v>20</v>
      </c>
      <c r="L628" s="3">
        <v>1</v>
      </c>
      <c r="M628" t="s" s="2">
        <v>18</v>
      </c>
      <c r="N628" t="s" s="2">
        <v>35</v>
      </c>
      <c r="O628" s="3">
        <v>36</v>
      </c>
      <c r="P628" t="str" s="8" cm="1">
        <f t="array" ref="P628">IF(O628="","check","Okay")</f>
        <v>Okay</v>
      </c>
      <c r="Q628" t="str" s="8" cm="1">
        <f t="array" ref="Q628">IF(O628&lt;30,"UNDER 30",IF(O628&lt;=50,"30-50","Over 50"))</f>
        <v>30-50</v>
      </c>
      <c r="R628" t="s" s="2">
        <v>17</v>
      </c>
      <c r="S628" s="3" cm="1">
        <f t="array" ref="S628">COUNTIF(A2:A1001,A628)</f>
        <v>1</v>
      </c>
      <c r="T628" t="str" s="8" cm="1">
        <f t="array" ref="T628">IF(ISNUMBER(F628),"Ok","check")</f>
        <v>Ok</v>
      </c>
      <c r="U628" t="str" s="8" cm="1">
        <f t="array" ref="U628">IF(ISNUMBER(O628),"ok","check")</f>
        <v>ok</v>
      </c>
    </row>
    <row r="629" ht="13.55" customHeight="1">
      <c r="A629" s="3">
        <v>11644</v>
      </c>
      <c r="B629" t="s" s="2">
        <v>25</v>
      </c>
      <c r="C629" t="str" s="8" cm="1">
        <f t="array" ref="C629">IF(B629="M","Married","Single")</f>
        <v>Single</v>
      </c>
      <c r="D629" t="s" s="2">
        <v>13</v>
      </c>
      <c r="E629" t="str" s="8" cm="1">
        <f t="array" ref="E629">IF(D629="M","Male",IF(D629="F","Female","Check"))</f>
        <v>Male</v>
      </c>
      <c r="F629" s="4">
        <v>40000</v>
      </c>
      <c r="G629" t="str" s="8" cm="1">
        <f t="array" ref="G629">IF(F629="","Check","okay")</f>
        <v>okay</v>
      </c>
      <c r="H629" s="3">
        <v>2</v>
      </c>
      <c r="I629" t="s" s="2">
        <v>15</v>
      </c>
      <c r="J629" t="s" s="2">
        <v>16</v>
      </c>
      <c r="K629" t="s" s="2">
        <v>17</v>
      </c>
      <c r="L629" s="3">
        <v>0</v>
      </c>
      <c r="M629" t="s" s="2">
        <v>24</v>
      </c>
      <c r="N629" t="s" s="2">
        <v>35</v>
      </c>
      <c r="O629" s="3">
        <v>36</v>
      </c>
      <c r="P629" t="str" s="8" cm="1">
        <f t="array" ref="P629">IF(O629="","check","Okay")</f>
        <v>Okay</v>
      </c>
      <c r="Q629" t="str" s="8" cm="1">
        <f t="array" ref="Q629">IF(O629&lt;30,"UNDER 30",IF(O629&lt;=50,"30-50","Over 50"))</f>
        <v>30-50</v>
      </c>
      <c r="R629" t="s" s="2">
        <v>20</v>
      </c>
      <c r="S629" s="3" cm="1">
        <f t="array" ref="S629">COUNTIF(A2:A1001,A629)</f>
        <v>1</v>
      </c>
      <c r="T629" t="str" s="8" cm="1">
        <f t="array" ref="T629">IF(ISNUMBER(F629),"Ok","check")</f>
        <v>Ok</v>
      </c>
      <c r="U629" t="str" s="8" cm="1">
        <f t="array" ref="U629">IF(ISNUMBER(O629),"ok","check")</f>
        <v>ok</v>
      </c>
    </row>
    <row r="630" ht="13.55" customHeight="1">
      <c r="A630" s="3">
        <v>14865</v>
      </c>
      <c r="B630" t="s" s="2">
        <v>25</v>
      </c>
      <c r="C630" t="str" s="8" cm="1">
        <f t="array" ref="C630">IF(B630="M","Married","Single")</f>
        <v>Single</v>
      </c>
      <c r="D630" t="s" s="2">
        <v>13</v>
      </c>
      <c r="E630" t="str" s="8" cm="1">
        <f t="array" ref="E630">IF(D630="M","Male",IF(D630="F","Female","Check"))</f>
        <v>Male</v>
      </c>
      <c r="F630" s="4">
        <v>40000</v>
      </c>
      <c r="G630" t="str" s="8" cm="1">
        <f t="array" ref="G630">IF(F630="","Check","okay")</f>
        <v>okay</v>
      </c>
      <c r="H630" s="3">
        <v>2</v>
      </c>
      <c r="I630" t="s" s="2">
        <v>21</v>
      </c>
      <c r="J630" t="s" s="2">
        <v>22</v>
      </c>
      <c r="K630" t="s" s="2">
        <v>17</v>
      </c>
      <c r="L630" s="3">
        <v>2</v>
      </c>
      <c r="M630" t="s" s="2">
        <v>29</v>
      </c>
      <c r="N630" t="s" s="2">
        <v>19</v>
      </c>
      <c r="O630" s="3">
        <v>36</v>
      </c>
      <c r="P630" t="str" s="8" cm="1">
        <f t="array" ref="P630">IF(O630="","check","Okay")</f>
        <v>Okay</v>
      </c>
      <c r="Q630" t="str" s="8" cm="1">
        <f t="array" ref="Q630">IF(O630&lt;30,"UNDER 30",IF(O630&lt;=50,"30-50","Over 50"))</f>
        <v>30-50</v>
      </c>
      <c r="R630" t="s" s="2">
        <v>20</v>
      </c>
      <c r="S630" s="3" cm="1">
        <f t="array" ref="S630">COUNTIF(A2:A1001,A630)</f>
        <v>1</v>
      </c>
      <c r="T630" t="str" s="8" cm="1">
        <f t="array" ref="T630">IF(ISNUMBER(F630),"Ok","check")</f>
        <v>Ok</v>
      </c>
      <c r="U630" t="str" s="8" cm="1">
        <f t="array" ref="U630">IF(ISNUMBER(O630),"ok","check")</f>
        <v>ok</v>
      </c>
    </row>
    <row r="631" ht="13.55" customHeight="1">
      <c r="A631" s="3">
        <v>23780</v>
      </c>
      <c r="B631" t="s" s="2">
        <v>25</v>
      </c>
      <c r="C631" t="str" s="8" cm="1">
        <f t="array" ref="C631">IF(B631="M","Married","Single")</f>
        <v>Single</v>
      </c>
      <c r="D631" t="s" s="2">
        <v>13</v>
      </c>
      <c r="E631" t="str" s="8" cm="1">
        <f t="array" ref="E631">IF(D631="M","Male",IF(D631="F","Female","Check"))</f>
        <v>Male</v>
      </c>
      <c r="F631" s="4">
        <v>40000</v>
      </c>
      <c r="G631" t="str" s="8" cm="1">
        <f t="array" ref="G631">IF(F631="","Check","okay")</f>
        <v>okay</v>
      </c>
      <c r="H631" s="3">
        <v>2</v>
      </c>
      <c r="I631" t="s" s="2">
        <v>21</v>
      </c>
      <c r="J631" t="s" s="2">
        <v>22</v>
      </c>
      <c r="K631" t="s" s="2">
        <v>20</v>
      </c>
      <c r="L631" s="3">
        <v>2</v>
      </c>
      <c r="M631" t="s" s="2">
        <v>18</v>
      </c>
      <c r="N631" t="s" s="2">
        <v>19</v>
      </c>
      <c r="O631" s="3">
        <v>36</v>
      </c>
      <c r="P631" t="str" s="8" cm="1">
        <f t="array" ref="P631">IF(O631="","check","Okay")</f>
        <v>Okay</v>
      </c>
      <c r="Q631" t="str" s="8" cm="1">
        <f t="array" ref="Q631">IF(O631&lt;30,"UNDER 30",IF(O631&lt;=50,"30-50","Over 50"))</f>
        <v>30-50</v>
      </c>
      <c r="R631" t="s" s="2">
        <v>17</v>
      </c>
      <c r="S631" s="3" cm="1">
        <f t="array" ref="S631">COUNTIF(A2:A1001,A631)</f>
        <v>1</v>
      </c>
      <c r="T631" t="str" s="8" cm="1">
        <f t="array" ref="T631">IF(ISNUMBER(F631),"Ok","check")</f>
        <v>Ok</v>
      </c>
      <c r="U631" t="str" s="8" cm="1">
        <f t="array" ref="U631">IF(ISNUMBER(O631),"ok","check")</f>
        <v>ok</v>
      </c>
    </row>
    <row r="632" ht="13.55" customHeight="1">
      <c r="A632" s="3">
        <v>28521</v>
      </c>
      <c r="B632" t="s" s="2">
        <v>25</v>
      </c>
      <c r="C632" t="str" s="8" cm="1">
        <f t="array" ref="C632">IF(B632="M","Married","Single")</f>
        <v>Single</v>
      </c>
      <c r="D632" t="s" s="2">
        <v>13</v>
      </c>
      <c r="E632" t="str" s="8" cm="1">
        <f t="array" ref="E632">IF(D632="M","Male",IF(D632="F","Female","Check"))</f>
        <v>Male</v>
      </c>
      <c r="F632" s="4">
        <v>40000</v>
      </c>
      <c r="G632" t="str" s="8" cm="1">
        <f t="array" ref="G632">IF(F632="","Check","okay")</f>
        <v>okay</v>
      </c>
      <c r="H632" s="3">
        <v>0</v>
      </c>
      <c r="I632" t="s" s="2">
        <v>34</v>
      </c>
      <c r="J632" t="s" s="2">
        <v>22</v>
      </c>
      <c r="K632" t="s" s="2">
        <v>20</v>
      </c>
      <c r="L632" s="3">
        <v>0</v>
      </c>
      <c r="M632" t="s" s="2">
        <v>18</v>
      </c>
      <c r="N632" t="s" s="2">
        <v>19</v>
      </c>
      <c r="O632" s="3">
        <v>36</v>
      </c>
      <c r="P632" t="str" s="8" cm="1">
        <f t="array" ref="P632">IF(O632="","check","Okay")</f>
        <v>Okay</v>
      </c>
      <c r="Q632" t="str" s="8" cm="1">
        <f t="array" ref="Q632">IF(O632&lt;30,"UNDER 30",IF(O632&lt;=50,"30-50","Over 50"))</f>
        <v>30-50</v>
      </c>
      <c r="R632" t="s" s="2">
        <v>17</v>
      </c>
      <c r="S632" s="3" cm="1">
        <f t="array" ref="S632">COUNTIF(A2:A1001,A632)</f>
        <v>1</v>
      </c>
      <c r="T632" t="str" s="8" cm="1">
        <f t="array" ref="T632">IF(ISNUMBER(F632),"Ok","check")</f>
        <v>Ok</v>
      </c>
      <c r="U632" t="str" s="8" cm="1">
        <f t="array" ref="U632">IF(ISNUMBER(O632),"ok","check")</f>
        <v>ok</v>
      </c>
    </row>
    <row r="633" ht="13.55" customHeight="1">
      <c r="A633" s="3">
        <v>29355</v>
      </c>
      <c r="B633" t="s" s="2">
        <v>13</v>
      </c>
      <c r="C633" t="str" s="8" cm="1">
        <f t="array" ref="C633">IF(B633="M","Married","Single")</f>
        <v>Married</v>
      </c>
      <c r="D633" t="s" s="2">
        <v>14</v>
      </c>
      <c r="E633" t="str" s="8" cm="1">
        <f t="array" ref="E633">IF(D633="M","Male",IF(D633="F","Female","Check"))</f>
        <v>Female</v>
      </c>
      <c r="F633" s="4">
        <v>40000</v>
      </c>
      <c r="G633" t="str" s="8" cm="1">
        <f t="array" ref="G633">IF(F633="","Check","okay")</f>
        <v>okay</v>
      </c>
      <c r="H633" s="3">
        <v>0</v>
      </c>
      <c r="I633" t="s" s="2">
        <v>34</v>
      </c>
      <c r="J633" t="s" s="2">
        <v>22</v>
      </c>
      <c r="K633" t="s" s="2">
        <v>17</v>
      </c>
      <c r="L633" s="3">
        <v>0</v>
      </c>
      <c r="M633" t="s" s="2">
        <v>18</v>
      </c>
      <c r="N633" t="s" s="2">
        <v>19</v>
      </c>
      <c r="O633" s="3">
        <v>37</v>
      </c>
      <c r="P633" t="str" s="8" cm="1">
        <f t="array" ref="P633">IF(O633="","check","Okay")</f>
        <v>Okay</v>
      </c>
      <c r="Q633" t="str" s="8" cm="1">
        <f t="array" ref="Q633">IF(O633&lt;30,"UNDER 30",IF(O633&lt;=50,"30-50","Over 50"))</f>
        <v>30-50</v>
      </c>
      <c r="R633" t="s" s="2">
        <v>17</v>
      </c>
      <c r="S633" s="3" cm="1">
        <f t="array" ref="S633">COUNTIF(A2:A1001,A633)</f>
        <v>1</v>
      </c>
      <c r="T633" t="str" s="8" cm="1">
        <f t="array" ref="T633">IF(ISNUMBER(F633),"Ok","check")</f>
        <v>Ok</v>
      </c>
      <c r="U633" t="str" s="8" cm="1">
        <f t="array" ref="U633">IF(ISNUMBER(O633),"ok","check")</f>
        <v>ok</v>
      </c>
    </row>
    <row r="634" ht="13.55" customHeight="1">
      <c r="A634" s="3">
        <v>22633</v>
      </c>
      <c r="B634" t="s" s="2">
        <v>25</v>
      </c>
      <c r="C634" t="str" s="8" cm="1">
        <f t="array" ref="C634">IF(B634="M","Married","Single")</f>
        <v>Single</v>
      </c>
      <c r="D634" t="s" s="2">
        <v>14</v>
      </c>
      <c r="E634" t="str" s="8" cm="1">
        <f t="array" ref="E634">IF(D634="M","Male",IF(D634="F","Female","Check"))</f>
        <v>Female</v>
      </c>
      <c r="F634" s="4">
        <v>40000</v>
      </c>
      <c r="G634" t="str" s="8" cm="1">
        <f t="array" ref="G634">IF(F634="","Check","okay")</f>
        <v>okay</v>
      </c>
      <c r="H634" s="3">
        <v>0</v>
      </c>
      <c r="I634" t="s" s="2">
        <v>34</v>
      </c>
      <c r="J634" t="s" s="2">
        <v>22</v>
      </c>
      <c r="K634" t="s" s="2">
        <v>17</v>
      </c>
      <c r="L634" s="3">
        <v>0</v>
      </c>
      <c r="M634" t="s" s="2">
        <v>18</v>
      </c>
      <c r="N634" t="s" s="2">
        <v>19</v>
      </c>
      <c r="O634" s="3">
        <v>37</v>
      </c>
      <c r="P634" t="str" s="8" cm="1">
        <f t="array" ref="P634">IF(O634="","check","Okay")</f>
        <v>Okay</v>
      </c>
      <c r="Q634" t="str" s="8" cm="1">
        <f t="array" ref="Q634">IF(O634&lt;30,"UNDER 30",IF(O634&lt;=50,"30-50","Over 50"))</f>
        <v>30-50</v>
      </c>
      <c r="R634" t="s" s="2">
        <v>17</v>
      </c>
      <c r="S634" s="3" cm="1">
        <f t="array" ref="S634">COUNTIF(A2:A1001,A634)</f>
        <v>1</v>
      </c>
      <c r="T634" t="str" s="8" cm="1">
        <f t="array" ref="T634">IF(ISNUMBER(F634),"Ok","check")</f>
        <v>Ok</v>
      </c>
      <c r="U634" t="str" s="8" cm="1">
        <f t="array" ref="U634">IF(ISNUMBER(O634),"ok","check")</f>
        <v>ok</v>
      </c>
    </row>
    <row r="635" ht="13.55" customHeight="1">
      <c r="A635" s="3">
        <v>27760</v>
      </c>
      <c r="B635" t="s" s="2">
        <v>25</v>
      </c>
      <c r="C635" t="str" s="8" cm="1">
        <f t="array" ref="C635">IF(B635="M","Married","Single")</f>
        <v>Single</v>
      </c>
      <c r="D635" t="s" s="2">
        <v>14</v>
      </c>
      <c r="E635" t="str" s="8" cm="1">
        <f t="array" ref="E635">IF(D635="M","Male",IF(D635="F","Female","Check"))</f>
        <v>Female</v>
      </c>
      <c r="F635" s="4">
        <v>40000</v>
      </c>
      <c r="G635" t="str" s="8" cm="1">
        <f t="array" ref="G635">IF(F635="","Check","okay")</f>
        <v>okay</v>
      </c>
      <c r="H635" s="3">
        <v>0</v>
      </c>
      <c r="I635" t="s" s="2">
        <v>34</v>
      </c>
      <c r="J635" t="s" s="2">
        <v>22</v>
      </c>
      <c r="K635" t="s" s="2">
        <v>20</v>
      </c>
      <c r="L635" s="3">
        <v>0</v>
      </c>
      <c r="M635" t="s" s="2">
        <v>18</v>
      </c>
      <c r="N635" t="s" s="2">
        <v>19</v>
      </c>
      <c r="O635" s="3">
        <v>37</v>
      </c>
      <c r="P635" t="str" s="8" cm="1">
        <f t="array" ref="P635">IF(O635="","check","Okay")</f>
        <v>Okay</v>
      </c>
      <c r="Q635" t="str" s="8" cm="1">
        <f t="array" ref="Q635">IF(O635&lt;30,"UNDER 30",IF(O635&lt;=50,"30-50","Over 50"))</f>
        <v>30-50</v>
      </c>
      <c r="R635" t="s" s="2">
        <v>17</v>
      </c>
      <c r="S635" s="3" cm="1">
        <f t="array" ref="S635">COUNTIF(A2:A1001,A635)</f>
        <v>1</v>
      </c>
      <c r="T635" t="str" s="8" cm="1">
        <f t="array" ref="T635">IF(ISNUMBER(F635),"Ok","check")</f>
        <v>Ok</v>
      </c>
      <c r="U635" t="str" s="8" cm="1">
        <f t="array" ref="U635">IF(ISNUMBER(O635),"ok","check")</f>
        <v>ok</v>
      </c>
    </row>
    <row r="636" ht="13.55" customHeight="1">
      <c r="A636" s="3">
        <v>17964</v>
      </c>
      <c r="B636" t="s" s="2">
        <v>13</v>
      </c>
      <c r="C636" t="str" s="8" cm="1">
        <f t="array" ref="C636">IF(B636="M","Married","Single")</f>
        <v>Married</v>
      </c>
      <c r="D636" t="s" s="2">
        <v>13</v>
      </c>
      <c r="E636" t="str" s="8" cm="1">
        <f t="array" ref="E636">IF(D636="M","Male",IF(D636="F","Female","Check"))</f>
        <v>Male</v>
      </c>
      <c r="F636" s="4">
        <v>40000</v>
      </c>
      <c r="G636" t="str" s="8" cm="1">
        <f t="array" ref="G636">IF(F636="","Check","okay")</f>
        <v>okay</v>
      </c>
      <c r="H636" s="3">
        <v>0</v>
      </c>
      <c r="I636" t="s" s="2">
        <v>34</v>
      </c>
      <c r="J636" t="s" s="2">
        <v>22</v>
      </c>
      <c r="K636" t="s" s="2">
        <v>17</v>
      </c>
      <c r="L636" s="3">
        <v>0</v>
      </c>
      <c r="M636" t="s" s="2">
        <v>18</v>
      </c>
      <c r="N636" t="s" s="2">
        <v>19</v>
      </c>
      <c r="O636" s="3">
        <v>37</v>
      </c>
      <c r="P636" t="str" s="8" cm="1">
        <f t="array" ref="P636">IF(O636="","check","Okay")</f>
        <v>Okay</v>
      </c>
      <c r="Q636" t="str" s="8" cm="1">
        <f t="array" ref="Q636">IF(O636&lt;30,"UNDER 30",IF(O636&lt;=50,"30-50","Over 50"))</f>
        <v>30-50</v>
      </c>
      <c r="R636" t="s" s="2">
        <v>17</v>
      </c>
      <c r="S636" s="3" cm="1">
        <f t="array" ref="S636">COUNTIF(A2:A1001,A636)</f>
        <v>1</v>
      </c>
      <c r="T636" t="str" s="8" cm="1">
        <f t="array" ref="T636">IF(ISNUMBER(F636),"Ok","check")</f>
        <v>Ok</v>
      </c>
      <c r="U636" t="str" s="8" cm="1">
        <f t="array" ref="U636">IF(ISNUMBER(O636),"ok","check")</f>
        <v>ok</v>
      </c>
    </row>
    <row r="637" ht="13.55" customHeight="1">
      <c r="A637" s="3">
        <v>17978</v>
      </c>
      <c r="B637" t="s" s="2">
        <v>13</v>
      </c>
      <c r="C637" t="str" s="8" cm="1">
        <f t="array" ref="C637">IF(B637="M","Married","Single")</f>
        <v>Married</v>
      </c>
      <c r="D637" t="s" s="2">
        <v>13</v>
      </c>
      <c r="E637" t="str" s="8" cm="1">
        <f t="array" ref="E637">IF(D637="M","Male",IF(D637="F","Female","Check"))</f>
        <v>Male</v>
      </c>
      <c r="F637" s="4">
        <v>40000</v>
      </c>
      <c r="G637" t="str" s="8" cm="1">
        <f t="array" ref="G637">IF(F637="","Check","okay")</f>
        <v>okay</v>
      </c>
      <c r="H637" s="3">
        <v>0</v>
      </c>
      <c r="I637" t="s" s="2">
        <v>34</v>
      </c>
      <c r="J637" t="s" s="2">
        <v>22</v>
      </c>
      <c r="K637" t="s" s="2">
        <v>17</v>
      </c>
      <c r="L637" s="3">
        <v>0</v>
      </c>
      <c r="M637" t="s" s="2">
        <v>18</v>
      </c>
      <c r="N637" t="s" s="2">
        <v>19</v>
      </c>
      <c r="O637" s="3">
        <v>37</v>
      </c>
      <c r="P637" t="str" s="8" cm="1">
        <f t="array" ref="P637">IF(O637="","check","Okay")</f>
        <v>Okay</v>
      </c>
      <c r="Q637" t="str" s="8" cm="1">
        <f t="array" ref="Q637">IF(O637&lt;30,"UNDER 30",IF(O637&lt;=50,"30-50","Over 50"))</f>
        <v>30-50</v>
      </c>
      <c r="R637" t="s" s="2">
        <v>17</v>
      </c>
      <c r="S637" s="3" cm="1">
        <f t="array" ref="S637">COUNTIF(A2:A1001,A637)</f>
        <v>1</v>
      </c>
      <c r="T637" t="str" s="8" cm="1">
        <f t="array" ref="T637">IF(ISNUMBER(F637),"Ok","check")</f>
        <v>Ok</v>
      </c>
      <c r="U637" t="str" s="8" cm="1">
        <f t="array" ref="U637">IF(ISNUMBER(O637),"ok","check")</f>
        <v>ok</v>
      </c>
    </row>
    <row r="638" ht="13.55" customHeight="1">
      <c r="A638" s="3">
        <v>22464</v>
      </c>
      <c r="B638" t="s" s="2">
        <v>13</v>
      </c>
      <c r="C638" t="str" s="8" cm="1">
        <f t="array" ref="C638">IF(B638="M","Married","Single")</f>
        <v>Married</v>
      </c>
      <c r="D638" t="s" s="2">
        <v>13</v>
      </c>
      <c r="E638" t="str" s="8" cm="1">
        <f t="array" ref="E638">IF(D638="M","Male",IF(D638="F","Female","Check"))</f>
        <v>Male</v>
      </c>
      <c r="F638" s="4">
        <v>40000</v>
      </c>
      <c r="G638" t="str" s="8" cm="1">
        <f t="array" ref="G638">IF(F638="","Check","okay")</f>
        <v>okay</v>
      </c>
      <c r="H638" s="3">
        <v>0</v>
      </c>
      <c r="I638" t="s" s="2">
        <v>34</v>
      </c>
      <c r="J638" t="s" s="2">
        <v>22</v>
      </c>
      <c r="K638" t="s" s="2">
        <v>17</v>
      </c>
      <c r="L638" s="3">
        <v>0</v>
      </c>
      <c r="M638" t="s" s="2">
        <v>18</v>
      </c>
      <c r="N638" t="s" s="2">
        <v>19</v>
      </c>
      <c r="O638" s="3">
        <v>37</v>
      </c>
      <c r="P638" t="str" s="8" cm="1">
        <f t="array" ref="P638">IF(O638="","check","Okay")</f>
        <v>Okay</v>
      </c>
      <c r="Q638" t="str" s="8" cm="1">
        <f t="array" ref="Q638">IF(O638&lt;30,"UNDER 30",IF(O638&lt;=50,"30-50","Over 50"))</f>
        <v>30-50</v>
      </c>
      <c r="R638" t="s" s="2">
        <v>17</v>
      </c>
      <c r="S638" s="3" cm="1">
        <f t="array" ref="S638">COUNTIF(A2:A1001,A638)</f>
        <v>1</v>
      </c>
      <c r="T638" t="str" s="8" cm="1">
        <f t="array" ref="T638">IF(ISNUMBER(F638),"Ok","check")</f>
        <v>Ok</v>
      </c>
      <c r="U638" t="str" s="8" cm="1">
        <f t="array" ref="U638">IF(ISNUMBER(O638),"ok","check")</f>
        <v>ok</v>
      </c>
    </row>
    <row r="639" ht="13.55" customHeight="1">
      <c r="A639" s="3">
        <v>14777</v>
      </c>
      <c r="B639" t="s" s="2">
        <v>13</v>
      </c>
      <c r="C639" t="str" s="8" cm="1">
        <f t="array" ref="C639">IF(B639="M","Married","Single")</f>
        <v>Married</v>
      </c>
      <c r="D639" t="s" s="2">
        <v>14</v>
      </c>
      <c r="E639" t="str" s="8" cm="1">
        <f t="array" ref="E639">IF(D639="M","Male",IF(D639="F","Female","Check"))</f>
        <v>Female</v>
      </c>
      <c r="F639" s="4">
        <v>40000</v>
      </c>
      <c r="G639" t="str" s="8" cm="1">
        <f t="array" ref="G639">IF(F639="","Check","okay")</f>
        <v>okay</v>
      </c>
      <c r="H639" s="3">
        <v>0</v>
      </c>
      <c r="I639" t="s" s="2">
        <v>15</v>
      </c>
      <c r="J639" t="s" s="2">
        <v>22</v>
      </c>
      <c r="K639" t="s" s="2">
        <v>17</v>
      </c>
      <c r="L639" s="3">
        <v>0</v>
      </c>
      <c r="M639" t="s" s="2">
        <v>18</v>
      </c>
      <c r="N639" t="s" s="2">
        <v>19</v>
      </c>
      <c r="O639" s="3">
        <v>38</v>
      </c>
      <c r="P639" t="str" s="8" cm="1">
        <f t="array" ref="P639">IF(O639="","check","Okay")</f>
        <v>Okay</v>
      </c>
      <c r="Q639" t="str" s="8" cm="1">
        <f t="array" ref="Q639">IF(O639&lt;30,"UNDER 30",IF(O639&lt;=50,"30-50","Over 50"))</f>
        <v>30-50</v>
      </c>
      <c r="R639" t="s" s="2">
        <v>17</v>
      </c>
      <c r="S639" s="3" cm="1">
        <f t="array" ref="S639">COUNTIF(A2:A1001,A639)</f>
        <v>1</v>
      </c>
      <c r="T639" t="str" s="8" cm="1">
        <f t="array" ref="T639">IF(ISNUMBER(F639),"Ok","check")</f>
        <v>Ok</v>
      </c>
      <c r="U639" t="str" s="8" cm="1">
        <f t="array" ref="U639">IF(ISNUMBER(O639),"ok","check")</f>
        <v>ok</v>
      </c>
    </row>
    <row r="640" ht="13.55" customHeight="1">
      <c r="A640" s="3">
        <v>17793</v>
      </c>
      <c r="B640" t="s" s="2">
        <v>13</v>
      </c>
      <c r="C640" t="str" s="8" cm="1">
        <f t="array" ref="C640">IF(B640="M","Married","Single")</f>
        <v>Married</v>
      </c>
      <c r="D640" t="s" s="2">
        <v>14</v>
      </c>
      <c r="E640" t="str" s="8" cm="1">
        <f t="array" ref="E640">IF(D640="M","Male",IF(D640="F","Female","Check"))</f>
        <v>Female</v>
      </c>
      <c r="F640" s="4">
        <v>40000</v>
      </c>
      <c r="G640" t="str" s="8" cm="1">
        <f t="array" ref="G640">IF(F640="","Check","okay")</f>
        <v>okay</v>
      </c>
      <c r="H640" s="3">
        <v>0</v>
      </c>
      <c r="I640" t="s" s="2">
        <v>15</v>
      </c>
      <c r="J640" t="s" s="2">
        <v>22</v>
      </c>
      <c r="K640" t="s" s="2">
        <v>17</v>
      </c>
      <c r="L640" s="3">
        <v>0</v>
      </c>
      <c r="M640" t="s" s="2">
        <v>18</v>
      </c>
      <c r="N640" t="s" s="2">
        <v>19</v>
      </c>
      <c r="O640" s="3">
        <v>38</v>
      </c>
      <c r="P640" t="str" s="8" cm="1">
        <f t="array" ref="P640">IF(O640="","check","Okay")</f>
        <v>Okay</v>
      </c>
      <c r="Q640" t="str" s="8" cm="1">
        <f t="array" ref="Q640">IF(O640&lt;30,"UNDER 30",IF(O640&lt;=50,"30-50","Over 50"))</f>
        <v>30-50</v>
      </c>
      <c r="R640" t="s" s="2">
        <v>17</v>
      </c>
      <c r="S640" s="3" cm="1">
        <f t="array" ref="S640">COUNTIF(A2:A1001,A640)</f>
        <v>1</v>
      </c>
      <c r="T640" t="str" s="8" cm="1">
        <f t="array" ref="T640">IF(ISNUMBER(F640),"Ok","check")</f>
        <v>Ok</v>
      </c>
      <c r="U640" t="str" s="8" cm="1">
        <f t="array" ref="U640">IF(ISNUMBER(O640),"ok","check")</f>
        <v>ok</v>
      </c>
    </row>
    <row r="641" ht="13.55" customHeight="1">
      <c r="A641" s="3">
        <v>26829</v>
      </c>
      <c r="B641" t="s" s="2">
        <v>13</v>
      </c>
      <c r="C641" t="str" s="8" cm="1">
        <f t="array" ref="C641">IF(B641="M","Married","Single")</f>
        <v>Married</v>
      </c>
      <c r="D641" t="s" s="2">
        <v>14</v>
      </c>
      <c r="E641" t="str" s="8" cm="1">
        <f t="array" ref="E641">IF(D641="M","Male",IF(D641="F","Female","Check"))</f>
        <v>Female</v>
      </c>
      <c r="F641" s="4">
        <v>40000</v>
      </c>
      <c r="G641" t="str" s="8" cm="1">
        <f t="array" ref="G641">IF(F641="","Check","okay")</f>
        <v>okay</v>
      </c>
      <c r="H641" s="3">
        <v>0</v>
      </c>
      <c r="I641" t="s" s="2">
        <v>15</v>
      </c>
      <c r="J641" t="s" s="2">
        <v>22</v>
      </c>
      <c r="K641" t="s" s="2">
        <v>17</v>
      </c>
      <c r="L641" s="3">
        <v>0</v>
      </c>
      <c r="M641" t="s" s="2">
        <v>18</v>
      </c>
      <c r="N641" t="s" s="2">
        <v>19</v>
      </c>
      <c r="O641" s="3">
        <v>38</v>
      </c>
      <c r="P641" t="str" s="8" cm="1">
        <f t="array" ref="P641">IF(O641="","check","Okay")</f>
        <v>Okay</v>
      </c>
      <c r="Q641" t="str" s="8" cm="1">
        <f t="array" ref="Q641">IF(O641&lt;30,"UNDER 30",IF(O641&lt;=50,"30-50","Over 50"))</f>
        <v>30-50</v>
      </c>
      <c r="R641" t="s" s="2">
        <v>17</v>
      </c>
      <c r="S641" s="3" cm="1">
        <f t="array" ref="S641">COUNTIF(A2:A1001,A641)</f>
        <v>1</v>
      </c>
      <c r="T641" t="str" s="8" cm="1">
        <f t="array" ref="T641">IF(ISNUMBER(F641),"Ok","check")</f>
        <v>Ok</v>
      </c>
      <c r="U641" t="str" s="8" cm="1">
        <f t="array" ref="U641">IF(ISNUMBER(O641),"ok","check")</f>
        <v>ok</v>
      </c>
    </row>
    <row r="642" ht="13.55" customHeight="1">
      <c r="A642" s="3">
        <v>22634</v>
      </c>
      <c r="B642" t="s" s="2">
        <v>25</v>
      </c>
      <c r="C642" t="str" s="8" cm="1">
        <f t="array" ref="C642">IF(B642="M","Married","Single")</f>
        <v>Single</v>
      </c>
      <c r="D642" t="s" s="2">
        <v>14</v>
      </c>
      <c r="E642" t="str" s="8" cm="1">
        <f t="array" ref="E642">IF(D642="M","Male",IF(D642="F","Female","Check"))</f>
        <v>Female</v>
      </c>
      <c r="F642" s="4">
        <v>40000</v>
      </c>
      <c r="G642" t="str" s="8" cm="1">
        <f t="array" ref="G642">IF(F642="","Check","okay")</f>
        <v>okay</v>
      </c>
      <c r="H642" s="3">
        <v>0</v>
      </c>
      <c r="I642" t="s" s="2">
        <v>34</v>
      </c>
      <c r="J642" t="s" s="2">
        <v>22</v>
      </c>
      <c r="K642" t="s" s="2">
        <v>17</v>
      </c>
      <c r="L642" s="3">
        <v>0</v>
      </c>
      <c r="M642" t="s" s="2">
        <v>18</v>
      </c>
      <c r="N642" t="s" s="2">
        <v>19</v>
      </c>
      <c r="O642" s="3">
        <v>38</v>
      </c>
      <c r="P642" t="str" s="8" cm="1">
        <f t="array" ref="P642">IF(O642="","check","Okay")</f>
        <v>Okay</v>
      </c>
      <c r="Q642" t="str" s="8" cm="1">
        <f t="array" ref="Q642">IF(O642&lt;30,"UNDER 30",IF(O642&lt;=50,"30-50","Over 50"))</f>
        <v>30-50</v>
      </c>
      <c r="R642" t="s" s="2">
        <v>17</v>
      </c>
      <c r="S642" s="3" cm="1">
        <f t="array" ref="S642">COUNTIF(A2:A1001,A642)</f>
        <v>1</v>
      </c>
      <c r="T642" t="str" s="8" cm="1">
        <f t="array" ref="T642">IF(ISNUMBER(F642),"Ok","check")</f>
        <v>Ok</v>
      </c>
      <c r="U642" t="str" s="8" cm="1">
        <f t="array" ref="U642">IF(ISNUMBER(O642),"ok","check")</f>
        <v>ok</v>
      </c>
    </row>
    <row r="643" ht="13.55" customHeight="1">
      <c r="A643" s="3">
        <v>22636</v>
      </c>
      <c r="B643" t="s" s="2">
        <v>25</v>
      </c>
      <c r="C643" t="str" s="8" cm="1">
        <f t="array" ref="C643">IF(B643="M","Married","Single")</f>
        <v>Single</v>
      </c>
      <c r="D643" t="s" s="2">
        <v>14</v>
      </c>
      <c r="E643" t="str" s="8" cm="1">
        <f t="array" ref="E643">IF(D643="M","Male",IF(D643="F","Female","Check"))</f>
        <v>Female</v>
      </c>
      <c r="F643" s="4">
        <v>40000</v>
      </c>
      <c r="G643" t="str" s="8" cm="1">
        <f t="array" ref="G643">IF(F643="","Check","okay")</f>
        <v>okay</v>
      </c>
      <c r="H643" s="3">
        <v>0</v>
      </c>
      <c r="I643" t="s" s="2">
        <v>15</v>
      </c>
      <c r="J643" t="s" s="2">
        <v>22</v>
      </c>
      <c r="K643" t="s" s="2">
        <v>20</v>
      </c>
      <c r="L643" s="3">
        <v>0</v>
      </c>
      <c r="M643" t="s" s="2">
        <v>18</v>
      </c>
      <c r="N643" t="s" s="2">
        <v>19</v>
      </c>
      <c r="O643" s="3">
        <v>38</v>
      </c>
      <c r="P643" t="str" s="8" cm="1">
        <f t="array" ref="P643">IF(O643="","check","Okay")</f>
        <v>Okay</v>
      </c>
      <c r="Q643" t="str" s="8" cm="1">
        <f t="array" ref="Q643">IF(O643&lt;30,"UNDER 30",IF(O643&lt;=50,"30-50","Over 50"))</f>
        <v>30-50</v>
      </c>
      <c r="R643" t="s" s="2">
        <v>17</v>
      </c>
      <c r="S643" s="3" cm="1">
        <f t="array" ref="S643">COUNTIF(A2:A1001,A643)</f>
        <v>1</v>
      </c>
      <c r="T643" t="str" s="8" cm="1">
        <f t="array" ref="T643">IF(ISNUMBER(F643),"Ok","check")</f>
        <v>Ok</v>
      </c>
      <c r="U643" t="str" s="8" cm="1">
        <f t="array" ref="U643">IF(ISNUMBER(O643),"ok","check")</f>
        <v>ok</v>
      </c>
    </row>
    <row r="644" ht="13.55" customHeight="1">
      <c r="A644" s="3">
        <v>27775</v>
      </c>
      <c r="B644" t="s" s="2">
        <v>25</v>
      </c>
      <c r="C644" t="str" s="8" cm="1">
        <f t="array" ref="C644">IF(B644="M","Married","Single")</f>
        <v>Single</v>
      </c>
      <c r="D644" t="s" s="2">
        <v>14</v>
      </c>
      <c r="E644" t="str" s="8" cm="1">
        <f t="array" ref="E644">IF(D644="M","Male",IF(D644="F","Female","Check"))</f>
        <v>Female</v>
      </c>
      <c r="F644" s="4">
        <v>40000</v>
      </c>
      <c r="G644" t="str" s="8" cm="1">
        <f t="array" ref="G644">IF(F644="","Check","okay")</f>
        <v>okay</v>
      </c>
      <c r="H644" s="3">
        <v>0</v>
      </c>
      <c r="I644" t="s" s="2">
        <v>15</v>
      </c>
      <c r="J644" t="s" s="2">
        <v>22</v>
      </c>
      <c r="K644" t="s" s="2">
        <v>20</v>
      </c>
      <c r="L644" s="3">
        <v>0</v>
      </c>
      <c r="M644" t="s" s="2">
        <v>18</v>
      </c>
      <c r="N644" t="s" s="2">
        <v>19</v>
      </c>
      <c r="O644" s="3">
        <v>38</v>
      </c>
      <c r="P644" t="str" s="8" cm="1">
        <f t="array" ref="P644">IF(O644="","check","Okay")</f>
        <v>Okay</v>
      </c>
      <c r="Q644" t="str" s="8" cm="1">
        <f t="array" ref="Q644">IF(O644&lt;30,"UNDER 30",IF(O644&lt;=50,"30-50","Over 50"))</f>
        <v>30-50</v>
      </c>
      <c r="R644" t="s" s="2">
        <v>17</v>
      </c>
      <c r="S644" s="3" cm="1">
        <f t="array" ref="S644">COUNTIF(A2:A1001,A644)</f>
        <v>1</v>
      </c>
      <c r="T644" t="str" s="8" cm="1">
        <f t="array" ref="T644">IF(ISNUMBER(F644),"Ok","check")</f>
        <v>Ok</v>
      </c>
      <c r="U644" t="str" s="8" cm="1">
        <f t="array" ref="U644">IF(ISNUMBER(O644),"ok","check")</f>
        <v>ok</v>
      </c>
    </row>
    <row r="645" ht="13.55" customHeight="1">
      <c r="A645" s="3">
        <v>12808</v>
      </c>
      <c r="B645" t="s" s="2">
        <v>13</v>
      </c>
      <c r="C645" t="str" s="8" cm="1">
        <f t="array" ref="C645">IF(B645="M","Married","Single")</f>
        <v>Married</v>
      </c>
      <c r="D645" t="s" s="2">
        <v>13</v>
      </c>
      <c r="E645" t="str" s="8" cm="1">
        <f t="array" ref="E645">IF(D645="M","Male",IF(D645="F","Female","Check"))</f>
        <v>Male</v>
      </c>
      <c r="F645" s="4">
        <v>40000</v>
      </c>
      <c r="G645" t="str" s="8" cm="1">
        <f t="array" ref="G645">IF(F645="","Check","okay")</f>
        <v>okay</v>
      </c>
      <c r="H645" s="3">
        <v>0</v>
      </c>
      <c r="I645" t="s" s="2">
        <v>15</v>
      </c>
      <c r="J645" t="s" s="2">
        <v>22</v>
      </c>
      <c r="K645" t="s" s="2">
        <v>17</v>
      </c>
      <c r="L645" s="3">
        <v>0</v>
      </c>
      <c r="M645" t="s" s="2">
        <v>18</v>
      </c>
      <c r="N645" t="s" s="2">
        <v>19</v>
      </c>
      <c r="O645" s="3">
        <v>38</v>
      </c>
      <c r="P645" t="str" s="8" cm="1">
        <f t="array" ref="P645">IF(O645="","check","Okay")</f>
        <v>Okay</v>
      </c>
      <c r="Q645" t="str" s="8" cm="1">
        <f t="array" ref="Q645">IF(O645&lt;30,"UNDER 30",IF(O645&lt;=50,"30-50","Over 50"))</f>
        <v>30-50</v>
      </c>
      <c r="R645" t="s" s="2">
        <v>17</v>
      </c>
      <c r="S645" s="3" cm="1">
        <f t="array" ref="S645">COUNTIF(A2:A1001,A645)</f>
        <v>1</v>
      </c>
      <c r="T645" t="str" s="8" cm="1">
        <f t="array" ref="T645">IF(ISNUMBER(F645),"Ok","check")</f>
        <v>Ok</v>
      </c>
      <c r="U645" t="str" s="8" cm="1">
        <f t="array" ref="U645">IF(ISNUMBER(O645),"ok","check")</f>
        <v>ok</v>
      </c>
    </row>
    <row r="646" ht="13.55" customHeight="1">
      <c r="A646" s="3">
        <v>16406</v>
      </c>
      <c r="B646" t="s" s="2">
        <v>13</v>
      </c>
      <c r="C646" t="str" s="8" cm="1">
        <f t="array" ref="C646">IF(B646="M","Married","Single")</f>
        <v>Married</v>
      </c>
      <c r="D646" t="s" s="2">
        <v>13</v>
      </c>
      <c r="E646" t="str" s="8" cm="1">
        <f t="array" ref="E646">IF(D646="M","Male",IF(D646="F","Female","Check"))</f>
        <v>Male</v>
      </c>
      <c r="F646" s="4">
        <v>40000</v>
      </c>
      <c r="G646" t="str" s="8" cm="1">
        <f t="array" ref="G646">IF(F646="","Check","okay")</f>
        <v>okay</v>
      </c>
      <c r="H646" s="3">
        <v>0</v>
      </c>
      <c r="I646" t="s" s="2">
        <v>15</v>
      </c>
      <c r="J646" t="s" s="2">
        <v>22</v>
      </c>
      <c r="K646" t="s" s="2">
        <v>20</v>
      </c>
      <c r="L646" s="3">
        <v>0</v>
      </c>
      <c r="M646" t="s" s="2">
        <v>18</v>
      </c>
      <c r="N646" t="s" s="2">
        <v>19</v>
      </c>
      <c r="O646" s="3">
        <v>38</v>
      </c>
      <c r="P646" t="str" s="8" cm="1">
        <f t="array" ref="P646">IF(O646="","check","Okay")</f>
        <v>Okay</v>
      </c>
      <c r="Q646" t="str" s="8" cm="1">
        <f t="array" ref="Q646">IF(O646&lt;30,"UNDER 30",IF(O646&lt;=50,"30-50","Over 50"))</f>
        <v>30-50</v>
      </c>
      <c r="R646" t="s" s="2">
        <v>17</v>
      </c>
      <c r="S646" s="3" cm="1">
        <f t="array" ref="S646">COUNTIF(A2:A1001,A646)</f>
        <v>1</v>
      </c>
      <c r="T646" t="str" s="8" cm="1">
        <f t="array" ref="T646">IF(ISNUMBER(F646),"Ok","check")</f>
        <v>Ok</v>
      </c>
      <c r="U646" t="str" s="8" cm="1">
        <f t="array" ref="U646">IF(ISNUMBER(O646),"ok","check")</f>
        <v>ok</v>
      </c>
    </row>
    <row r="647" ht="13.55" customHeight="1">
      <c r="A647" s="3">
        <v>26354</v>
      </c>
      <c r="B647" t="s" s="2">
        <v>25</v>
      </c>
      <c r="C647" t="str" s="8" cm="1">
        <f t="array" ref="C647">IF(B647="M","Married","Single")</f>
        <v>Single</v>
      </c>
      <c r="D647" t="s" s="2">
        <v>13</v>
      </c>
      <c r="E647" t="str" s="8" cm="1">
        <f t="array" ref="E647">IF(D647="M","Male",IF(D647="F","Female","Check"))</f>
        <v>Male</v>
      </c>
      <c r="F647" s="4">
        <v>40000</v>
      </c>
      <c r="G647" t="str" s="8" cm="1">
        <f t="array" ref="G647">IF(F647="","Check","okay")</f>
        <v>okay</v>
      </c>
      <c r="H647" s="3">
        <v>0</v>
      </c>
      <c r="I647" t="s" s="2">
        <v>34</v>
      </c>
      <c r="J647" t="s" s="2">
        <v>22</v>
      </c>
      <c r="K647" t="s" s="2">
        <v>20</v>
      </c>
      <c r="L647" s="3">
        <v>0</v>
      </c>
      <c r="M647" t="s" s="2">
        <v>18</v>
      </c>
      <c r="N647" t="s" s="2">
        <v>19</v>
      </c>
      <c r="O647" s="3">
        <v>38</v>
      </c>
      <c r="P647" t="str" s="8" cm="1">
        <f t="array" ref="P647">IF(O647="","check","Okay")</f>
        <v>Okay</v>
      </c>
      <c r="Q647" t="str" s="8" cm="1">
        <f t="array" ref="Q647">IF(O647&lt;30,"UNDER 30",IF(O647&lt;=50,"30-50","Over 50"))</f>
        <v>30-50</v>
      </c>
      <c r="R647" t="s" s="2">
        <v>17</v>
      </c>
      <c r="S647" s="3" cm="1">
        <f t="array" ref="S647">COUNTIF(A2:A1001,A647)</f>
        <v>1</v>
      </c>
      <c r="T647" t="str" s="8" cm="1">
        <f t="array" ref="T647">IF(ISNUMBER(F647),"Ok","check")</f>
        <v>Ok</v>
      </c>
      <c r="U647" t="str" s="8" cm="1">
        <f t="array" ref="U647">IF(ISNUMBER(O647),"ok","check")</f>
        <v>ok</v>
      </c>
    </row>
    <row r="648" ht="13.55" customHeight="1">
      <c r="A648" s="3">
        <v>14791</v>
      </c>
      <c r="B648" t="s" s="2">
        <v>13</v>
      </c>
      <c r="C648" t="str" s="8" cm="1">
        <f t="array" ref="C648">IF(B648="M","Married","Single")</f>
        <v>Married</v>
      </c>
      <c r="D648" t="s" s="2">
        <v>14</v>
      </c>
      <c r="E648" t="str" s="8" cm="1">
        <f t="array" ref="E648">IF(D648="M","Male",IF(D648="F","Female","Check"))</f>
        <v>Female</v>
      </c>
      <c r="F648" s="4">
        <v>40000</v>
      </c>
      <c r="G648" t="str" s="8" cm="1">
        <f t="array" ref="G648">IF(F648="","Check","okay")</f>
        <v>okay</v>
      </c>
      <c r="H648" s="3">
        <v>0</v>
      </c>
      <c r="I648" t="s" s="2">
        <v>15</v>
      </c>
      <c r="J648" t="s" s="2">
        <v>22</v>
      </c>
      <c r="K648" t="s" s="2">
        <v>17</v>
      </c>
      <c r="L648" s="3">
        <v>0</v>
      </c>
      <c r="M648" t="s" s="2">
        <v>18</v>
      </c>
      <c r="N648" t="s" s="2">
        <v>19</v>
      </c>
      <c r="O648" s="3">
        <v>39</v>
      </c>
      <c r="P648" t="str" s="8" cm="1">
        <f t="array" ref="P648">IF(O648="","check","Okay")</f>
        <v>Okay</v>
      </c>
      <c r="Q648" t="str" s="8" cm="1">
        <f t="array" ref="Q648">IF(O648&lt;30,"UNDER 30",IF(O648&lt;=50,"30-50","Over 50"))</f>
        <v>30-50</v>
      </c>
      <c r="R648" t="s" s="2">
        <v>17</v>
      </c>
      <c r="S648" s="3" cm="1">
        <f t="array" ref="S648">COUNTIF(A2:A1001,A648)</f>
        <v>1</v>
      </c>
      <c r="T648" t="str" s="8" cm="1">
        <f t="array" ref="T648">IF(ISNUMBER(F648),"Ok","check")</f>
        <v>Ok</v>
      </c>
      <c r="U648" t="str" s="8" cm="1">
        <f t="array" ref="U648">IF(ISNUMBER(O648),"ok","check")</f>
        <v>ok</v>
      </c>
    </row>
    <row r="649" ht="13.55" customHeight="1">
      <c r="A649" s="3">
        <v>12821</v>
      </c>
      <c r="B649" t="s" s="2">
        <v>13</v>
      </c>
      <c r="C649" t="str" s="8" cm="1">
        <f t="array" ref="C649">IF(B649="M","Married","Single")</f>
        <v>Married</v>
      </c>
      <c r="D649" t="s" s="2">
        <v>13</v>
      </c>
      <c r="E649" t="str" s="8" cm="1">
        <f t="array" ref="E649">IF(D649="M","Male",IF(D649="F","Female","Check"))</f>
        <v>Male</v>
      </c>
      <c r="F649" s="4">
        <v>40000</v>
      </c>
      <c r="G649" t="str" s="8" cm="1">
        <f t="array" ref="G649">IF(F649="","Check","okay")</f>
        <v>okay</v>
      </c>
      <c r="H649" s="3">
        <v>0</v>
      </c>
      <c r="I649" t="s" s="2">
        <v>15</v>
      </c>
      <c r="J649" t="s" s="2">
        <v>22</v>
      </c>
      <c r="K649" t="s" s="2">
        <v>17</v>
      </c>
      <c r="L649" s="3">
        <v>0</v>
      </c>
      <c r="M649" t="s" s="2">
        <v>18</v>
      </c>
      <c r="N649" t="s" s="2">
        <v>19</v>
      </c>
      <c r="O649" s="3">
        <v>39</v>
      </c>
      <c r="P649" t="str" s="8" cm="1">
        <f t="array" ref="P649">IF(O649="","check","Okay")</f>
        <v>Okay</v>
      </c>
      <c r="Q649" t="str" s="8" cm="1">
        <f t="array" ref="Q649">IF(O649&lt;30,"UNDER 30",IF(O649&lt;=50,"30-50","Over 50"))</f>
        <v>30-50</v>
      </c>
      <c r="R649" t="s" s="2">
        <v>20</v>
      </c>
      <c r="S649" s="3" cm="1">
        <f t="array" ref="S649">COUNTIF(A2:A1001,A649)</f>
        <v>1</v>
      </c>
      <c r="T649" t="str" s="8" cm="1">
        <f t="array" ref="T649">IF(ISNUMBER(F649),"Ok","check")</f>
        <v>Ok</v>
      </c>
      <c r="U649" t="str" s="8" cm="1">
        <f t="array" ref="U649">IF(ISNUMBER(O649),"ok","check")</f>
        <v>ok</v>
      </c>
    </row>
    <row r="650" ht="13.55" customHeight="1">
      <c r="A650" s="3">
        <v>14939</v>
      </c>
      <c r="B650" t="s" s="2">
        <v>25</v>
      </c>
      <c r="C650" t="str" s="8" cm="1">
        <f t="array" ref="C650">IF(B650="M","Married","Single")</f>
        <v>Single</v>
      </c>
      <c r="D650" t="s" s="2">
        <v>13</v>
      </c>
      <c r="E650" t="str" s="8" cm="1">
        <f t="array" ref="E650">IF(D650="M","Male",IF(D650="F","Female","Check"))</f>
        <v>Male</v>
      </c>
      <c r="F650" s="4">
        <v>40000</v>
      </c>
      <c r="G650" t="str" s="8" cm="1">
        <f t="array" ref="G650">IF(F650="","Check","okay")</f>
        <v>okay</v>
      </c>
      <c r="H650" s="3">
        <v>0</v>
      </c>
      <c r="I650" t="s" s="2">
        <v>15</v>
      </c>
      <c r="J650" t="s" s="2">
        <v>22</v>
      </c>
      <c r="K650" t="s" s="2">
        <v>17</v>
      </c>
      <c r="L650" s="3">
        <v>0</v>
      </c>
      <c r="M650" t="s" s="2">
        <v>18</v>
      </c>
      <c r="N650" t="s" s="2">
        <v>19</v>
      </c>
      <c r="O650" s="3">
        <v>39</v>
      </c>
      <c r="P650" t="str" s="8" cm="1">
        <f t="array" ref="P650">IF(O650="","check","Okay")</f>
        <v>Okay</v>
      </c>
      <c r="Q650" t="str" s="8" cm="1">
        <f t="array" ref="Q650">IF(O650&lt;30,"UNDER 30",IF(O650&lt;=50,"30-50","Over 50"))</f>
        <v>30-50</v>
      </c>
      <c r="R650" t="s" s="2">
        <v>17</v>
      </c>
      <c r="S650" s="3" cm="1">
        <f t="array" ref="S650">COUNTIF(A2:A1001,A650)</f>
        <v>1</v>
      </c>
      <c r="T650" t="str" s="8" cm="1">
        <f t="array" ref="T650">IF(ISNUMBER(F650),"Ok","check")</f>
        <v>Ok</v>
      </c>
      <c r="U650" t="str" s="8" cm="1">
        <f t="array" ref="U650">IF(ISNUMBER(O650),"ok","check")</f>
        <v>ok</v>
      </c>
    </row>
    <row r="651" ht="13.55" customHeight="1">
      <c r="A651" s="3">
        <v>28395</v>
      </c>
      <c r="B651" t="s" s="2">
        <v>25</v>
      </c>
      <c r="C651" t="str" s="8" cm="1">
        <f t="array" ref="C651">IF(B651="M","Married","Single")</f>
        <v>Single</v>
      </c>
      <c r="D651" t="s" s="2">
        <v>13</v>
      </c>
      <c r="E651" t="str" s="8" cm="1">
        <f t="array" ref="E651">IF(D651="M","Male",IF(D651="F","Female","Check"))</f>
        <v>Male</v>
      </c>
      <c r="F651" s="4">
        <v>40000</v>
      </c>
      <c r="G651" t="str" s="8" cm="1">
        <f t="array" ref="G651">IF(F651="","Check","okay")</f>
        <v>okay</v>
      </c>
      <c r="H651" s="3">
        <v>0</v>
      </c>
      <c r="I651" t="s" s="2">
        <v>15</v>
      </c>
      <c r="J651" t="s" s="2">
        <v>23</v>
      </c>
      <c r="K651" t="s" s="2">
        <v>20</v>
      </c>
      <c r="L651" s="3">
        <v>0</v>
      </c>
      <c r="M651" t="s" s="2">
        <v>18</v>
      </c>
      <c r="N651" t="s" s="2">
        <v>19</v>
      </c>
      <c r="O651" s="3">
        <v>39</v>
      </c>
      <c r="P651" t="str" s="8" cm="1">
        <f t="array" ref="P651">IF(O651="","check","Okay")</f>
        <v>Okay</v>
      </c>
      <c r="Q651" t="str" s="8" cm="1">
        <f t="array" ref="Q651">IF(O651&lt;30,"UNDER 30",IF(O651&lt;=50,"30-50","Over 50"))</f>
        <v>30-50</v>
      </c>
      <c r="R651" t="s" s="2">
        <v>17</v>
      </c>
      <c r="S651" s="3" cm="1">
        <f t="array" ref="S651">COUNTIF(A2:A1001,A651)</f>
        <v>1</v>
      </c>
      <c r="T651" t="str" s="8" cm="1">
        <f t="array" ref="T651">IF(ISNUMBER(F651),"Ok","check")</f>
        <v>Ok</v>
      </c>
      <c r="U651" t="str" s="8" cm="1">
        <f t="array" ref="U651">IF(ISNUMBER(O651),"ok","check")</f>
        <v>ok</v>
      </c>
    </row>
    <row r="652" ht="13.55" customHeight="1">
      <c r="A652" s="3">
        <v>19475</v>
      </c>
      <c r="B652" t="s" s="2">
        <v>13</v>
      </c>
      <c r="C652" t="str" s="8" cm="1">
        <f t="array" ref="C652">IF(B652="M","Married","Single")</f>
        <v>Married</v>
      </c>
      <c r="D652" t="s" s="2">
        <v>14</v>
      </c>
      <c r="E652" t="str" s="8" cm="1">
        <f t="array" ref="E652">IF(D652="M","Male",IF(D652="F","Female","Check"))</f>
        <v>Female</v>
      </c>
      <c r="F652" s="4">
        <v>40000</v>
      </c>
      <c r="G652" t="str" s="8" cm="1">
        <f t="array" ref="G652">IF(F652="","Check","okay")</f>
        <v>okay</v>
      </c>
      <c r="H652" s="3">
        <v>0</v>
      </c>
      <c r="I652" t="s" s="2">
        <v>15</v>
      </c>
      <c r="J652" t="s" s="2">
        <v>23</v>
      </c>
      <c r="K652" t="s" s="2">
        <v>20</v>
      </c>
      <c r="L652" s="3">
        <v>0</v>
      </c>
      <c r="M652" t="s" s="2">
        <v>18</v>
      </c>
      <c r="N652" t="s" s="2">
        <v>19</v>
      </c>
      <c r="O652" s="3">
        <v>40</v>
      </c>
      <c r="P652" t="str" s="8" cm="1">
        <f t="array" ref="P652">IF(O652="","check","Okay")</f>
        <v>Okay</v>
      </c>
      <c r="Q652" t="str" s="8" cm="1">
        <f t="array" ref="Q652">IF(O652&lt;30,"UNDER 30",IF(O652&lt;=50,"30-50","Over 50"))</f>
        <v>30-50</v>
      </c>
      <c r="R652" t="s" s="2">
        <v>17</v>
      </c>
      <c r="S652" s="3" cm="1">
        <f t="array" ref="S652">COUNTIF(A2:A1001,A652)</f>
        <v>1</v>
      </c>
      <c r="T652" t="str" s="8" cm="1">
        <f t="array" ref="T652">IF(ISNUMBER(F652),"Ok","check")</f>
        <v>Ok</v>
      </c>
      <c r="U652" t="str" s="8" cm="1">
        <f t="array" ref="U652">IF(ISNUMBER(O652),"ok","check")</f>
        <v>ok</v>
      </c>
    </row>
    <row r="653" ht="13.55" customHeight="1">
      <c r="A653" s="3">
        <v>19477</v>
      </c>
      <c r="B653" t="s" s="2">
        <v>13</v>
      </c>
      <c r="C653" t="str" s="8" cm="1">
        <f t="array" ref="C653">IF(B653="M","Married","Single")</f>
        <v>Married</v>
      </c>
      <c r="D653" t="s" s="2">
        <v>13</v>
      </c>
      <c r="E653" t="str" s="8" cm="1">
        <f t="array" ref="E653">IF(D653="M","Male",IF(D653="F","Female","Check"))</f>
        <v>Male</v>
      </c>
      <c r="F653" s="4">
        <v>40000</v>
      </c>
      <c r="G653" t="str" s="8" cm="1">
        <f t="array" ref="G653">IF(F653="","Check","okay")</f>
        <v>okay</v>
      </c>
      <c r="H653" s="3">
        <v>0</v>
      </c>
      <c r="I653" t="s" s="2">
        <v>15</v>
      </c>
      <c r="J653" t="s" s="2">
        <v>23</v>
      </c>
      <c r="K653" t="s" s="2">
        <v>17</v>
      </c>
      <c r="L653" s="3">
        <v>0</v>
      </c>
      <c r="M653" t="s" s="2">
        <v>18</v>
      </c>
      <c r="N653" t="s" s="2">
        <v>19</v>
      </c>
      <c r="O653" s="3">
        <v>40</v>
      </c>
      <c r="P653" t="str" s="8" cm="1">
        <f t="array" ref="P653">IF(O653="","check","Okay")</f>
        <v>Okay</v>
      </c>
      <c r="Q653" t="str" s="8" cm="1">
        <f t="array" ref="Q653">IF(O653&lt;30,"UNDER 30",IF(O653&lt;=50,"30-50","Over 50"))</f>
        <v>30-50</v>
      </c>
      <c r="R653" t="s" s="2">
        <v>17</v>
      </c>
      <c r="S653" s="3" cm="1">
        <f t="array" ref="S653">COUNTIF(A2:A1001,A653)</f>
        <v>1</v>
      </c>
      <c r="T653" t="str" s="8" cm="1">
        <f t="array" ref="T653">IF(ISNUMBER(F653),"Ok","check")</f>
        <v>Ok</v>
      </c>
      <c r="U653" t="str" s="8" cm="1">
        <f t="array" ref="U653">IF(ISNUMBER(O653),"ok","check")</f>
        <v>ok</v>
      </c>
    </row>
    <row r="654" ht="13.55" customHeight="1">
      <c r="A654" s="3">
        <v>22500</v>
      </c>
      <c r="B654" t="s" s="2">
        <v>25</v>
      </c>
      <c r="C654" t="str" s="8" cm="1">
        <f t="array" ref="C654">IF(B654="M","Married","Single")</f>
        <v>Single</v>
      </c>
      <c r="D654" t="s" s="2">
        <v>13</v>
      </c>
      <c r="E654" t="str" s="8" cm="1">
        <f t="array" ref="E654">IF(D654="M","Male",IF(D654="F","Female","Check"))</f>
        <v>Male</v>
      </c>
      <c r="F654" s="4">
        <v>40000</v>
      </c>
      <c r="G654" t="str" s="8" cm="1">
        <f t="array" ref="G654">IF(F654="","Check","okay")</f>
        <v>okay</v>
      </c>
      <c r="H654" s="3">
        <v>0</v>
      </c>
      <c r="I654" t="s" s="2">
        <v>15</v>
      </c>
      <c r="J654" t="s" s="2">
        <v>23</v>
      </c>
      <c r="K654" t="s" s="2">
        <v>20</v>
      </c>
      <c r="L654" s="3">
        <v>0</v>
      </c>
      <c r="M654" t="s" s="2">
        <v>18</v>
      </c>
      <c r="N654" t="s" s="2">
        <v>19</v>
      </c>
      <c r="O654" s="3">
        <v>40</v>
      </c>
      <c r="P654" t="str" s="8" cm="1">
        <f t="array" ref="P654">IF(O654="","check","Okay")</f>
        <v>Okay</v>
      </c>
      <c r="Q654" t="str" s="8" cm="1">
        <f t="array" ref="Q654">IF(O654&lt;30,"UNDER 30",IF(O654&lt;=50,"30-50","Over 50"))</f>
        <v>30-50</v>
      </c>
      <c r="R654" t="s" s="2">
        <v>17</v>
      </c>
      <c r="S654" s="3" cm="1">
        <f t="array" ref="S654">COUNTIF(A2:A1001,A654)</f>
        <v>1</v>
      </c>
      <c r="T654" t="str" s="8" cm="1">
        <f t="array" ref="T654">IF(ISNUMBER(F654),"Ok","check")</f>
        <v>Ok</v>
      </c>
      <c r="U654" t="str" s="8" cm="1">
        <f t="array" ref="U654">IF(ISNUMBER(O654),"ok","check")</f>
        <v>ok</v>
      </c>
    </row>
    <row r="655" ht="13.55" customHeight="1">
      <c r="A655" s="3">
        <v>11585</v>
      </c>
      <c r="B655" t="s" s="2">
        <v>13</v>
      </c>
      <c r="C655" t="str" s="8" cm="1">
        <f t="array" ref="C655">IF(B655="M","Married","Single")</f>
        <v>Married</v>
      </c>
      <c r="D655" t="s" s="2">
        <v>14</v>
      </c>
      <c r="E655" t="str" s="8" cm="1">
        <f t="array" ref="E655">IF(D655="M","Male",IF(D655="F","Female","Check"))</f>
        <v>Female</v>
      </c>
      <c r="F655" s="4">
        <v>40000</v>
      </c>
      <c r="G655" t="str" s="8" cm="1">
        <f t="array" ref="G655">IF(F655="","Check","okay")</f>
        <v>okay</v>
      </c>
      <c r="H655" s="3">
        <v>1</v>
      </c>
      <c r="I655" t="s" s="2">
        <v>15</v>
      </c>
      <c r="J655" t="s" s="2">
        <v>16</v>
      </c>
      <c r="K655" t="s" s="2">
        <v>17</v>
      </c>
      <c r="L655" s="3">
        <v>0</v>
      </c>
      <c r="M655" t="s" s="2">
        <v>18</v>
      </c>
      <c r="N655" t="s" s="2">
        <v>19</v>
      </c>
      <c r="O655" s="3">
        <v>41</v>
      </c>
      <c r="P655" t="str" s="8" cm="1">
        <f t="array" ref="P655">IF(O655="","check","Okay")</f>
        <v>Okay</v>
      </c>
      <c r="Q655" t="str" s="8" cm="1">
        <f t="array" ref="Q655">IF(O655&lt;30,"UNDER 30",IF(O655&lt;=50,"30-50","Over 50"))</f>
        <v>30-50</v>
      </c>
      <c r="R655" t="s" s="2">
        <v>20</v>
      </c>
      <c r="S655" s="3" cm="1">
        <f t="array" ref="S655">COUNTIF(A2:A1001,A655)</f>
        <v>1</v>
      </c>
      <c r="T655" t="str" s="8" cm="1">
        <f t="array" ref="T655">IF(ISNUMBER(F655),"Ok","check")</f>
        <v>Ok</v>
      </c>
      <c r="U655" t="str" s="8" cm="1">
        <f t="array" ref="U655">IF(ISNUMBER(O655),"ok","check")</f>
        <v>ok</v>
      </c>
    </row>
    <row r="656" ht="13.55" customHeight="1">
      <c r="A656" s="3">
        <v>18012</v>
      </c>
      <c r="B656" t="s" s="2">
        <v>13</v>
      </c>
      <c r="C656" t="str" s="8" cm="1">
        <f t="array" ref="C656">IF(B656="M","Married","Single")</f>
        <v>Married</v>
      </c>
      <c r="D656" t="s" s="2">
        <v>14</v>
      </c>
      <c r="E656" t="str" s="8" cm="1">
        <f t="array" ref="E656">IF(D656="M","Male",IF(D656="F","Female","Check"))</f>
        <v>Female</v>
      </c>
      <c r="F656" s="4">
        <v>40000</v>
      </c>
      <c r="G656" t="str" s="8" cm="1">
        <f t="array" ref="G656">IF(F656="","Check","okay")</f>
        <v>okay</v>
      </c>
      <c r="H656" s="3">
        <v>1</v>
      </c>
      <c r="I656" t="s" s="2">
        <v>15</v>
      </c>
      <c r="J656" t="s" s="2">
        <v>16</v>
      </c>
      <c r="K656" t="s" s="2">
        <v>17</v>
      </c>
      <c r="L656" s="3">
        <v>0</v>
      </c>
      <c r="M656" t="s" s="2">
        <v>18</v>
      </c>
      <c r="N656" t="s" s="2">
        <v>19</v>
      </c>
      <c r="O656" s="3">
        <v>41</v>
      </c>
      <c r="P656" t="str" s="8" cm="1">
        <f t="array" ref="P656">IF(O656="","check","Okay")</f>
        <v>Okay</v>
      </c>
      <c r="Q656" t="str" s="8" cm="1">
        <f t="array" ref="Q656">IF(O656&lt;30,"UNDER 30",IF(O656&lt;=50,"30-50","Over 50"))</f>
        <v>30-50</v>
      </c>
      <c r="R656" t="s" s="2">
        <v>20</v>
      </c>
      <c r="S656" s="3" cm="1">
        <f t="array" ref="S656">COUNTIF(A2:A1001,A656)</f>
        <v>1</v>
      </c>
      <c r="T656" t="str" s="8" cm="1">
        <f t="array" ref="T656">IF(ISNUMBER(F656),"Ok","check")</f>
        <v>Ok</v>
      </c>
      <c r="U656" t="str" s="8" cm="1">
        <f t="array" ref="U656">IF(ISNUMBER(O656),"ok","check")</f>
        <v>ok</v>
      </c>
    </row>
    <row r="657" ht="13.55" customHeight="1">
      <c r="A657" s="3">
        <v>12496</v>
      </c>
      <c r="B657" t="s" s="2">
        <v>13</v>
      </c>
      <c r="C657" t="str" s="8" cm="1">
        <f t="array" ref="C657">IF(B657="M","Married","Single")</f>
        <v>Married</v>
      </c>
      <c r="D657" t="s" s="2">
        <v>14</v>
      </c>
      <c r="E657" t="str" s="8" cm="1">
        <f t="array" ref="E657">IF(D657="M","Male",IF(D657="F","Female","Check"))</f>
        <v>Female</v>
      </c>
      <c r="F657" s="4">
        <v>40000</v>
      </c>
      <c r="G657" t="str" s="8" cm="1">
        <f t="array" ref="G657">IF(F657="","Check","okay")</f>
        <v>okay</v>
      </c>
      <c r="H657" s="3">
        <v>1</v>
      </c>
      <c r="I657" t="s" s="2">
        <v>15</v>
      </c>
      <c r="J657" t="s" s="2">
        <v>16</v>
      </c>
      <c r="K657" t="s" s="2">
        <v>17</v>
      </c>
      <c r="L657" s="3">
        <v>0</v>
      </c>
      <c r="M657" t="s" s="2">
        <v>18</v>
      </c>
      <c r="N657" t="s" s="2">
        <v>19</v>
      </c>
      <c r="O657" s="3">
        <v>42</v>
      </c>
      <c r="P657" t="str" s="8" cm="1">
        <f t="array" ref="P657">IF(O657="","check","Okay")</f>
        <v>Okay</v>
      </c>
      <c r="Q657" t="str" s="8" cm="1">
        <f t="array" ref="Q657">IF(O657&lt;30,"UNDER 30",IF(O657&lt;=50,"30-50","Over 50"))</f>
        <v>30-50</v>
      </c>
      <c r="R657" t="s" s="2">
        <v>20</v>
      </c>
      <c r="S657" s="3" cm="1">
        <f t="array" ref="S657">COUNTIF(A2:A1001,A657)</f>
        <v>1</v>
      </c>
      <c r="T657" t="str" s="8" cm="1">
        <f t="array" ref="T657">IF(ISNUMBER(F657),"Ok","check")</f>
        <v>Ok</v>
      </c>
      <c r="U657" t="str" s="8" cm="1">
        <f t="array" ref="U657">IF(ISNUMBER(O657),"ok","check")</f>
        <v>ok</v>
      </c>
    </row>
    <row r="658" ht="13.55" customHeight="1">
      <c r="A658" s="3">
        <v>12497</v>
      </c>
      <c r="B658" t="s" s="2">
        <v>13</v>
      </c>
      <c r="C658" t="str" s="8" cm="1">
        <f t="array" ref="C658">IF(B658="M","Married","Single")</f>
        <v>Married</v>
      </c>
      <c r="D658" t="s" s="2">
        <v>14</v>
      </c>
      <c r="E658" t="str" s="8" cm="1">
        <f t="array" ref="E658">IF(D658="M","Male",IF(D658="F","Female","Check"))</f>
        <v>Female</v>
      </c>
      <c r="F658" s="4">
        <v>40000</v>
      </c>
      <c r="G658" t="str" s="8" cm="1">
        <f t="array" ref="G658">IF(F658="","Check","okay")</f>
        <v>okay</v>
      </c>
      <c r="H658" s="3">
        <v>1</v>
      </c>
      <c r="I658" t="s" s="2">
        <v>15</v>
      </c>
      <c r="J658" t="s" s="2">
        <v>16</v>
      </c>
      <c r="K658" t="s" s="2">
        <v>17</v>
      </c>
      <c r="L658" s="3">
        <v>0</v>
      </c>
      <c r="M658" t="s" s="2">
        <v>18</v>
      </c>
      <c r="N658" t="s" s="2">
        <v>19</v>
      </c>
      <c r="O658" s="3">
        <v>42</v>
      </c>
      <c r="P658" t="str" s="8" cm="1">
        <f t="array" ref="P658">IF(O658="","check","Okay")</f>
        <v>Okay</v>
      </c>
      <c r="Q658" t="str" s="8" cm="1">
        <f t="array" ref="Q658">IF(O658&lt;30,"UNDER 30",IF(O658&lt;=50,"30-50","Over 50"))</f>
        <v>30-50</v>
      </c>
      <c r="R658" t="s" s="2">
        <v>20</v>
      </c>
      <c r="S658" s="3" cm="1">
        <f t="array" ref="S658">COUNTIF(A2:A1001,A658)</f>
        <v>1</v>
      </c>
      <c r="T658" t="str" s="8" cm="1">
        <f t="array" ref="T658">IF(ISNUMBER(F658),"Ok","check")</f>
        <v>Ok</v>
      </c>
      <c r="U658" t="str" s="8" cm="1">
        <f t="array" ref="U658">IF(ISNUMBER(O658),"ok","check")</f>
        <v>ok</v>
      </c>
    </row>
    <row r="659" ht="13.55" customHeight="1">
      <c r="A659" s="3">
        <v>20923</v>
      </c>
      <c r="B659" t="s" s="2">
        <v>13</v>
      </c>
      <c r="C659" t="str" s="8" cm="1">
        <f t="array" ref="C659">IF(B659="M","Married","Single")</f>
        <v>Married</v>
      </c>
      <c r="D659" t="s" s="2">
        <v>14</v>
      </c>
      <c r="E659" t="str" s="8" cm="1">
        <f t="array" ref="E659">IF(D659="M","Male",IF(D659="F","Female","Check"))</f>
        <v>Female</v>
      </c>
      <c r="F659" s="4">
        <v>40000</v>
      </c>
      <c r="G659" t="str" s="8" cm="1">
        <f t="array" ref="G659">IF(F659="","Check","okay")</f>
        <v>okay</v>
      </c>
      <c r="H659" s="3">
        <v>1</v>
      </c>
      <c r="I659" t="s" s="2">
        <v>15</v>
      </c>
      <c r="J659" t="s" s="2">
        <v>16</v>
      </c>
      <c r="K659" t="s" s="2">
        <v>17</v>
      </c>
      <c r="L659" s="3">
        <v>0</v>
      </c>
      <c r="M659" t="s" s="2">
        <v>18</v>
      </c>
      <c r="N659" t="s" s="2">
        <v>19</v>
      </c>
      <c r="O659" s="3">
        <v>42</v>
      </c>
      <c r="P659" t="str" s="8" cm="1">
        <f t="array" ref="P659">IF(O659="","check","Okay")</f>
        <v>Okay</v>
      </c>
      <c r="Q659" t="str" s="8" cm="1">
        <f t="array" ref="Q659">IF(O659&lt;30,"UNDER 30",IF(O659&lt;=50,"30-50","Over 50"))</f>
        <v>30-50</v>
      </c>
      <c r="R659" t="s" s="2">
        <v>17</v>
      </c>
      <c r="S659" s="3" cm="1">
        <f t="array" ref="S659">COUNTIF(A2:A1001,A659)</f>
        <v>1</v>
      </c>
      <c r="T659" t="str" s="8" cm="1">
        <f t="array" ref="T659">IF(ISNUMBER(F659),"Ok","check")</f>
        <v>Ok</v>
      </c>
      <c r="U659" t="str" s="8" cm="1">
        <f t="array" ref="U659">IF(ISNUMBER(O659),"ok","check")</f>
        <v>ok</v>
      </c>
    </row>
    <row r="660" ht="13.55" customHeight="1">
      <c r="A660" s="3">
        <v>29132</v>
      </c>
      <c r="B660" t="s" s="2">
        <v>25</v>
      </c>
      <c r="C660" t="str" s="8" cm="1">
        <f t="array" ref="C660">IF(B660="M","Married","Single")</f>
        <v>Single</v>
      </c>
      <c r="D660" t="s" s="2">
        <v>14</v>
      </c>
      <c r="E660" t="str" s="8" cm="1">
        <f t="array" ref="E660">IF(D660="M","Male",IF(D660="F","Female","Check"))</f>
        <v>Female</v>
      </c>
      <c r="F660" s="4">
        <v>40000</v>
      </c>
      <c r="G660" t="str" s="8" cm="1">
        <f t="array" ref="G660">IF(F660="","Check","okay")</f>
        <v>okay</v>
      </c>
      <c r="H660" s="3">
        <v>0</v>
      </c>
      <c r="I660" t="s" s="2">
        <v>15</v>
      </c>
      <c r="J660" t="s" s="2">
        <v>23</v>
      </c>
      <c r="K660" t="s" s="2">
        <v>17</v>
      </c>
      <c r="L660" s="3">
        <v>1</v>
      </c>
      <c r="M660" t="s" s="2">
        <v>24</v>
      </c>
      <c r="N660" t="s" s="2">
        <v>35</v>
      </c>
      <c r="O660" s="3">
        <v>42</v>
      </c>
      <c r="P660" t="str" s="8" cm="1">
        <f t="array" ref="P660">IF(O660="","check","Okay")</f>
        <v>Okay</v>
      </c>
      <c r="Q660" t="str" s="8" cm="1">
        <f t="array" ref="Q660">IF(O660&lt;30,"UNDER 30",IF(O660&lt;=50,"30-50","Over 50"))</f>
        <v>30-50</v>
      </c>
      <c r="R660" t="s" s="2">
        <v>17</v>
      </c>
      <c r="S660" s="3" cm="1">
        <f t="array" ref="S660">COUNTIF(A2:A1001,A660)</f>
        <v>1</v>
      </c>
      <c r="T660" t="str" s="8" cm="1">
        <f t="array" ref="T660">IF(ISNUMBER(F660),"Ok","check")</f>
        <v>Ok</v>
      </c>
      <c r="U660" t="str" s="8" cm="1">
        <f t="array" ref="U660">IF(ISNUMBER(O660),"ok","check")</f>
        <v>ok</v>
      </c>
    </row>
    <row r="661" ht="13.55" customHeight="1">
      <c r="A661" s="3">
        <v>14832</v>
      </c>
      <c r="B661" t="s" s="2">
        <v>13</v>
      </c>
      <c r="C661" t="str" s="8" cm="1">
        <f t="array" ref="C661">IF(B661="M","Married","Single")</f>
        <v>Married</v>
      </c>
      <c r="D661" t="s" s="2">
        <v>13</v>
      </c>
      <c r="E661" t="str" s="8" cm="1">
        <f t="array" ref="E661">IF(D661="M","Male",IF(D661="F","Female","Check"))</f>
        <v>Male</v>
      </c>
      <c r="F661" s="4">
        <v>40000</v>
      </c>
      <c r="G661" t="str" s="8" cm="1">
        <f t="array" ref="G661">IF(F661="","Check","okay")</f>
        <v>okay</v>
      </c>
      <c r="H661" s="3">
        <v>1</v>
      </c>
      <c r="I661" t="s" s="2">
        <v>15</v>
      </c>
      <c r="J661" t="s" s="2">
        <v>16</v>
      </c>
      <c r="K661" t="s" s="2">
        <v>17</v>
      </c>
      <c r="L661" s="3">
        <v>0</v>
      </c>
      <c r="M661" t="s" s="2">
        <v>18</v>
      </c>
      <c r="N661" t="s" s="2">
        <v>19</v>
      </c>
      <c r="O661" s="3">
        <v>42</v>
      </c>
      <c r="P661" t="str" s="8" cm="1">
        <f t="array" ref="P661">IF(O661="","check","Okay")</f>
        <v>Okay</v>
      </c>
      <c r="Q661" t="str" s="8" cm="1">
        <f t="array" ref="Q661">IF(O661&lt;30,"UNDER 30",IF(O661&lt;=50,"30-50","Over 50"))</f>
        <v>30-50</v>
      </c>
      <c r="R661" t="s" s="2">
        <v>17</v>
      </c>
      <c r="S661" s="3" cm="1">
        <f t="array" ref="S661">COUNTIF(A2:A1001,A661)</f>
        <v>1</v>
      </c>
      <c r="T661" t="str" s="8" cm="1">
        <f t="array" ref="T661">IF(ISNUMBER(F661),"Ok","check")</f>
        <v>Ok</v>
      </c>
      <c r="U661" t="str" s="8" cm="1">
        <f t="array" ref="U661">IF(ISNUMBER(O661),"ok","check")</f>
        <v>ok</v>
      </c>
    </row>
    <row r="662" ht="13.55" customHeight="1">
      <c r="A662" s="3">
        <v>19147</v>
      </c>
      <c r="B662" t="s" s="2">
        <v>13</v>
      </c>
      <c r="C662" t="str" s="8" cm="1">
        <f t="array" ref="C662">IF(B662="M","Married","Single")</f>
        <v>Married</v>
      </c>
      <c r="D662" t="s" s="2">
        <v>13</v>
      </c>
      <c r="E662" t="str" s="8" cm="1">
        <f t="array" ref="E662">IF(D662="M","Male",IF(D662="F","Female","Check"))</f>
        <v>Male</v>
      </c>
      <c r="F662" s="4">
        <v>40000</v>
      </c>
      <c r="G662" t="str" s="8" cm="1">
        <f t="array" ref="G662">IF(F662="","Check","okay")</f>
        <v>okay</v>
      </c>
      <c r="H662" s="3">
        <v>0</v>
      </c>
      <c r="I662" t="s" s="2">
        <v>15</v>
      </c>
      <c r="J662" t="s" s="2">
        <v>23</v>
      </c>
      <c r="K662" t="s" s="2">
        <v>20</v>
      </c>
      <c r="L662" s="3">
        <v>1</v>
      </c>
      <c r="M662" t="s" s="2">
        <v>18</v>
      </c>
      <c r="N662" t="s" s="2">
        <v>35</v>
      </c>
      <c r="O662" s="3">
        <v>42</v>
      </c>
      <c r="P662" t="str" s="8" cm="1">
        <f t="array" ref="P662">IF(O662="","check","Okay")</f>
        <v>Okay</v>
      </c>
      <c r="Q662" t="str" s="8" cm="1">
        <f t="array" ref="Q662">IF(O662&lt;30,"UNDER 30",IF(O662&lt;=50,"30-50","Over 50"))</f>
        <v>30-50</v>
      </c>
      <c r="R662" t="s" s="2">
        <v>20</v>
      </c>
      <c r="S662" s="3" cm="1">
        <f t="array" ref="S662">COUNTIF(A2:A1001,A662)</f>
        <v>1</v>
      </c>
      <c r="T662" t="str" s="8" cm="1">
        <f t="array" ref="T662">IF(ISNUMBER(F662),"Ok","check")</f>
        <v>Ok</v>
      </c>
      <c r="U662" t="str" s="8" cm="1">
        <f t="array" ref="U662">IF(ISNUMBER(O662),"ok","check")</f>
        <v>ok</v>
      </c>
    </row>
    <row r="663" ht="13.55" customHeight="1">
      <c r="A663" s="3">
        <v>17541</v>
      </c>
      <c r="B663" t="s" s="2">
        <v>13</v>
      </c>
      <c r="C663" t="str" s="8" cm="1">
        <f t="array" ref="C663">IF(B663="M","Married","Single")</f>
        <v>Married</v>
      </c>
      <c r="D663" t="s" s="2">
        <v>14</v>
      </c>
      <c r="E663" t="str" s="8" cm="1">
        <f t="array" ref="E663">IF(D663="M","Male",IF(D663="F","Female","Check"))</f>
        <v>Female</v>
      </c>
      <c r="F663" s="4">
        <v>40000</v>
      </c>
      <c r="G663" t="str" s="8" cm="1">
        <f t="array" ref="G663">IF(F663="","Check","okay")</f>
        <v>okay</v>
      </c>
      <c r="H663" s="3">
        <v>4</v>
      </c>
      <c r="I663" t="s" s="2">
        <v>30</v>
      </c>
      <c r="J663" t="s" s="2">
        <v>16</v>
      </c>
      <c r="K663" t="s" s="2">
        <v>17</v>
      </c>
      <c r="L663" s="3">
        <v>2</v>
      </c>
      <c r="M663" t="s" s="2">
        <v>24</v>
      </c>
      <c r="N663" t="s" s="2">
        <v>35</v>
      </c>
      <c r="O663" s="3">
        <v>43</v>
      </c>
      <c r="P663" t="str" s="8" cm="1">
        <f t="array" ref="P663">IF(O663="","check","Okay")</f>
        <v>Okay</v>
      </c>
      <c r="Q663" t="str" s="8" cm="1">
        <f t="array" ref="Q663">IF(O663&lt;30,"UNDER 30",IF(O663&lt;=50,"30-50","Over 50"))</f>
        <v>30-50</v>
      </c>
      <c r="R663" t="s" s="2">
        <v>20</v>
      </c>
      <c r="S663" s="3" cm="1">
        <f t="array" ref="S663">COUNTIF(A2:A1001,A663)</f>
        <v>1</v>
      </c>
      <c r="T663" t="str" s="8" cm="1">
        <f t="array" ref="T663">IF(ISNUMBER(F663),"Ok","check")</f>
        <v>Ok</v>
      </c>
      <c r="U663" t="str" s="8" cm="1">
        <f t="array" ref="U663">IF(ISNUMBER(O663),"ok","check")</f>
        <v>ok</v>
      </c>
    </row>
    <row r="664" ht="13.55" customHeight="1">
      <c r="A664" s="3">
        <v>21108</v>
      </c>
      <c r="B664" t="s" s="2">
        <v>13</v>
      </c>
      <c r="C664" t="str" s="8" cm="1">
        <f t="array" ref="C664">IF(B664="M","Married","Single")</f>
        <v>Married</v>
      </c>
      <c r="D664" t="s" s="2">
        <v>14</v>
      </c>
      <c r="E664" t="str" s="8" cm="1">
        <f t="array" ref="E664">IF(D664="M","Male",IF(D664="F","Female","Check"))</f>
        <v>Female</v>
      </c>
      <c r="F664" s="4">
        <v>40000</v>
      </c>
      <c r="G664" t="str" s="8" cm="1">
        <f t="array" ref="G664">IF(F664="","Check","okay")</f>
        <v>okay</v>
      </c>
      <c r="H664" s="3">
        <v>1</v>
      </c>
      <c r="I664" t="s" s="2">
        <v>15</v>
      </c>
      <c r="J664" t="s" s="2">
        <v>16</v>
      </c>
      <c r="K664" t="s" s="2">
        <v>17</v>
      </c>
      <c r="L664" s="3">
        <v>1</v>
      </c>
      <c r="M664" t="s" s="2">
        <v>18</v>
      </c>
      <c r="N664" t="s" s="2">
        <v>19</v>
      </c>
      <c r="O664" s="3">
        <v>43</v>
      </c>
      <c r="P664" t="str" s="8" cm="1">
        <f t="array" ref="P664">IF(O664="","check","Okay")</f>
        <v>Okay</v>
      </c>
      <c r="Q664" t="str" s="8" cm="1">
        <f t="array" ref="Q664">IF(O664&lt;30,"UNDER 30",IF(O664&lt;=50,"30-50","Over 50"))</f>
        <v>30-50</v>
      </c>
      <c r="R664" t="s" s="2">
        <v>17</v>
      </c>
      <c r="S664" s="3" cm="1">
        <f t="array" ref="S664">COUNTIF(A2:A1001,A664)</f>
        <v>1</v>
      </c>
      <c r="T664" t="str" s="8" cm="1">
        <f t="array" ref="T664">IF(ISNUMBER(F664),"Ok","check")</f>
        <v>Ok</v>
      </c>
      <c r="U664" t="str" s="8" cm="1">
        <f t="array" ref="U664">IF(ISNUMBER(O664),"ok","check")</f>
        <v>ok</v>
      </c>
    </row>
    <row r="665" ht="13.55" customHeight="1">
      <c r="A665" s="3">
        <v>25502</v>
      </c>
      <c r="B665" t="s" s="2">
        <v>13</v>
      </c>
      <c r="C665" t="str" s="8" cm="1">
        <f t="array" ref="C665">IF(B665="M","Married","Single")</f>
        <v>Married</v>
      </c>
      <c r="D665" t="s" s="2">
        <v>14</v>
      </c>
      <c r="E665" t="str" s="8" cm="1">
        <f t="array" ref="E665">IF(D665="M","Male",IF(D665="F","Female","Check"))</f>
        <v>Female</v>
      </c>
      <c r="F665" s="4">
        <v>40000</v>
      </c>
      <c r="G665" t="str" s="8" cm="1">
        <f t="array" ref="G665">IF(F665="","Check","okay")</f>
        <v>okay</v>
      </c>
      <c r="H665" s="3">
        <v>1</v>
      </c>
      <c r="I665" t="s" s="2">
        <v>15</v>
      </c>
      <c r="J665" t="s" s="2">
        <v>16</v>
      </c>
      <c r="K665" t="s" s="2">
        <v>17</v>
      </c>
      <c r="L665" s="3">
        <v>0</v>
      </c>
      <c r="M665" t="s" s="2">
        <v>18</v>
      </c>
      <c r="N665" t="s" s="2">
        <v>19</v>
      </c>
      <c r="O665" s="3">
        <v>43</v>
      </c>
      <c r="P665" t="str" s="8" cm="1">
        <f t="array" ref="P665">IF(O665="","check","Okay")</f>
        <v>Okay</v>
      </c>
      <c r="Q665" t="str" s="8" cm="1">
        <f t="array" ref="Q665">IF(O665&lt;30,"UNDER 30",IF(O665&lt;=50,"30-50","Over 50"))</f>
        <v>30-50</v>
      </c>
      <c r="R665" t="s" s="2">
        <v>17</v>
      </c>
      <c r="S665" s="3" cm="1">
        <f t="array" ref="S665">COUNTIF(A2:A1001,A665)</f>
        <v>1</v>
      </c>
      <c r="T665" t="str" s="8" cm="1">
        <f t="array" ref="T665">IF(ISNUMBER(F665),"Ok","check")</f>
        <v>Ok</v>
      </c>
      <c r="U665" t="str" s="8" cm="1">
        <f t="array" ref="U665">IF(ISNUMBER(O665),"ok","check")</f>
        <v>ok</v>
      </c>
    </row>
    <row r="666" ht="13.55" customHeight="1">
      <c r="A666" s="3">
        <v>12510</v>
      </c>
      <c r="B666" t="s" s="2">
        <v>13</v>
      </c>
      <c r="C666" t="str" s="8" cm="1">
        <f t="array" ref="C666">IF(B666="M","Married","Single")</f>
        <v>Married</v>
      </c>
      <c r="D666" t="s" s="2">
        <v>13</v>
      </c>
      <c r="E666" t="str" s="8" cm="1">
        <f t="array" ref="E666">IF(D666="M","Male",IF(D666="F","Female","Check"))</f>
        <v>Male</v>
      </c>
      <c r="F666" s="4">
        <v>40000</v>
      </c>
      <c r="G666" t="str" s="8" cm="1">
        <f t="array" ref="G666">IF(F666="","Check","okay")</f>
        <v>okay</v>
      </c>
      <c r="H666" s="3">
        <v>1</v>
      </c>
      <c r="I666" t="s" s="2">
        <v>15</v>
      </c>
      <c r="J666" t="s" s="2">
        <v>16</v>
      </c>
      <c r="K666" t="s" s="2">
        <v>17</v>
      </c>
      <c r="L666" s="3">
        <v>1</v>
      </c>
      <c r="M666" t="s" s="2">
        <v>18</v>
      </c>
      <c r="N666" t="s" s="2">
        <v>19</v>
      </c>
      <c r="O666" s="3">
        <v>43</v>
      </c>
      <c r="P666" t="str" s="8" cm="1">
        <f t="array" ref="P666">IF(O666="","check","Okay")</f>
        <v>Okay</v>
      </c>
      <c r="Q666" t="str" s="8" cm="1">
        <f t="array" ref="Q666">IF(O666&lt;30,"UNDER 30",IF(O666&lt;=50,"30-50","Over 50"))</f>
        <v>30-50</v>
      </c>
      <c r="R666" t="s" s="2">
        <v>17</v>
      </c>
      <c r="S666" s="3" cm="1">
        <f t="array" ref="S666">COUNTIF(A2:A1001,A666)</f>
        <v>1</v>
      </c>
      <c r="T666" t="str" s="8" cm="1">
        <f t="array" ref="T666">IF(ISNUMBER(F666),"Ok","check")</f>
        <v>Ok</v>
      </c>
      <c r="U666" t="str" s="8" cm="1">
        <f t="array" ref="U666">IF(ISNUMBER(O666),"ok","check")</f>
        <v>ok</v>
      </c>
    </row>
    <row r="667" ht="13.55" customHeight="1">
      <c r="A667" s="3">
        <v>19364</v>
      </c>
      <c r="B667" t="s" s="2">
        <v>13</v>
      </c>
      <c r="C667" t="str" s="8" cm="1">
        <f t="array" ref="C667">IF(B667="M","Married","Single")</f>
        <v>Married</v>
      </c>
      <c r="D667" t="s" s="2">
        <v>13</v>
      </c>
      <c r="E667" t="str" s="8" cm="1">
        <f t="array" ref="E667">IF(D667="M","Male",IF(D667="F","Female","Check"))</f>
        <v>Male</v>
      </c>
      <c r="F667" s="4">
        <v>40000</v>
      </c>
      <c r="G667" t="str" s="8" cm="1">
        <f t="array" ref="G667">IF(F667="","Check","okay")</f>
        <v>okay</v>
      </c>
      <c r="H667" s="3">
        <v>1</v>
      </c>
      <c r="I667" t="s" s="2">
        <v>15</v>
      </c>
      <c r="J667" t="s" s="2">
        <v>16</v>
      </c>
      <c r="K667" t="s" s="2">
        <v>17</v>
      </c>
      <c r="L667" s="3">
        <v>0</v>
      </c>
      <c r="M667" t="s" s="2">
        <v>18</v>
      </c>
      <c r="N667" t="s" s="2">
        <v>19</v>
      </c>
      <c r="O667" s="3">
        <v>43</v>
      </c>
      <c r="P667" t="str" s="8" cm="1">
        <f t="array" ref="P667">IF(O667="","check","Okay")</f>
        <v>Okay</v>
      </c>
      <c r="Q667" t="str" s="8" cm="1">
        <f t="array" ref="Q667">IF(O667&lt;30,"UNDER 30",IF(O667&lt;=50,"30-50","Over 50"))</f>
        <v>30-50</v>
      </c>
      <c r="R667" t="s" s="2">
        <v>17</v>
      </c>
      <c r="S667" s="3" cm="1">
        <f t="array" ref="S667">COUNTIF(A2:A1001,A667)</f>
        <v>1</v>
      </c>
      <c r="T667" t="str" s="8" cm="1">
        <f t="array" ref="T667">IF(ISNUMBER(F667),"Ok","check")</f>
        <v>Ok</v>
      </c>
      <c r="U667" t="str" s="8" cm="1">
        <f t="array" ref="U667">IF(ISNUMBER(O667),"ok","check")</f>
        <v>ok</v>
      </c>
    </row>
    <row r="668" ht="13.55" customHeight="1">
      <c r="A668" s="3">
        <v>25651</v>
      </c>
      <c r="B668" t="s" s="2">
        <v>13</v>
      </c>
      <c r="C668" t="str" s="8" cm="1">
        <f t="array" ref="C668">IF(B668="M","Married","Single")</f>
        <v>Married</v>
      </c>
      <c r="D668" t="s" s="2">
        <v>13</v>
      </c>
      <c r="E668" t="str" s="8" cm="1">
        <f t="array" ref="E668">IF(D668="M","Male",IF(D668="F","Female","Check"))</f>
        <v>Male</v>
      </c>
      <c r="F668" s="4">
        <v>40000</v>
      </c>
      <c r="G668" t="str" s="8" cm="1">
        <f t="array" ref="G668">IF(F668="","Check","okay")</f>
        <v>okay</v>
      </c>
      <c r="H668" s="3">
        <v>1</v>
      </c>
      <c r="I668" t="s" s="2">
        <v>15</v>
      </c>
      <c r="J668" t="s" s="2">
        <v>16</v>
      </c>
      <c r="K668" t="s" s="2">
        <v>20</v>
      </c>
      <c r="L668" s="3">
        <v>0</v>
      </c>
      <c r="M668" t="s" s="2">
        <v>18</v>
      </c>
      <c r="N668" t="s" s="2">
        <v>19</v>
      </c>
      <c r="O668" s="3">
        <v>43</v>
      </c>
      <c r="P668" t="str" s="8" cm="1">
        <f t="array" ref="P668">IF(O668="","check","Okay")</f>
        <v>Okay</v>
      </c>
      <c r="Q668" t="str" s="8" cm="1">
        <f t="array" ref="Q668">IF(O668&lt;30,"UNDER 30",IF(O668&lt;=50,"30-50","Over 50"))</f>
        <v>30-50</v>
      </c>
      <c r="R668" t="s" s="2">
        <v>17</v>
      </c>
      <c r="S668" s="3" cm="1">
        <f t="array" ref="S668">COUNTIF(A2:A1001,A668)</f>
        <v>1</v>
      </c>
      <c r="T668" t="str" s="8" cm="1">
        <f t="array" ref="T668">IF(ISNUMBER(F668),"Ok","check")</f>
        <v>Ok</v>
      </c>
      <c r="U668" t="str" s="8" cm="1">
        <f t="array" ref="U668">IF(ISNUMBER(O668),"ok","check")</f>
        <v>ok</v>
      </c>
    </row>
    <row r="669" ht="13.55" customHeight="1">
      <c r="A669" s="3">
        <v>16122</v>
      </c>
      <c r="B669" t="s" s="2">
        <v>13</v>
      </c>
      <c r="C669" t="str" s="8" cm="1">
        <f t="array" ref="C669">IF(B669="M","Married","Single")</f>
        <v>Married</v>
      </c>
      <c r="D669" t="s" s="2">
        <v>13</v>
      </c>
      <c r="E669" t="str" s="8" cm="1">
        <f t="array" ref="E669">IF(D669="M","Male",IF(D669="F","Female","Check"))</f>
        <v>Male</v>
      </c>
      <c r="F669" s="4">
        <v>40000</v>
      </c>
      <c r="G669" t="str" s="8" cm="1">
        <f t="array" ref="G669">IF(F669="","Check","okay")</f>
        <v>okay</v>
      </c>
      <c r="H669" s="3">
        <v>4</v>
      </c>
      <c r="I669" t="s" s="2">
        <v>30</v>
      </c>
      <c r="J669" t="s" s="2">
        <v>16</v>
      </c>
      <c r="K669" t="s" s="2">
        <v>17</v>
      </c>
      <c r="L669" s="3">
        <v>2</v>
      </c>
      <c r="M669" t="s" s="2">
        <v>18</v>
      </c>
      <c r="N669" t="s" s="2">
        <v>35</v>
      </c>
      <c r="O669" s="3">
        <v>44</v>
      </c>
      <c r="P669" t="str" s="8" cm="1">
        <f t="array" ref="P669">IF(O669="","check","Okay")</f>
        <v>Okay</v>
      </c>
      <c r="Q669" t="str" s="8" cm="1">
        <f t="array" ref="Q669">IF(O669&lt;30,"UNDER 30",IF(O669&lt;=50,"30-50","Over 50"))</f>
        <v>30-50</v>
      </c>
      <c r="R669" t="s" s="2">
        <v>17</v>
      </c>
      <c r="S669" s="3" cm="1">
        <f t="array" ref="S669">COUNTIF(A2:A1001,A669)</f>
        <v>1</v>
      </c>
      <c r="T669" t="str" s="8" cm="1">
        <f t="array" ref="T669">IF(ISNUMBER(F669),"Ok","check")</f>
        <v>Ok</v>
      </c>
      <c r="U669" t="str" s="8" cm="1">
        <f t="array" ref="U669">IF(ISNUMBER(O669),"ok","check")</f>
        <v>ok</v>
      </c>
    </row>
    <row r="670" ht="13.55" customHeight="1">
      <c r="A670" s="3">
        <v>17858</v>
      </c>
      <c r="B670" t="s" s="2">
        <v>13</v>
      </c>
      <c r="C670" t="str" s="8" cm="1">
        <f t="array" ref="C670">IF(B670="M","Married","Single")</f>
        <v>Married</v>
      </c>
      <c r="D670" t="s" s="2">
        <v>13</v>
      </c>
      <c r="E670" t="str" s="8" cm="1">
        <f t="array" ref="E670">IF(D670="M","Male",IF(D670="F","Female","Check"))</f>
        <v>Male</v>
      </c>
      <c r="F670" s="4">
        <v>40000</v>
      </c>
      <c r="G670" t="str" s="8" cm="1">
        <f t="array" ref="G670">IF(F670="","Check","okay")</f>
        <v>okay</v>
      </c>
      <c r="H670" s="3">
        <v>4</v>
      </c>
      <c r="I670" t="s" s="2">
        <v>30</v>
      </c>
      <c r="J670" t="s" s="2">
        <v>16</v>
      </c>
      <c r="K670" t="s" s="2">
        <v>17</v>
      </c>
      <c r="L670" s="3">
        <v>2</v>
      </c>
      <c r="M670" t="s" s="2">
        <v>24</v>
      </c>
      <c r="N670" t="s" s="2">
        <v>35</v>
      </c>
      <c r="O670" s="3">
        <v>44</v>
      </c>
      <c r="P670" t="str" s="8" cm="1">
        <f t="array" ref="P670">IF(O670="","check","Okay")</f>
        <v>Okay</v>
      </c>
      <c r="Q670" t="str" s="8" cm="1">
        <f t="array" ref="Q670">IF(O670&lt;30,"UNDER 30",IF(O670&lt;=50,"30-50","Over 50"))</f>
        <v>30-50</v>
      </c>
      <c r="R670" t="s" s="2">
        <v>17</v>
      </c>
      <c r="S670" s="3" cm="1">
        <f t="array" ref="S670">COUNTIF(A2:A1001,A670)</f>
        <v>1</v>
      </c>
      <c r="T670" t="str" s="8" cm="1">
        <f t="array" ref="T670">IF(ISNUMBER(F670),"Ok","check")</f>
        <v>Ok</v>
      </c>
      <c r="U670" t="str" s="8" cm="1">
        <f t="array" ref="U670">IF(ISNUMBER(O670),"ok","check")</f>
        <v>ok</v>
      </c>
    </row>
    <row r="671" ht="13.55" customHeight="1">
      <c r="A671" s="3">
        <v>23940</v>
      </c>
      <c r="B671" t="s" s="2">
        <v>13</v>
      </c>
      <c r="C671" t="str" s="8" cm="1">
        <f t="array" ref="C671">IF(B671="M","Married","Single")</f>
        <v>Married</v>
      </c>
      <c r="D671" t="s" s="2">
        <v>13</v>
      </c>
      <c r="E671" t="str" s="8" cm="1">
        <f t="array" ref="E671">IF(D671="M","Male",IF(D671="F","Female","Check"))</f>
        <v>Male</v>
      </c>
      <c r="F671" s="4">
        <v>40000</v>
      </c>
      <c r="G671" t="str" s="8" cm="1">
        <f t="array" ref="G671">IF(F671="","Check","okay")</f>
        <v>okay</v>
      </c>
      <c r="H671" s="3">
        <v>1</v>
      </c>
      <c r="I671" t="s" s="2">
        <v>15</v>
      </c>
      <c r="J671" t="s" s="2">
        <v>16</v>
      </c>
      <c r="K671" t="s" s="2">
        <v>17</v>
      </c>
      <c r="L671" s="3">
        <v>1</v>
      </c>
      <c r="M671" t="s" s="2">
        <v>18</v>
      </c>
      <c r="N671" t="s" s="2">
        <v>19</v>
      </c>
      <c r="O671" s="3">
        <v>44</v>
      </c>
      <c r="P671" t="str" s="8" cm="1">
        <f t="array" ref="P671">IF(O671="","check","Okay")</f>
        <v>Okay</v>
      </c>
      <c r="Q671" t="str" s="8" cm="1">
        <f t="array" ref="Q671">IF(O671&lt;30,"UNDER 30",IF(O671&lt;=50,"30-50","Over 50"))</f>
        <v>30-50</v>
      </c>
      <c r="R671" t="s" s="2">
        <v>17</v>
      </c>
      <c r="S671" s="3" cm="1">
        <f t="array" ref="S671">COUNTIF(A2:A1001,A671)</f>
        <v>1</v>
      </c>
      <c r="T671" t="str" s="8" cm="1">
        <f t="array" ref="T671">IF(ISNUMBER(F671),"Ok","check")</f>
        <v>Ok</v>
      </c>
      <c r="U671" t="str" s="8" cm="1">
        <f t="array" ref="U671">IF(ISNUMBER(O671),"ok","check")</f>
        <v>ok</v>
      </c>
    </row>
    <row r="672" ht="13.55" customHeight="1">
      <c r="A672" s="3">
        <v>19399</v>
      </c>
      <c r="B672" t="s" s="2">
        <v>25</v>
      </c>
      <c r="C672" t="str" s="8" cm="1">
        <f t="array" ref="C672">IF(B672="M","Married","Single")</f>
        <v>Single</v>
      </c>
      <c r="D672" t="s" s="2">
        <v>13</v>
      </c>
      <c r="E672" t="str" s="8" cm="1">
        <f t="array" ref="E672">IF(D672="M","Male",IF(D672="F","Female","Check"))</f>
        <v>Male</v>
      </c>
      <c r="F672" s="4">
        <v>40000</v>
      </c>
      <c r="G672" t="str" s="8" cm="1">
        <f t="array" ref="G672">IF(F672="","Check","okay")</f>
        <v>okay</v>
      </c>
      <c r="H672" s="3">
        <v>0</v>
      </c>
      <c r="I672" t="s" s="2">
        <v>15</v>
      </c>
      <c r="J672" t="s" s="2">
        <v>23</v>
      </c>
      <c r="K672" t="s" s="2">
        <v>20</v>
      </c>
      <c r="L672" s="3">
        <v>1</v>
      </c>
      <c r="M672" t="s" s="2">
        <v>24</v>
      </c>
      <c r="N672" t="s" s="2">
        <v>35</v>
      </c>
      <c r="O672" s="3">
        <v>45</v>
      </c>
      <c r="P672" t="str" s="8" cm="1">
        <f t="array" ref="P672">IF(O672="","check","Okay")</f>
        <v>Okay</v>
      </c>
      <c r="Q672" t="str" s="8" cm="1">
        <f t="array" ref="Q672">IF(O672&lt;30,"UNDER 30",IF(O672&lt;=50,"30-50","Over 50"))</f>
        <v>30-50</v>
      </c>
      <c r="R672" t="s" s="2">
        <v>20</v>
      </c>
      <c r="S672" s="3" cm="1">
        <f t="array" ref="S672">COUNTIF(A2:A1001,A672)</f>
        <v>1</v>
      </c>
      <c r="T672" t="str" s="8" cm="1">
        <f t="array" ref="T672">IF(ISNUMBER(F672),"Ok","check")</f>
        <v>Ok</v>
      </c>
      <c r="U672" t="str" s="8" cm="1">
        <f t="array" ref="U672">IF(ISNUMBER(O672),"ok","check")</f>
        <v>ok</v>
      </c>
    </row>
    <row r="673" ht="13.55" customHeight="1">
      <c r="A673" s="3">
        <v>13934</v>
      </c>
      <c r="B673" t="s" s="2">
        <v>13</v>
      </c>
      <c r="C673" t="str" s="8" cm="1">
        <f t="array" ref="C673">IF(B673="M","Married","Single")</f>
        <v>Married</v>
      </c>
      <c r="D673" t="s" s="2">
        <v>13</v>
      </c>
      <c r="E673" t="str" s="8" cm="1">
        <f t="array" ref="E673">IF(D673="M","Male",IF(D673="F","Female","Check"))</f>
        <v>Male</v>
      </c>
      <c r="F673" s="4">
        <v>40000</v>
      </c>
      <c r="G673" t="str" s="8" cm="1">
        <f t="array" ref="G673">IF(F673="","Check","okay")</f>
        <v>okay</v>
      </c>
      <c r="H673" s="3">
        <v>4</v>
      </c>
      <c r="I673" t="s" s="2">
        <v>30</v>
      </c>
      <c r="J673" t="s" s="2">
        <v>16</v>
      </c>
      <c r="K673" t="s" s="2">
        <v>17</v>
      </c>
      <c r="L673" s="3">
        <v>2</v>
      </c>
      <c r="M673" t="s" s="2">
        <v>24</v>
      </c>
      <c r="N673" t="s" s="2">
        <v>35</v>
      </c>
      <c r="O673" s="3">
        <v>46</v>
      </c>
      <c r="P673" t="str" s="8" cm="1">
        <f t="array" ref="P673">IF(O673="","check","Okay")</f>
        <v>Okay</v>
      </c>
      <c r="Q673" t="str" s="8" cm="1">
        <f t="array" ref="Q673">IF(O673&lt;30,"UNDER 30",IF(O673&lt;=50,"30-50","Over 50"))</f>
        <v>30-50</v>
      </c>
      <c r="R673" t="s" s="2">
        <v>20</v>
      </c>
      <c r="S673" s="3" cm="1">
        <f t="array" ref="S673">COUNTIF(A2:A1001,A673)</f>
        <v>1</v>
      </c>
      <c r="T673" t="str" s="8" cm="1">
        <f t="array" ref="T673">IF(ISNUMBER(F673),"Ok","check")</f>
        <v>Ok</v>
      </c>
      <c r="U673" t="str" s="8" cm="1">
        <f t="array" ref="U673">IF(ISNUMBER(O673),"ok","check")</f>
        <v>ok</v>
      </c>
    </row>
    <row r="674" ht="13.55" customHeight="1">
      <c r="A674" s="3">
        <v>28799</v>
      </c>
      <c r="B674" t="s" s="2">
        <v>25</v>
      </c>
      <c r="C674" t="str" s="8" cm="1">
        <f t="array" ref="C674">IF(B674="M","Married","Single")</f>
        <v>Single</v>
      </c>
      <c r="D674" t="s" s="2">
        <v>14</v>
      </c>
      <c r="E674" t="str" s="8" cm="1">
        <f t="array" ref="E674">IF(D674="M","Male",IF(D674="F","Female","Check"))</f>
        <v>Female</v>
      </c>
      <c r="F674" s="4">
        <v>40000</v>
      </c>
      <c r="G674" t="str" s="8" cm="1">
        <f t="array" ref="G674">IF(F674="","Check","okay")</f>
        <v>okay</v>
      </c>
      <c r="H674" s="3">
        <v>2</v>
      </c>
      <c r="I674" t="s" s="2">
        <v>21</v>
      </c>
      <c r="J674" t="s" s="2">
        <v>22</v>
      </c>
      <c r="K674" t="s" s="2">
        <v>20</v>
      </c>
      <c r="L674" s="3">
        <v>1</v>
      </c>
      <c r="M674" t="s" s="2">
        <v>29</v>
      </c>
      <c r="N674" t="s" s="2">
        <v>35</v>
      </c>
      <c r="O674" s="3">
        <v>47</v>
      </c>
      <c r="P674" t="str" s="8" cm="1">
        <f t="array" ref="P674">IF(O674="","check","Okay")</f>
        <v>Okay</v>
      </c>
      <c r="Q674" t="str" s="8" cm="1">
        <f t="array" ref="Q674">IF(O674&lt;30,"UNDER 30",IF(O674&lt;=50,"30-50","Over 50"))</f>
        <v>30-50</v>
      </c>
      <c r="R674" t="s" s="2">
        <v>17</v>
      </c>
      <c r="S674" s="3" cm="1">
        <f t="array" ref="S674">COUNTIF(A2:A1001,A674)</f>
        <v>1</v>
      </c>
      <c r="T674" t="str" s="8" cm="1">
        <f t="array" ref="T674">IF(ISNUMBER(F674),"Ok","check")</f>
        <v>Ok</v>
      </c>
      <c r="U674" t="str" s="8" cm="1">
        <f t="array" ref="U674">IF(ISNUMBER(O674),"ok","check")</f>
        <v>ok</v>
      </c>
    </row>
    <row r="675" ht="13.55" customHeight="1">
      <c r="A675" s="3">
        <v>21717</v>
      </c>
      <c r="B675" t="s" s="2">
        <v>13</v>
      </c>
      <c r="C675" t="str" s="8" cm="1">
        <f t="array" ref="C675">IF(B675="M","Married","Single")</f>
        <v>Married</v>
      </c>
      <c r="D675" t="s" s="2">
        <v>13</v>
      </c>
      <c r="E675" t="str" s="8" cm="1">
        <f t="array" ref="E675">IF(D675="M","Male",IF(D675="F","Female","Check"))</f>
        <v>Male</v>
      </c>
      <c r="F675" s="4">
        <v>40000</v>
      </c>
      <c r="G675" t="str" s="8" cm="1">
        <f t="array" ref="G675">IF(F675="","Check","okay")</f>
        <v>okay</v>
      </c>
      <c r="H675" s="3">
        <v>2</v>
      </c>
      <c r="I675" t="s" s="2">
        <v>21</v>
      </c>
      <c r="J675" t="s" s="2">
        <v>22</v>
      </c>
      <c r="K675" t="s" s="2">
        <v>17</v>
      </c>
      <c r="L675" s="3">
        <v>1</v>
      </c>
      <c r="M675" t="s" s="2">
        <v>18</v>
      </c>
      <c r="N675" t="s" s="2">
        <v>35</v>
      </c>
      <c r="O675" s="3">
        <v>47</v>
      </c>
      <c r="P675" t="str" s="8" cm="1">
        <f t="array" ref="P675">IF(O675="","check","Okay")</f>
        <v>Okay</v>
      </c>
      <c r="Q675" t="str" s="8" cm="1">
        <f t="array" ref="Q675">IF(O675&lt;30,"UNDER 30",IF(O675&lt;=50,"30-50","Over 50"))</f>
        <v>30-50</v>
      </c>
      <c r="R675" t="s" s="2">
        <v>20</v>
      </c>
      <c r="S675" s="3" cm="1">
        <f t="array" ref="S675">COUNTIF(A2:A1001,A675)</f>
        <v>1</v>
      </c>
      <c r="T675" t="str" s="8" cm="1">
        <f t="array" ref="T675">IF(ISNUMBER(F675),"Ok","check")</f>
        <v>Ok</v>
      </c>
      <c r="U675" t="str" s="8" cm="1">
        <f t="array" ref="U675">IF(ISNUMBER(O675),"ok","check")</f>
        <v>ok</v>
      </c>
    </row>
    <row r="676" ht="13.55" customHeight="1">
      <c r="A676" s="3">
        <v>28625</v>
      </c>
      <c r="B676" t="s" s="2">
        <v>25</v>
      </c>
      <c r="C676" t="str" s="8" cm="1">
        <f t="array" ref="C676">IF(B676="M","Married","Single")</f>
        <v>Single</v>
      </c>
      <c r="D676" t="s" s="2">
        <v>13</v>
      </c>
      <c r="E676" t="str" s="8" cm="1">
        <f t="array" ref="E676">IF(D676="M","Male",IF(D676="F","Female","Check"))</f>
        <v>Male</v>
      </c>
      <c r="F676" s="4">
        <v>40000</v>
      </c>
      <c r="G676" t="str" s="8" cm="1">
        <f t="array" ref="G676">IF(F676="","Check","okay")</f>
        <v>okay</v>
      </c>
      <c r="H676" s="3">
        <v>2</v>
      </c>
      <c r="I676" t="s" s="2">
        <v>21</v>
      </c>
      <c r="J676" t="s" s="2">
        <v>22</v>
      </c>
      <c r="K676" t="s" s="2">
        <v>20</v>
      </c>
      <c r="L676" s="3">
        <v>1</v>
      </c>
      <c r="M676" t="s" s="2">
        <v>29</v>
      </c>
      <c r="N676" t="s" s="2">
        <v>35</v>
      </c>
      <c r="O676" s="3">
        <v>47</v>
      </c>
      <c r="P676" t="str" s="8" cm="1">
        <f t="array" ref="P676">IF(O676="","check","Okay")</f>
        <v>Okay</v>
      </c>
      <c r="Q676" t="str" s="8" cm="1">
        <f t="array" ref="Q676">IF(O676&lt;30,"UNDER 30",IF(O676&lt;=50,"30-50","Over 50"))</f>
        <v>30-50</v>
      </c>
      <c r="R676" t="s" s="2">
        <v>17</v>
      </c>
      <c r="S676" s="3" cm="1">
        <f t="array" ref="S676">COUNTIF(A2:A1001,A676)</f>
        <v>1</v>
      </c>
      <c r="T676" t="str" s="8" cm="1">
        <f t="array" ref="T676">IF(ISNUMBER(F676),"Ok","check")</f>
        <v>Ok</v>
      </c>
      <c r="U676" t="str" s="8" cm="1">
        <f t="array" ref="U676">IF(ISNUMBER(O676),"ok","check")</f>
        <v>ok</v>
      </c>
    </row>
    <row r="677" ht="13.55" customHeight="1">
      <c r="A677" s="3">
        <v>14913</v>
      </c>
      <c r="B677" t="s" s="2">
        <v>13</v>
      </c>
      <c r="C677" t="str" s="8" cm="1">
        <f t="array" ref="C677">IF(B677="M","Married","Single")</f>
        <v>Married</v>
      </c>
      <c r="D677" t="s" s="2">
        <v>14</v>
      </c>
      <c r="E677" t="str" s="8" cm="1">
        <f t="array" ref="E677">IF(D677="M","Male",IF(D677="F","Female","Check"))</f>
        <v>Female</v>
      </c>
      <c r="F677" s="4">
        <v>40000</v>
      </c>
      <c r="G677" t="str" s="8" cm="1">
        <f t="array" ref="G677">IF(F677="","Check","okay")</f>
        <v>okay</v>
      </c>
      <c r="H677" s="3">
        <v>1</v>
      </c>
      <c r="I677" t="s" s="2">
        <v>21</v>
      </c>
      <c r="J677" t="s" s="2">
        <v>22</v>
      </c>
      <c r="K677" t="s" s="2">
        <v>17</v>
      </c>
      <c r="L677" s="3">
        <v>1</v>
      </c>
      <c r="M677" t="s" s="2">
        <v>29</v>
      </c>
      <c r="N677" t="s" s="2">
        <v>35</v>
      </c>
      <c r="O677" s="3">
        <v>48</v>
      </c>
      <c r="P677" t="str" s="8" cm="1">
        <f t="array" ref="P677">IF(O677="","check","Okay")</f>
        <v>Okay</v>
      </c>
      <c r="Q677" t="str" s="8" cm="1">
        <f t="array" ref="Q677">IF(O677&lt;30,"UNDER 30",IF(O677&lt;=50,"30-50","Over 50"))</f>
        <v>30-50</v>
      </c>
      <c r="R677" t="s" s="2">
        <v>17</v>
      </c>
      <c r="S677" s="3" cm="1">
        <f t="array" ref="S677">COUNTIF(A2:A1001,A677)</f>
        <v>1</v>
      </c>
      <c r="T677" t="str" s="8" cm="1">
        <f t="array" ref="T677">IF(ISNUMBER(F677),"Ok","check")</f>
        <v>Ok</v>
      </c>
      <c r="U677" t="str" s="8" cm="1">
        <f t="array" ref="U677">IF(ISNUMBER(O677),"ok","check")</f>
        <v>ok</v>
      </c>
    </row>
    <row r="678" ht="13.55" customHeight="1">
      <c r="A678" s="3">
        <v>19228</v>
      </c>
      <c r="B678" t="s" s="2">
        <v>13</v>
      </c>
      <c r="C678" t="str" s="8" cm="1">
        <f t="array" ref="C678">IF(B678="M","Married","Single")</f>
        <v>Married</v>
      </c>
      <c r="D678" t="s" s="2">
        <v>14</v>
      </c>
      <c r="E678" t="str" s="8" cm="1">
        <f t="array" ref="E678">IF(D678="M","Male",IF(D678="F","Female","Check"))</f>
        <v>Female</v>
      </c>
      <c r="F678" s="4">
        <v>40000</v>
      </c>
      <c r="G678" t="str" s="8" cm="1">
        <f t="array" ref="G678">IF(F678="","Check","okay")</f>
        <v>okay</v>
      </c>
      <c r="H678" s="3">
        <v>2</v>
      </c>
      <c r="I678" t="s" s="2">
        <v>21</v>
      </c>
      <c r="J678" t="s" s="2">
        <v>22</v>
      </c>
      <c r="K678" t="s" s="2">
        <v>17</v>
      </c>
      <c r="L678" s="3">
        <v>1</v>
      </c>
      <c r="M678" t="s" s="2">
        <v>18</v>
      </c>
      <c r="N678" t="s" s="2">
        <v>35</v>
      </c>
      <c r="O678" s="3">
        <v>48</v>
      </c>
      <c r="P678" t="str" s="8" cm="1">
        <f t="array" ref="P678">IF(O678="","check","Okay")</f>
        <v>Okay</v>
      </c>
      <c r="Q678" t="str" s="8" cm="1">
        <f t="array" ref="Q678">IF(O678&lt;30,"UNDER 30",IF(O678&lt;=50,"30-50","Over 50"))</f>
        <v>30-50</v>
      </c>
      <c r="R678" t="s" s="2">
        <v>20</v>
      </c>
      <c r="S678" s="3" cm="1">
        <f t="array" ref="S678">COUNTIF(A2:A1001,A678)</f>
        <v>1</v>
      </c>
      <c r="T678" t="str" s="8" cm="1">
        <f t="array" ref="T678">IF(ISNUMBER(F678),"Ok","check")</f>
        <v>Ok</v>
      </c>
      <c r="U678" t="str" s="8" cm="1">
        <f t="array" ref="U678">IF(ISNUMBER(O678),"ok","check")</f>
        <v>ok</v>
      </c>
    </row>
    <row r="679" ht="13.55" customHeight="1">
      <c r="A679" s="3">
        <v>14754</v>
      </c>
      <c r="B679" t="s" s="2">
        <v>13</v>
      </c>
      <c r="C679" t="str" s="8" cm="1">
        <f t="array" ref="C679">IF(B679="M","Married","Single")</f>
        <v>Married</v>
      </c>
      <c r="D679" t="s" s="2">
        <v>13</v>
      </c>
      <c r="E679" t="str" s="8" cm="1">
        <f t="array" ref="E679">IF(D679="M","Male",IF(D679="F","Female","Check"))</f>
        <v>Male</v>
      </c>
      <c r="F679" s="4">
        <v>40000</v>
      </c>
      <c r="G679" t="str" s="8" cm="1">
        <f t="array" ref="G679">IF(F679="","Check","okay")</f>
        <v>okay</v>
      </c>
      <c r="H679" s="3">
        <v>1</v>
      </c>
      <c r="I679" t="s" s="2">
        <v>21</v>
      </c>
      <c r="J679" t="s" s="2">
        <v>22</v>
      </c>
      <c r="K679" t="s" s="2">
        <v>17</v>
      </c>
      <c r="L679" s="3">
        <v>1</v>
      </c>
      <c r="M679" t="s" s="2">
        <v>29</v>
      </c>
      <c r="N679" t="s" s="2">
        <v>35</v>
      </c>
      <c r="O679" s="3">
        <v>48</v>
      </c>
      <c r="P679" t="str" s="8" cm="1">
        <f t="array" ref="P679">IF(O679="","check","Okay")</f>
        <v>Okay</v>
      </c>
      <c r="Q679" t="str" s="8" cm="1">
        <f t="array" ref="Q679">IF(O679&lt;30,"UNDER 30",IF(O679&lt;=50,"30-50","Over 50"))</f>
        <v>30-50</v>
      </c>
      <c r="R679" t="s" s="2">
        <v>17</v>
      </c>
      <c r="S679" s="3" cm="1">
        <f t="array" ref="S679">COUNTIF(A2:A1001,A679)</f>
        <v>1</v>
      </c>
      <c r="T679" t="str" s="8" cm="1">
        <f t="array" ref="T679">IF(ISNUMBER(F679),"Ok","check")</f>
        <v>Ok</v>
      </c>
      <c r="U679" t="str" s="8" cm="1">
        <f t="array" ref="U679">IF(ISNUMBER(O679),"ok","check")</f>
        <v>ok</v>
      </c>
    </row>
    <row r="680" ht="13.55" customHeight="1">
      <c r="A680" s="3">
        <v>14900</v>
      </c>
      <c r="B680" t="s" s="2">
        <v>13</v>
      </c>
      <c r="C680" t="str" s="8" cm="1">
        <f t="array" ref="C680">IF(B680="M","Married","Single")</f>
        <v>Married</v>
      </c>
      <c r="D680" t="s" s="2">
        <v>14</v>
      </c>
      <c r="E680" t="str" s="8" cm="1">
        <f t="array" ref="E680">IF(D680="M","Male",IF(D680="F","Female","Check"))</f>
        <v>Female</v>
      </c>
      <c r="F680" s="4">
        <v>40000</v>
      </c>
      <c r="G680" t="str" s="8" cm="1">
        <f t="array" ref="G680">IF(F680="","Check","okay")</f>
        <v>okay</v>
      </c>
      <c r="H680" s="3">
        <v>1</v>
      </c>
      <c r="I680" t="s" s="2">
        <v>21</v>
      </c>
      <c r="J680" t="s" s="2">
        <v>22</v>
      </c>
      <c r="K680" t="s" s="2">
        <v>17</v>
      </c>
      <c r="L680" s="3">
        <v>1</v>
      </c>
      <c r="M680" t="s" s="2">
        <v>29</v>
      </c>
      <c r="N680" t="s" s="2">
        <v>35</v>
      </c>
      <c r="O680" s="3">
        <v>49</v>
      </c>
      <c r="P680" t="str" s="8" cm="1">
        <f t="array" ref="P680">IF(O680="","check","Okay")</f>
        <v>Okay</v>
      </c>
      <c r="Q680" t="str" s="8" cm="1">
        <f t="array" ref="Q680">IF(O680&lt;30,"UNDER 30",IF(O680&lt;=50,"30-50","Over 50"))</f>
        <v>30-50</v>
      </c>
      <c r="R680" t="s" s="2">
        <v>17</v>
      </c>
      <c r="S680" s="3" cm="1">
        <f t="array" ref="S680">COUNTIF(A2:A1001,A680)</f>
        <v>1</v>
      </c>
      <c r="T680" t="str" s="8" cm="1">
        <f t="array" ref="T680">IF(ISNUMBER(F680),"Ok","check")</f>
        <v>Ok</v>
      </c>
      <c r="U680" t="str" s="8" cm="1">
        <f t="array" ref="U680">IF(ISNUMBER(O680),"ok","check")</f>
        <v>ok</v>
      </c>
    </row>
    <row r="681" ht="13.55" customHeight="1">
      <c r="A681" s="3">
        <v>14914</v>
      </c>
      <c r="B681" t="s" s="2">
        <v>13</v>
      </c>
      <c r="C681" t="str" s="8" cm="1">
        <f t="array" ref="C681">IF(B681="M","Married","Single")</f>
        <v>Married</v>
      </c>
      <c r="D681" t="s" s="2">
        <v>14</v>
      </c>
      <c r="E681" t="str" s="8" cm="1">
        <f t="array" ref="E681">IF(D681="M","Male",IF(D681="F","Female","Check"))</f>
        <v>Female</v>
      </c>
      <c r="F681" s="4">
        <v>40000</v>
      </c>
      <c r="G681" t="str" s="8" cm="1">
        <f t="array" ref="G681">IF(F681="","Check","okay")</f>
        <v>okay</v>
      </c>
      <c r="H681" s="3">
        <v>1</v>
      </c>
      <c r="I681" t="s" s="2">
        <v>21</v>
      </c>
      <c r="J681" t="s" s="2">
        <v>22</v>
      </c>
      <c r="K681" t="s" s="2">
        <v>17</v>
      </c>
      <c r="L681" s="3">
        <v>1</v>
      </c>
      <c r="M681" t="s" s="2">
        <v>29</v>
      </c>
      <c r="N681" t="s" s="2">
        <v>35</v>
      </c>
      <c r="O681" s="3">
        <v>49</v>
      </c>
      <c r="P681" t="str" s="8" cm="1">
        <f t="array" ref="P681">IF(O681="","check","Okay")</f>
        <v>Okay</v>
      </c>
      <c r="Q681" t="str" s="8" cm="1">
        <f t="array" ref="Q681">IF(O681&lt;30,"UNDER 30",IF(O681&lt;=50,"30-50","Over 50"))</f>
        <v>30-50</v>
      </c>
      <c r="R681" t="s" s="2">
        <v>17</v>
      </c>
      <c r="S681" s="3" cm="1">
        <f t="array" ref="S681">COUNTIF(A2:A1001,A681)</f>
        <v>1</v>
      </c>
      <c r="T681" t="str" s="8" cm="1">
        <f t="array" ref="T681">IF(ISNUMBER(F681),"Ok","check")</f>
        <v>Ok</v>
      </c>
      <c r="U681" t="str" s="8" cm="1">
        <f t="array" ref="U681">IF(ISNUMBER(O681),"ok","check")</f>
        <v>ok</v>
      </c>
    </row>
    <row r="682" ht="13.55" customHeight="1">
      <c r="A682" s="3">
        <v>12774</v>
      </c>
      <c r="B682" t="s" s="2">
        <v>13</v>
      </c>
      <c r="C682" t="str" s="8" cm="1">
        <f t="array" ref="C682">IF(B682="M","Married","Single")</f>
        <v>Married</v>
      </c>
      <c r="D682" t="s" s="2">
        <v>14</v>
      </c>
      <c r="E682" t="str" s="8" cm="1">
        <f t="array" ref="E682">IF(D682="M","Male",IF(D682="F","Female","Check"))</f>
        <v>Female</v>
      </c>
      <c r="F682" s="4">
        <v>40000</v>
      </c>
      <c r="G682" t="str" s="8" cm="1">
        <f t="array" ref="G682">IF(F682="","Check","okay")</f>
        <v>okay</v>
      </c>
      <c r="H682" s="3">
        <v>1</v>
      </c>
      <c r="I682" t="s" s="2">
        <v>21</v>
      </c>
      <c r="J682" t="s" s="2">
        <v>22</v>
      </c>
      <c r="K682" t="s" s="2">
        <v>17</v>
      </c>
      <c r="L682" s="3">
        <v>1</v>
      </c>
      <c r="M682" t="s" s="2">
        <v>29</v>
      </c>
      <c r="N682" t="s" s="2">
        <v>35</v>
      </c>
      <c r="O682" s="3">
        <v>51</v>
      </c>
      <c r="P682" t="str" s="8" cm="1">
        <f t="array" ref="P682">IF(O682="","check","Okay")</f>
        <v>Okay</v>
      </c>
      <c r="Q682" t="str" s="8" cm="1">
        <f t="array" ref="Q682">IF(O682&lt;30,"UNDER 30",IF(O682&lt;=50,"30-50","Over 50"))</f>
        <v>Over 50</v>
      </c>
      <c r="R682" t="s" s="2">
        <v>17</v>
      </c>
      <c r="S682" s="3" cm="1">
        <f t="array" ref="S682">COUNTIF(A2:A1001,A682)</f>
        <v>1</v>
      </c>
      <c r="T682" t="str" s="8" cm="1">
        <f t="array" ref="T682">IF(ISNUMBER(F682),"Ok","check")</f>
        <v>Ok</v>
      </c>
      <c r="U682" t="str" s="8" cm="1">
        <f t="array" ref="U682">IF(ISNUMBER(O682),"ok","check")</f>
        <v>ok</v>
      </c>
    </row>
    <row r="683" ht="13.55" customHeight="1">
      <c r="A683" s="3">
        <v>24738</v>
      </c>
      <c r="B683" t="s" s="2">
        <v>13</v>
      </c>
      <c r="C683" t="str" s="8" cm="1">
        <f t="array" ref="C683">IF(B683="M","Married","Single")</f>
        <v>Married</v>
      </c>
      <c r="D683" t="s" s="2">
        <v>14</v>
      </c>
      <c r="E683" t="str" s="8" cm="1">
        <f t="array" ref="E683">IF(D683="M","Male",IF(D683="F","Female","Check"))</f>
        <v>Female</v>
      </c>
      <c r="F683" s="4">
        <v>40000</v>
      </c>
      <c r="G683" t="str" s="8" cm="1">
        <f t="array" ref="G683">IF(F683="","Check","okay")</f>
        <v>okay</v>
      </c>
      <c r="H683" s="3">
        <v>1</v>
      </c>
      <c r="I683" t="s" s="2">
        <v>21</v>
      </c>
      <c r="J683" t="s" s="2">
        <v>22</v>
      </c>
      <c r="K683" t="s" s="2">
        <v>17</v>
      </c>
      <c r="L683" s="3">
        <v>1</v>
      </c>
      <c r="M683" t="s" s="2">
        <v>29</v>
      </c>
      <c r="N683" t="s" s="2">
        <v>35</v>
      </c>
      <c r="O683" s="3">
        <v>51</v>
      </c>
      <c r="P683" t="str" s="8" cm="1">
        <f t="array" ref="P683">IF(O683="","check","Okay")</f>
        <v>Okay</v>
      </c>
      <c r="Q683" t="str" s="8" cm="1">
        <f t="array" ref="Q683">IF(O683&lt;30,"UNDER 30",IF(O683&lt;=50,"30-50","Over 50"))</f>
        <v>Over 50</v>
      </c>
      <c r="R683" t="s" s="2">
        <v>17</v>
      </c>
      <c r="S683" s="3" cm="1">
        <f t="array" ref="S683">COUNTIF(A2:A1001,A683)</f>
        <v>1</v>
      </c>
      <c r="T683" t="str" s="8" cm="1">
        <f t="array" ref="T683">IF(ISNUMBER(F683),"Ok","check")</f>
        <v>Ok</v>
      </c>
      <c r="U683" t="str" s="8" cm="1">
        <f t="array" ref="U683">IF(ISNUMBER(O683),"ok","check")</f>
        <v>ok</v>
      </c>
    </row>
    <row r="684" ht="13.55" customHeight="1">
      <c r="A684" s="3">
        <v>29097</v>
      </c>
      <c r="B684" t="s" s="2">
        <v>25</v>
      </c>
      <c r="C684" t="str" s="8" cm="1">
        <f t="array" ref="C684">IF(B684="M","Married","Single")</f>
        <v>Single</v>
      </c>
      <c r="D684" t="s" s="2">
        <v>14</v>
      </c>
      <c r="E684" t="str" s="8" cm="1">
        <f t="array" ref="E684">IF(D684="M","Male",IF(D684="F","Female","Check"))</f>
        <v>Female</v>
      </c>
      <c r="F684" s="4">
        <v>40000</v>
      </c>
      <c r="G684" t="str" s="8" cm="1">
        <f t="array" ref="G684">IF(F684="","Check","okay")</f>
        <v>okay</v>
      </c>
      <c r="H684" s="3">
        <v>2</v>
      </c>
      <c r="I684" t="s" s="2">
        <v>21</v>
      </c>
      <c r="J684" t="s" s="2">
        <v>16</v>
      </c>
      <c r="K684" t="s" s="2">
        <v>17</v>
      </c>
      <c r="L684" s="3">
        <v>2</v>
      </c>
      <c r="M684" t="s" s="2">
        <v>26</v>
      </c>
      <c r="N684" t="s" s="2">
        <v>27</v>
      </c>
      <c r="O684" s="3">
        <v>52</v>
      </c>
      <c r="P684" t="str" s="8" cm="1">
        <f t="array" ref="P684">IF(O684="","check","Okay")</f>
        <v>Okay</v>
      </c>
      <c r="Q684" t="str" s="8" cm="1">
        <f t="array" ref="Q684">IF(O684&lt;30,"UNDER 30",IF(O684&lt;=50,"30-50","Over 50"))</f>
        <v>Over 50</v>
      </c>
      <c r="R684" t="s" s="2">
        <v>17</v>
      </c>
      <c r="S684" s="3" cm="1">
        <f t="array" ref="S684">COUNTIF(A2:A1001,A684)</f>
        <v>1</v>
      </c>
      <c r="T684" t="str" s="8" cm="1">
        <f t="array" ref="T684">IF(ISNUMBER(F684),"Ok","check")</f>
        <v>Ok</v>
      </c>
      <c r="U684" t="str" s="8" cm="1">
        <f t="array" ref="U684">IF(ISNUMBER(O684),"ok","check")</f>
        <v>ok</v>
      </c>
    </row>
    <row r="685" ht="13.55" customHeight="1">
      <c r="A685" s="3">
        <v>16713</v>
      </c>
      <c r="B685" t="s" s="2">
        <v>13</v>
      </c>
      <c r="C685" t="str" s="8" cm="1">
        <f t="array" ref="C685">IF(B685="M","Married","Single")</f>
        <v>Married</v>
      </c>
      <c r="D685" t="s" s="2">
        <v>13</v>
      </c>
      <c r="E685" t="str" s="8" cm="1">
        <f t="array" ref="E685">IF(D685="M","Male",IF(D685="F","Female","Check"))</f>
        <v>Male</v>
      </c>
      <c r="F685" s="4">
        <v>40000</v>
      </c>
      <c r="G685" t="str" s="8" cm="1">
        <f t="array" ref="G685">IF(F685="","Check","okay")</f>
        <v>okay</v>
      </c>
      <c r="H685" s="3">
        <v>2</v>
      </c>
      <c r="I685" t="s" s="2">
        <v>15</v>
      </c>
      <c r="J685" t="s" s="2">
        <v>31</v>
      </c>
      <c r="K685" t="s" s="2">
        <v>17</v>
      </c>
      <c r="L685" s="3">
        <v>1</v>
      </c>
      <c r="M685" t="s" s="2">
        <v>18</v>
      </c>
      <c r="N685" t="s" s="2">
        <v>27</v>
      </c>
      <c r="O685" s="3">
        <v>52</v>
      </c>
      <c r="P685" t="str" s="8" cm="1">
        <f t="array" ref="P685">IF(O685="","check","Okay")</f>
        <v>Okay</v>
      </c>
      <c r="Q685" t="str" s="8" cm="1">
        <f t="array" ref="Q685">IF(O685&lt;30,"UNDER 30",IF(O685&lt;=50,"30-50","Over 50"))</f>
        <v>Over 50</v>
      </c>
      <c r="R685" t="s" s="2">
        <v>17</v>
      </c>
      <c r="S685" s="3" cm="1">
        <f t="array" ref="S685">COUNTIF(A2:A1001,A685)</f>
        <v>1</v>
      </c>
      <c r="T685" t="str" s="8" cm="1">
        <f t="array" ref="T685">IF(ISNUMBER(F685),"Ok","check")</f>
        <v>Ok</v>
      </c>
      <c r="U685" t="str" s="8" cm="1">
        <f t="array" ref="U685">IF(ISNUMBER(O685),"ok","check")</f>
        <v>ok</v>
      </c>
    </row>
    <row r="686" ht="13.55" customHeight="1">
      <c r="A686" s="3">
        <v>23105</v>
      </c>
      <c r="B686" t="s" s="2">
        <v>25</v>
      </c>
      <c r="C686" t="str" s="8" cm="1">
        <f t="array" ref="C686">IF(B686="M","Married","Single")</f>
        <v>Single</v>
      </c>
      <c r="D686" t="s" s="2">
        <v>13</v>
      </c>
      <c r="E686" t="str" s="8" cm="1">
        <f t="array" ref="E686">IF(D686="M","Male",IF(D686="F","Female","Check"))</f>
        <v>Male</v>
      </c>
      <c r="F686" s="4">
        <v>40000</v>
      </c>
      <c r="G686" t="str" s="8" cm="1">
        <f t="array" ref="G686">IF(F686="","Check","okay")</f>
        <v>okay</v>
      </c>
      <c r="H686" s="3">
        <v>3</v>
      </c>
      <c r="I686" t="s" s="2">
        <v>32</v>
      </c>
      <c r="J686" t="s" s="2">
        <v>22</v>
      </c>
      <c r="K686" t="s" s="2">
        <v>20</v>
      </c>
      <c r="L686" s="3">
        <v>2</v>
      </c>
      <c r="M686" t="s" s="2">
        <v>26</v>
      </c>
      <c r="N686" t="s" s="2">
        <v>27</v>
      </c>
      <c r="O686" s="3">
        <v>52</v>
      </c>
      <c r="P686" t="str" s="8" cm="1">
        <f t="array" ref="P686">IF(O686="","check","Okay")</f>
        <v>Okay</v>
      </c>
      <c r="Q686" t="str" s="8" cm="1">
        <f t="array" ref="Q686">IF(O686&lt;30,"UNDER 30",IF(O686&lt;=50,"30-50","Over 50"))</f>
        <v>Over 50</v>
      </c>
      <c r="R686" t="s" s="2">
        <v>17</v>
      </c>
      <c r="S686" s="3" cm="1">
        <f t="array" ref="S686">COUNTIF(A2:A1001,A686)</f>
        <v>1</v>
      </c>
      <c r="T686" t="str" s="8" cm="1">
        <f t="array" ref="T686">IF(ISNUMBER(F686),"Ok","check")</f>
        <v>Ok</v>
      </c>
      <c r="U686" t="str" s="8" cm="1">
        <f t="array" ref="U686">IF(ISNUMBER(O686),"ok","check")</f>
        <v>ok</v>
      </c>
    </row>
    <row r="687" ht="13.55" customHeight="1">
      <c r="A687" s="3">
        <v>24279</v>
      </c>
      <c r="B687" t="s" s="2">
        <v>25</v>
      </c>
      <c r="C687" t="str" s="8" cm="1">
        <f t="array" ref="C687">IF(B687="M","Married","Single")</f>
        <v>Single</v>
      </c>
      <c r="D687" t="s" s="2">
        <v>13</v>
      </c>
      <c r="E687" t="str" s="8" cm="1">
        <f t="array" ref="E687">IF(D687="M","Male",IF(D687="F","Female","Check"))</f>
        <v>Male</v>
      </c>
      <c r="F687" s="4">
        <v>40000</v>
      </c>
      <c r="G687" t="str" s="8" cm="1">
        <f t="array" ref="G687">IF(F687="","Check","okay")</f>
        <v>okay</v>
      </c>
      <c r="H687" s="3">
        <v>2</v>
      </c>
      <c r="I687" t="s" s="2">
        <v>21</v>
      </c>
      <c r="J687" t="s" s="2">
        <v>16</v>
      </c>
      <c r="K687" t="s" s="2">
        <v>20</v>
      </c>
      <c r="L687" s="3">
        <v>2</v>
      </c>
      <c r="M687" t="s" s="2">
        <v>29</v>
      </c>
      <c r="N687" t="s" s="2">
        <v>27</v>
      </c>
      <c r="O687" s="3">
        <v>52</v>
      </c>
      <c r="P687" t="str" s="8" cm="1">
        <f t="array" ref="P687">IF(O687="","check","Okay")</f>
        <v>Okay</v>
      </c>
      <c r="Q687" t="str" s="8" cm="1">
        <f t="array" ref="Q687">IF(O687&lt;30,"UNDER 30",IF(O687&lt;=50,"30-50","Over 50"))</f>
        <v>Over 50</v>
      </c>
      <c r="R687" t="s" s="2">
        <v>20</v>
      </c>
      <c r="S687" s="3" cm="1">
        <f t="array" ref="S687">COUNTIF(A2:A1001,A687)</f>
        <v>1</v>
      </c>
      <c r="T687" t="str" s="8" cm="1">
        <f t="array" ref="T687">IF(ISNUMBER(F687),"Ok","check")</f>
        <v>Ok</v>
      </c>
      <c r="U687" t="str" s="8" cm="1">
        <f t="array" ref="U687">IF(ISNUMBER(O687),"ok","check")</f>
        <v>ok</v>
      </c>
    </row>
    <row r="688" ht="13.55" customHeight="1">
      <c r="A688" s="3">
        <v>24485</v>
      </c>
      <c r="B688" t="s" s="2">
        <v>25</v>
      </c>
      <c r="C688" t="str" s="8" cm="1">
        <f t="array" ref="C688">IF(B688="M","Married","Single")</f>
        <v>Single</v>
      </c>
      <c r="D688" t="s" s="2">
        <v>13</v>
      </c>
      <c r="E688" t="str" s="8" cm="1">
        <f t="array" ref="E688">IF(D688="M","Male",IF(D688="F","Female","Check"))</f>
        <v>Male</v>
      </c>
      <c r="F688" s="4">
        <v>40000</v>
      </c>
      <c r="G688" t="str" s="8" cm="1">
        <f t="array" ref="G688">IF(F688="","Check","okay")</f>
        <v>okay</v>
      </c>
      <c r="H688" s="3">
        <v>2</v>
      </c>
      <c r="I688" t="s" s="2">
        <v>15</v>
      </c>
      <c r="J688" t="s" s="2">
        <v>31</v>
      </c>
      <c r="K688" t="s" s="2">
        <v>20</v>
      </c>
      <c r="L688" s="3">
        <v>1</v>
      </c>
      <c r="M688" t="s" s="2">
        <v>26</v>
      </c>
      <c r="N688" t="s" s="2">
        <v>27</v>
      </c>
      <c r="O688" s="3">
        <v>52</v>
      </c>
      <c r="P688" t="str" s="8" cm="1">
        <f t="array" ref="P688">IF(O688="","check","Okay")</f>
        <v>Okay</v>
      </c>
      <c r="Q688" t="str" s="8" cm="1">
        <f t="array" ref="Q688">IF(O688&lt;30,"UNDER 30",IF(O688&lt;=50,"30-50","Over 50"))</f>
        <v>Over 50</v>
      </c>
      <c r="R688" t="s" s="2">
        <v>17</v>
      </c>
      <c r="S688" s="3" cm="1">
        <f t="array" ref="S688">COUNTIF(A2:A1001,A688)</f>
        <v>1</v>
      </c>
      <c r="T688" t="str" s="8" cm="1">
        <f t="array" ref="T688">IF(ISNUMBER(F688),"Ok","check")</f>
        <v>Ok</v>
      </c>
      <c r="U688" t="str" s="8" cm="1">
        <f t="array" ref="U688">IF(ISNUMBER(O688),"ok","check")</f>
        <v>ok</v>
      </c>
    </row>
    <row r="689" ht="13.55" customHeight="1">
      <c r="A689" s="3">
        <v>26167</v>
      </c>
      <c r="B689" t="s" s="2">
        <v>25</v>
      </c>
      <c r="C689" t="str" s="8" cm="1">
        <f t="array" ref="C689">IF(B689="M","Married","Single")</f>
        <v>Single</v>
      </c>
      <c r="D689" t="s" s="2">
        <v>14</v>
      </c>
      <c r="E689" t="str" s="8" cm="1">
        <f t="array" ref="E689">IF(D689="M","Male",IF(D689="F","Female","Check"))</f>
        <v>Female</v>
      </c>
      <c r="F689" s="4">
        <v>40000</v>
      </c>
      <c r="G689" t="str" s="8" cm="1">
        <f t="array" ref="G689">IF(F689="","Check","okay")</f>
        <v>okay</v>
      </c>
      <c r="H689" s="3">
        <v>2</v>
      </c>
      <c r="I689" t="s" s="2">
        <v>15</v>
      </c>
      <c r="J689" t="s" s="2">
        <v>31</v>
      </c>
      <c r="K689" t="s" s="2">
        <v>20</v>
      </c>
      <c r="L689" s="3">
        <v>1</v>
      </c>
      <c r="M689" t="s" s="2">
        <v>26</v>
      </c>
      <c r="N689" t="s" s="2">
        <v>27</v>
      </c>
      <c r="O689" s="3">
        <v>53</v>
      </c>
      <c r="P689" t="str" s="8" cm="1">
        <f t="array" ref="P689">IF(O689="","check","Okay")</f>
        <v>Okay</v>
      </c>
      <c r="Q689" t="str" s="8" cm="1">
        <f t="array" ref="Q689">IF(O689&lt;30,"UNDER 30",IF(O689&lt;=50,"30-50","Over 50"))</f>
        <v>Over 50</v>
      </c>
      <c r="R689" t="s" s="2">
        <v>17</v>
      </c>
      <c r="S689" s="3" cm="1">
        <f t="array" ref="S689">COUNTIF(A2:A1001,A689)</f>
        <v>1</v>
      </c>
      <c r="T689" t="str" s="8" cm="1">
        <f t="array" ref="T689">IF(ISNUMBER(F689),"Ok","check")</f>
        <v>Ok</v>
      </c>
      <c r="U689" t="str" s="8" cm="1">
        <f t="array" ref="U689">IF(ISNUMBER(O689),"ok","check")</f>
        <v>ok</v>
      </c>
    </row>
    <row r="690" ht="13.55" customHeight="1">
      <c r="A690" s="3">
        <v>27494</v>
      </c>
      <c r="B690" t="s" s="2">
        <v>25</v>
      </c>
      <c r="C690" t="str" s="8" cm="1">
        <f t="array" ref="C690">IF(B690="M","Married","Single")</f>
        <v>Single</v>
      </c>
      <c r="D690" t="s" s="2">
        <v>14</v>
      </c>
      <c r="E690" t="str" s="8" cm="1">
        <f t="array" ref="E690">IF(D690="M","Male",IF(D690="F","Female","Check"))</f>
        <v>Female</v>
      </c>
      <c r="F690" s="4">
        <v>40000</v>
      </c>
      <c r="G690" t="str" s="8" cm="1">
        <f t="array" ref="G690">IF(F690="","Check","okay")</f>
        <v>okay</v>
      </c>
      <c r="H690" s="3">
        <v>2</v>
      </c>
      <c r="I690" t="s" s="2">
        <v>21</v>
      </c>
      <c r="J690" t="s" s="2">
        <v>16</v>
      </c>
      <c r="K690" t="s" s="2">
        <v>20</v>
      </c>
      <c r="L690" s="3">
        <v>2</v>
      </c>
      <c r="M690" t="s" s="2">
        <v>29</v>
      </c>
      <c r="N690" t="s" s="2">
        <v>27</v>
      </c>
      <c r="O690" s="3">
        <v>53</v>
      </c>
      <c r="P690" t="str" s="8" cm="1">
        <f t="array" ref="P690">IF(O690="","check","Okay")</f>
        <v>Okay</v>
      </c>
      <c r="Q690" t="str" s="8" cm="1">
        <f t="array" ref="Q690">IF(O690&lt;30,"UNDER 30",IF(O690&lt;=50,"30-50","Over 50"))</f>
        <v>Over 50</v>
      </c>
      <c r="R690" t="s" s="2">
        <v>17</v>
      </c>
      <c r="S690" s="3" cm="1">
        <f t="array" ref="S690">COUNTIF(A2:A1001,A690)</f>
        <v>1</v>
      </c>
      <c r="T690" t="str" s="8" cm="1">
        <f t="array" ref="T690">IF(ISNUMBER(F690),"Ok","check")</f>
        <v>Ok</v>
      </c>
      <c r="U690" t="str" s="8" cm="1">
        <f t="array" ref="U690">IF(ISNUMBER(O690),"ok","check")</f>
        <v>ok</v>
      </c>
    </row>
    <row r="691" ht="13.55" customHeight="1">
      <c r="A691" s="3">
        <v>16895</v>
      </c>
      <c r="B691" t="s" s="2">
        <v>13</v>
      </c>
      <c r="C691" t="str" s="8" cm="1">
        <f t="array" ref="C691">IF(B691="M","Married","Single")</f>
        <v>Married</v>
      </c>
      <c r="D691" t="s" s="2">
        <v>14</v>
      </c>
      <c r="E691" t="str" s="8" cm="1">
        <f t="array" ref="E691">IF(D691="M","Male",IF(D691="F","Female","Check"))</f>
        <v>Female</v>
      </c>
      <c r="F691" s="4">
        <v>40000</v>
      </c>
      <c r="G691" t="str" s="8" cm="1">
        <f t="array" ref="G691">IF(F691="","Check","okay")</f>
        <v>okay</v>
      </c>
      <c r="H691" s="3">
        <v>3</v>
      </c>
      <c r="I691" t="s" s="2">
        <v>21</v>
      </c>
      <c r="J691" t="s" s="2">
        <v>23</v>
      </c>
      <c r="K691" t="s" s="2">
        <v>20</v>
      </c>
      <c r="L691" s="3">
        <v>2</v>
      </c>
      <c r="M691" t="s" s="2">
        <v>29</v>
      </c>
      <c r="N691" t="s" s="2">
        <v>35</v>
      </c>
      <c r="O691" s="3">
        <v>54</v>
      </c>
      <c r="P691" t="str" s="8" cm="1">
        <f t="array" ref="P691">IF(O691="","check","Okay")</f>
        <v>Okay</v>
      </c>
      <c r="Q691" t="str" s="8" cm="1">
        <f t="array" ref="Q691">IF(O691&lt;30,"UNDER 30",IF(O691&lt;=50,"30-50","Over 50"))</f>
        <v>Over 50</v>
      </c>
      <c r="R691" t="s" s="2">
        <v>17</v>
      </c>
      <c r="S691" s="3" cm="1">
        <f t="array" ref="S691">COUNTIF(A2:A1001,A691)</f>
        <v>1</v>
      </c>
      <c r="T691" t="str" s="8" cm="1">
        <f t="array" ref="T691">IF(ISNUMBER(F691),"Ok","check")</f>
        <v>Ok</v>
      </c>
      <c r="U691" t="str" s="8" cm="1">
        <f t="array" ref="U691">IF(ISNUMBER(O691),"ok","check")</f>
        <v>ok</v>
      </c>
    </row>
    <row r="692" ht="13.55" customHeight="1">
      <c r="A692" s="3">
        <v>23513</v>
      </c>
      <c r="B692" t="s" s="2">
        <v>13</v>
      </c>
      <c r="C692" t="str" s="8" cm="1">
        <f t="array" ref="C692">IF(B692="M","Married","Single")</f>
        <v>Married</v>
      </c>
      <c r="D692" t="s" s="2">
        <v>14</v>
      </c>
      <c r="E692" t="str" s="8" cm="1">
        <f t="array" ref="E692">IF(D692="M","Male",IF(D692="F","Female","Check"))</f>
        <v>Female</v>
      </c>
      <c r="F692" s="4">
        <v>40000</v>
      </c>
      <c r="G692" t="str" s="8" cm="1">
        <f t="array" ref="G692">IF(F692="","Check","okay")</f>
        <v>okay</v>
      </c>
      <c r="H692" s="3">
        <v>3</v>
      </c>
      <c r="I692" t="s" s="2">
        <v>21</v>
      </c>
      <c r="J692" t="s" s="2">
        <v>23</v>
      </c>
      <c r="K692" t="s" s="2">
        <v>17</v>
      </c>
      <c r="L692" s="3">
        <v>2</v>
      </c>
      <c r="M692" t="s" s="2">
        <v>26</v>
      </c>
      <c r="N692" t="s" s="2">
        <v>35</v>
      </c>
      <c r="O692" s="3">
        <v>54</v>
      </c>
      <c r="P692" t="str" s="8" cm="1">
        <f t="array" ref="P692">IF(O692="","check","Okay")</f>
        <v>Okay</v>
      </c>
      <c r="Q692" t="str" s="8" cm="1">
        <f t="array" ref="Q692">IF(O692&lt;30,"UNDER 30",IF(O692&lt;=50,"30-50","Over 50"))</f>
        <v>Over 50</v>
      </c>
      <c r="R692" t="s" s="2">
        <v>20</v>
      </c>
      <c r="S692" s="3" cm="1">
        <f t="array" ref="S692">COUNTIF(A2:A1001,A692)</f>
        <v>1</v>
      </c>
      <c r="T692" t="str" s="8" cm="1">
        <f t="array" ref="T692">IF(ISNUMBER(F692),"Ok","check")</f>
        <v>Ok</v>
      </c>
      <c r="U692" t="str" s="8" cm="1">
        <f t="array" ref="U692">IF(ISNUMBER(O692),"ok","check")</f>
        <v>ok</v>
      </c>
    </row>
    <row r="693" ht="13.55" customHeight="1">
      <c r="A693" s="3">
        <v>14495</v>
      </c>
      <c r="B693" t="s" s="2">
        <v>13</v>
      </c>
      <c r="C693" t="str" s="8" cm="1">
        <f t="array" ref="C693">IF(B693="M","Married","Single")</f>
        <v>Married</v>
      </c>
      <c r="D693" t="s" s="2">
        <v>13</v>
      </c>
      <c r="E693" t="str" s="8" cm="1">
        <f t="array" ref="E693">IF(D693="M","Male",IF(D693="F","Female","Check"))</f>
        <v>Male</v>
      </c>
      <c r="F693" s="4">
        <v>40000</v>
      </c>
      <c r="G693" t="str" s="8" cm="1">
        <f t="array" ref="G693">IF(F693="","Check","okay")</f>
        <v>okay</v>
      </c>
      <c r="H693" s="3">
        <v>3</v>
      </c>
      <c r="I693" t="s" s="2">
        <v>21</v>
      </c>
      <c r="J693" t="s" s="2">
        <v>23</v>
      </c>
      <c r="K693" t="s" s="2">
        <v>20</v>
      </c>
      <c r="L693" s="3">
        <v>2</v>
      </c>
      <c r="M693" t="s" s="2">
        <v>26</v>
      </c>
      <c r="N693" t="s" s="2">
        <v>35</v>
      </c>
      <c r="O693" s="3">
        <v>54</v>
      </c>
      <c r="P693" t="str" s="8" cm="1">
        <f t="array" ref="P693">IF(O693="","check","Okay")</f>
        <v>Okay</v>
      </c>
      <c r="Q693" t="str" s="8" cm="1">
        <f t="array" ref="Q693">IF(O693&lt;30,"UNDER 30",IF(O693&lt;=50,"30-50","Over 50"))</f>
        <v>Over 50</v>
      </c>
      <c r="R693" t="s" s="2">
        <v>17</v>
      </c>
      <c r="S693" s="3" cm="1">
        <f t="array" ref="S693">COUNTIF(A2:A1001,A693)</f>
        <v>1</v>
      </c>
      <c r="T693" t="str" s="8" cm="1">
        <f t="array" ref="T693">IF(ISNUMBER(F693),"Ok","check")</f>
        <v>Ok</v>
      </c>
      <c r="U693" t="str" s="8" cm="1">
        <f t="array" ref="U693">IF(ISNUMBER(O693),"ok","check")</f>
        <v>ok</v>
      </c>
    </row>
    <row r="694" ht="13.55" customHeight="1">
      <c r="A694" s="3">
        <v>20528</v>
      </c>
      <c r="B694" t="s" s="2">
        <v>13</v>
      </c>
      <c r="C694" t="str" s="8" cm="1">
        <f t="array" ref="C694">IF(B694="M","Married","Single")</f>
        <v>Married</v>
      </c>
      <c r="D694" t="s" s="2">
        <v>13</v>
      </c>
      <c r="E694" t="str" s="8" cm="1">
        <f t="array" ref="E694">IF(D694="M","Male",IF(D694="F","Female","Check"))</f>
        <v>Male</v>
      </c>
      <c r="F694" s="4">
        <v>40000</v>
      </c>
      <c r="G694" t="str" s="8" cm="1">
        <f t="array" ref="G694">IF(F694="","Check","okay")</f>
        <v>okay</v>
      </c>
      <c r="H694" s="3">
        <v>2</v>
      </c>
      <c r="I694" t="s" s="2">
        <v>32</v>
      </c>
      <c r="J694" t="s" s="2">
        <v>16</v>
      </c>
      <c r="K694" t="s" s="2">
        <v>17</v>
      </c>
      <c r="L694" s="3">
        <v>2</v>
      </c>
      <c r="M694" t="s" s="2">
        <v>24</v>
      </c>
      <c r="N694" t="s" s="2">
        <v>35</v>
      </c>
      <c r="O694" s="3">
        <v>55</v>
      </c>
      <c r="P694" t="str" s="8" cm="1">
        <f t="array" ref="P694">IF(O694="","check","Okay")</f>
        <v>Okay</v>
      </c>
      <c r="Q694" t="str" s="8" cm="1">
        <f t="array" ref="Q694">IF(O694&lt;30,"UNDER 30",IF(O694&lt;=50,"30-50","Over 50"))</f>
        <v>Over 50</v>
      </c>
      <c r="R694" t="s" s="2">
        <v>20</v>
      </c>
      <c r="S694" s="3" cm="1">
        <f t="array" ref="S694">COUNTIF(A2:A1001,A694)</f>
        <v>1</v>
      </c>
      <c r="T694" t="str" s="8" cm="1">
        <f t="array" ref="T694">IF(ISNUMBER(F694),"Ok","check")</f>
        <v>Ok</v>
      </c>
      <c r="U694" t="str" s="8" cm="1">
        <f t="array" ref="U694">IF(ISNUMBER(O694),"ok","check")</f>
        <v>ok</v>
      </c>
    </row>
    <row r="695" ht="13.55" customHeight="1">
      <c r="A695" s="3">
        <v>26495</v>
      </c>
      <c r="B695" t="s" s="2">
        <v>25</v>
      </c>
      <c r="C695" t="str" s="8" cm="1">
        <f t="array" ref="C695">IF(B695="M","Married","Single")</f>
        <v>Single</v>
      </c>
      <c r="D695" t="s" s="2">
        <v>14</v>
      </c>
      <c r="E695" t="str" s="8" cm="1">
        <f t="array" ref="E695">IF(D695="M","Male",IF(D695="F","Female","Check"))</f>
        <v>Female</v>
      </c>
      <c r="F695" s="4">
        <v>40000</v>
      </c>
      <c r="G695" t="str" s="8" cm="1">
        <f t="array" ref="G695">IF(F695="","Check","okay")</f>
        <v>okay</v>
      </c>
      <c r="H695" s="3">
        <v>2</v>
      </c>
      <c r="I695" t="s" s="2">
        <v>30</v>
      </c>
      <c r="J695" t="s" s="2">
        <v>23</v>
      </c>
      <c r="K695" t="s" s="2">
        <v>17</v>
      </c>
      <c r="L695" s="3">
        <v>2</v>
      </c>
      <c r="M695" t="s" s="2">
        <v>33</v>
      </c>
      <c r="N695" t="s" s="2">
        <v>35</v>
      </c>
      <c r="O695" s="3">
        <v>57</v>
      </c>
      <c r="P695" t="str" s="8" cm="1">
        <f t="array" ref="P695">IF(O695="","check","Okay")</f>
        <v>Okay</v>
      </c>
      <c r="Q695" t="str" s="8" cm="1">
        <f t="array" ref="Q695">IF(O695&lt;30,"UNDER 30",IF(O695&lt;=50,"30-50","Over 50"))</f>
        <v>Over 50</v>
      </c>
      <c r="R695" t="s" s="2">
        <v>20</v>
      </c>
      <c r="S695" s="3" cm="1">
        <f t="array" ref="S695">COUNTIF(A2:A1001,A695)</f>
        <v>1</v>
      </c>
      <c r="T695" t="str" s="8" cm="1">
        <f t="array" ref="T695">IF(ISNUMBER(F695),"Ok","check")</f>
        <v>Ok</v>
      </c>
      <c r="U695" t="str" s="8" cm="1">
        <f t="array" ref="U695">IF(ISNUMBER(O695),"ok","check")</f>
        <v>ok</v>
      </c>
    </row>
    <row r="696" ht="13.55" customHeight="1">
      <c r="A696" s="3">
        <v>28997</v>
      </c>
      <c r="B696" t="s" s="2">
        <v>25</v>
      </c>
      <c r="C696" t="str" s="8" cm="1">
        <f t="array" ref="C696">IF(B696="M","Married","Single")</f>
        <v>Single</v>
      </c>
      <c r="D696" t="s" s="2">
        <v>13</v>
      </c>
      <c r="E696" t="str" s="8" cm="1">
        <f t="array" ref="E696">IF(D696="M","Male",IF(D696="F","Female","Check"))</f>
        <v>Male</v>
      </c>
      <c r="F696" s="4">
        <v>40000</v>
      </c>
      <c r="G696" t="str" s="8" cm="1">
        <f t="array" ref="G696">IF(F696="","Check","okay")</f>
        <v>okay</v>
      </c>
      <c r="H696" s="3">
        <v>2</v>
      </c>
      <c r="I696" t="s" s="2">
        <v>30</v>
      </c>
      <c r="J696" t="s" s="2">
        <v>23</v>
      </c>
      <c r="K696" t="s" s="2">
        <v>20</v>
      </c>
      <c r="L696" s="3">
        <v>1</v>
      </c>
      <c r="M696" t="s" s="2">
        <v>24</v>
      </c>
      <c r="N696" t="s" s="2">
        <v>35</v>
      </c>
      <c r="O696" s="3">
        <v>58</v>
      </c>
      <c r="P696" t="str" s="8" cm="1">
        <f t="array" ref="P696">IF(O696="","check","Okay")</f>
        <v>Okay</v>
      </c>
      <c r="Q696" t="str" s="8" cm="1">
        <f t="array" ref="Q696">IF(O696&lt;30,"UNDER 30",IF(O696&lt;=50,"30-50","Over 50"))</f>
        <v>Over 50</v>
      </c>
      <c r="R696" t="s" s="2">
        <v>17</v>
      </c>
      <c r="S696" s="3" cm="1">
        <f t="array" ref="S696">COUNTIF(A2:A1001,A696)</f>
        <v>1</v>
      </c>
      <c r="T696" t="str" s="8" cm="1">
        <f t="array" ref="T696">IF(ISNUMBER(F696),"Ok","check")</f>
        <v>Ok</v>
      </c>
      <c r="U696" t="str" s="8" cm="1">
        <f t="array" ref="U696">IF(ISNUMBER(O696),"ok","check")</f>
        <v>ok</v>
      </c>
    </row>
    <row r="697" ht="13.55" customHeight="1">
      <c r="A697" s="3">
        <v>23668</v>
      </c>
      <c r="B697" t="s" s="2">
        <v>13</v>
      </c>
      <c r="C697" t="str" s="8" cm="1">
        <f t="array" ref="C697">IF(B697="M","Married","Single")</f>
        <v>Married</v>
      </c>
      <c r="D697" t="s" s="2">
        <v>14</v>
      </c>
      <c r="E697" t="str" s="8" cm="1">
        <f t="array" ref="E697">IF(D697="M","Male",IF(D697="F","Female","Check"))</f>
        <v>Female</v>
      </c>
      <c r="F697" s="4">
        <v>40000</v>
      </c>
      <c r="G697" t="str" s="8" cm="1">
        <f t="array" ref="G697">IF(F697="","Check","okay")</f>
        <v>okay</v>
      </c>
      <c r="H697" s="3">
        <v>4</v>
      </c>
      <c r="I697" t="s" s="2">
        <v>30</v>
      </c>
      <c r="J697" t="s" s="2">
        <v>23</v>
      </c>
      <c r="K697" t="s" s="2">
        <v>17</v>
      </c>
      <c r="L697" s="3">
        <v>2</v>
      </c>
      <c r="M697" t="s" s="2">
        <v>26</v>
      </c>
      <c r="N697" t="s" s="2">
        <v>35</v>
      </c>
      <c r="O697" s="3">
        <v>59</v>
      </c>
      <c r="P697" t="str" s="8" cm="1">
        <f t="array" ref="P697">IF(O697="","check","Okay")</f>
        <v>Okay</v>
      </c>
      <c r="Q697" t="str" s="8" cm="1">
        <f t="array" ref="Q697">IF(O697&lt;30,"UNDER 30",IF(O697&lt;=50,"30-50","Over 50"))</f>
        <v>Over 50</v>
      </c>
      <c r="R697" t="s" s="2">
        <v>17</v>
      </c>
      <c r="S697" s="3" cm="1">
        <f t="array" ref="S697">COUNTIF(A2:A1001,A697)</f>
        <v>1</v>
      </c>
      <c r="T697" t="str" s="8" cm="1">
        <f t="array" ref="T697">IF(ISNUMBER(F697),"Ok","check")</f>
        <v>Ok</v>
      </c>
      <c r="U697" t="str" s="8" cm="1">
        <f t="array" ref="U697">IF(ISNUMBER(O697),"ok","check")</f>
        <v>ok</v>
      </c>
    </row>
    <row r="698" ht="13.55" customHeight="1">
      <c r="A698" s="3">
        <v>28026</v>
      </c>
      <c r="B698" t="s" s="2">
        <v>13</v>
      </c>
      <c r="C698" t="str" s="8" cm="1">
        <f t="array" ref="C698">IF(B698="M","Married","Single")</f>
        <v>Married</v>
      </c>
      <c r="D698" t="s" s="2">
        <v>14</v>
      </c>
      <c r="E698" t="str" s="8" cm="1">
        <f t="array" ref="E698">IF(D698="M","Male",IF(D698="F","Female","Check"))</f>
        <v>Female</v>
      </c>
      <c r="F698" s="4">
        <v>40000</v>
      </c>
      <c r="G698" t="str" s="8" cm="1">
        <f t="array" ref="G698">IF(F698="","Check","okay")</f>
        <v>okay</v>
      </c>
      <c r="H698" s="3">
        <v>2</v>
      </c>
      <c r="I698" t="s" s="2">
        <v>30</v>
      </c>
      <c r="J698" t="s" s="2">
        <v>23</v>
      </c>
      <c r="K698" t="s" s="2">
        <v>20</v>
      </c>
      <c r="L698" s="3">
        <v>2</v>
      </c>
      <c r="M698" t="s" s="2">
        <v>24</v>
      </c>
      <c r="N698" t="s" s="2">
        <v>35</v>
      </c>
      <c r="O698" s="3">
        <v>59</v>
      </c>
      <c r="P698" t="str" s="8" cm="1">
        <f t="array" ref="P698">IF(O698="","check","Okay")</f>
        <v>Okay</v>
      </c>
      <c r="Q698" t="str" s="8" cm="1">
        <f t="array" ref="Q698">IF(O698&lt;30,"UNDER 30",IF(O698&lt;=50,"30-50","Over 50"))</f>
        <v>Over 50</v>
      </c>
      <c r="R698" t="s" s="2">
        <v>20</v>
      </c>
      <c r="S698" s="3" cm="1">
        <f t="array" ref="S698">COUNTIF(A2:A1001,A698)</f>
        <v>1</v>
      </c>
      <c r="T698" t="str" s="8" cm="1">
        <f t="array" ref="T698">IF(ISNUMBER(F698),"Ok","check")</f>
        <v>Ok</v>
      </c>
      <c r="U698" t="str" s="8" cm="1">
        <f t="array" ref="U698">IF(ISNUMBER(O698),"ok","check")</f>
        <v>ok</v>
      </c>
    </row>
    <row r="699" ht="13.55" customHeight="1">
      <c r="A699" s="3">
        <v>20504</v>
      </c>
      <c r="B699" t="s" s="2">
        <v>13</v>
      </c>
      <c r="C699" t="str" s="8" cm="1">
        <f t="array" ref="C699">IF(B699="M","Married","Single")</f>
        <v>Married</v>
      </c>
      <c r="D699" t="s" s="2">
        <v>14</v>
      </c>
      <c r="E699" t="str" s="8" cm="1">
        <f t="array" ref="E699">IF(D699="M","Male",IF(D699="F","Female","Check"))</f>
        <v>Female</v>
      </c>
      <c r="F699" s="4">
        <v>40000</v>
      </c>
      <c r="G699" t="str" s="8" cm="1">
        <f t="array" ref="G699">IF(F699="","Check","okay")</f>
        <v>okay</v>
      </c>
      <c r="H699" s="3">
        <v>5</v>
      </c>
      <c r="I699" t="s" s="2">
        <v>30</v>
      </c>
      <c r="J699" t="s" s="2">
        <v>23</v>
      </c>
      <c r="K699" t="s" s="2">
        <v>20</v>
      </c>
      <c r="L699" s="3">
        <v>2</v>
      </c>
      <c r="M699" t="s" s="2">
        <v>24</v>
      </c>
      <c r="N699" t="s" s="2">
        <v>35</v>
      </c>
      <c r="O699" s="3">
        <v>60</v>
      </c>
      <c r="P699" t="str" s="8" cm="1">
        <f t="array" ref="P699">IF(O699="","check","Okay")</f>
        <v>Okay</v>
      </c>
      <c r="Q699" t="str" s="8" cm="1">
        <f t="array" ref="Q699">IF(O699&lt;30,"UNDER 30",IF(O699&lt;=50,"30-50","Over 50"))</f>
        <v>Over 50</v>
      </c>
      <c r="R699" t="s" s="2">
        <v>20</v>
      </c>
      <c r="S699" s="3" cm="1">
        <f t="array" ref="S699">COUNTIF(A2:A1001,A699)</f>
        <v>1</v>
      </c>
      <c r="T699" t="str" s="8" cm="1">
        <f t="array" ref="T699">IF(ISNUMBER(F699),"Ok","check")</f>
        <v>Ok</v>
      </c>
      <c r="U699" t="str" s="8" cm="1">
        <f t="array" ref="U699">IF(ISNUMBER(O699),"ok","check")</f>
        <v>ok</v>
      </c>
    </row>
    <row r="700" ht="13.55" customHeight="1">
      <c r="A700" s="3">
        <v>22743</v>
      </c>
      <c r="B700" t="s" s="2">
        <v>13</v>
      </c>
      <c r="C700" t="str" s="8" cm="1">
        <f t="array" ref="C700">IF(B700="M","Married","Single")</f>
        <v>Married</v>
      </c>
      <c r="D700" t="s" s="2">
        <v>14</v>
      </c>
      <c r="E700" t="str" s="8" cm="1">
        <f t="array" ref="E700">IF(D700="M","Male",IF(D700="F","Female","Check"))</f>
        <v>Female</v>
      </c>
      <c r="F700" s="4">
        <v>40000</v>
      </c>
      <c r="G700" t="str" s="8" cm="1">
        <f t="array" ref="G700">IF(F700="","Check","okay")</f>
        <v>okay</v>
      </c>
      <c r="H700" s="3">
        <v>5</v>
      </c>
      <c r="I700" t="s" s="2">
        <v>30</v>
      </c>
      <c r="J700" t="s" s="2">
        <v>23</v>
      </c>
      <c r="K700" t="s" s="2">
        <v>17</v>
      </c>
      <c r="L700" s="3">
        <v>2</v>
      </c>
      <c r="M700" t="s" s="2">
        <v>33</v>
      </c>
      <c r="N700" t="s" s="2">
        <v>35</v>
      </c>
      <c r="O700" s="3">
        <v>60</v>
      </c>
      <c r="P700" t="str" s="8" cm="1">
        <f t="array" ref="P700">IF(O700="","check","Okay")</f>
        <v>Okay</v>
      </c>
      <c r="Q700" t="str" s="8" cm="1">
        <f t="array" ref="Q700">IF(O700&lt;30,"UNDER 30",IF(O700&lt;=50,"30-50","Over 50"))</f>
        <v>Over 50</v>
      </c>
      <c r="R700" t="s" s="2">
        <v>20</v>
      </c>
      <c r="S700" s="3" cm="1">
        <f t="array" ref="S700">COUNTIF(A2:A1001,A700)</f>
        <v>1</v>
      </c>
      <c r="T700" t="str" s="8" cm="1">
        <f t="array" ref="T700">IF(ISNUMBER(F700),"Ok","check")</f>
        <v>Ok</v>
      </c>
      <c r="U700" t="str" s="8" cm="1">
        <f t="array" ref="U700">IF(ISNUMBER(O700),"ok","check")</f>
        <v>ok</v>
      </c>
    </row>
    <row r="701" ht="13.55" customHeight="1">
      <c r="A701" s="3">
        <v>24958</v>
      </c>
      <c r="B701" t="s" s="2">
        <v>25</v>
      </c>
      <c r="C701" t="str" s="8" cm="1">
        <f t="array" ref="C701">IF(B701="M","Married","Single")</f>
        <v>Single</v>
      </c>
      <c r="D701" t="s" s="2">
        <v>14</v>
      </c>
      <c r="E701" t="str" s="8" cm="1">
        <f t="array" ref="E701">IF(D701="M","Male",IF(D701="F","Female","Check"))</f>
        <v>Female</v>
      </c>
      <c r="F701" s="4">
        <v>40000</v>
      </c>
      <c r="G701" t="str" s="8" cm="1">
        <f t="array" ref="G701">IF(F701="","Check","okay")</f>
        <v>okay</v>
      </c>
      <c r="H701" s="3">
        <v>5</v>
      </c>
      <c r="I701" t="s" s="2">
        <v>30</v>
      </c>
      <c r="J701" t="s" s="2">
        <v>23</v>
      </c>
      <c r="K701" t="s" s="2">
        <v>20</v>
      </c>
      <c r="L701" s="3">
        <v>3</v>
      </c>
      <c r="M701" t="s" s="2">
        <v>24</v>
      </c>
      <c r="N701" t="s" s="2">
        <v>35</v>
      </c>
      <c r="O701" s="3">
        <v>60</v>
      </c>
      <c r="P701" t="str" s="8" cm="1">
        <f t="array" ref="P701">IF(O701="","check","Okay")</f>
        <v>Okay</v>
      </c>
      <c r="Q701" t="str" s="8" cm="1">
        <f t="array" ref="Q701">IF(O701&lt;30,"UNDER 30",IF(O701&lt;=50,"30-50","Over 50"))</f>
        <v>Over 50</v>
      </c>
      <c r="R701" t="s" s="2">
        <v>17</v>
      </c>
      <c r="S701" s="3" cm="1">
        <f t="array" ref="S701">COUNTIF(A2:A1001,A701)</f>
        <v>1</v>
      </c>
      <c r="T701" t="str" s="8" cm="1">
        <f t="array" ref="T701">IF(ISNUMBER(F701),"Ok","check")</f>
        <v>Ok</v>
      </c>
      <c r="U701" t="str" s="8" cm="1">
        <f t="array" ref="U701">IF(ISNUMBER(O701),"ok","check")</f>
        <v>ok</v>
      </c>
    </row>
    <row r="702" ht="13.55" customHeight="1">
      <c r="A702" s="3">
        <v>23704</v>
      </c>
      <c r="B702" t="s" s="2">
        <v>25</v>
      </c>
      <c r="C702" t="str" s="8" cm="1">
        <f t="array" ref="C702">IF(B702="M","Married","Single")</f>
        <v>Single</v>
      </c>
      <c r="D702" t="s" s="2">
        <v>13</v>
      </c>
      <c r="E702" t="str" s="8" cm="1">
        <f t="array" ref="E702">IF(D702="M","Male",IF(D702="F","Female","Check"))</f>
        <v>Male</v>
      </c>
      <c r="F702" s="4">
        <v>40000</v>
      </c>
      <c r="G702" t="str" s="8" cm="1">
        <f t="array" ref="G702">IF(F702="","Check","okay")</f>
        <v>okay</v>
      </c>
      <c r="H702" s="3">
        <v>5</v>
      </c>
      <c r="I702" t="s" s="2">
        <v>30</v>
      </c>
      <c r="J702" t="s" s="2">
        <v>23</v>
      </c>
      <c r="K702" t="s" s="2">
        <v>17</v>
      </c>
      <c r="L702" s="3">
        <v>4</v>
      </c>
      <c r="M702" t="s" s="2">
        <v>33</v>
      </c>
      <c r="N702" t="s" s="2">
        <v>35</v>
      </c>
      <c r="O702" s="3">
        <v>60</v>
      </c>
      <c r="P702" t="str" s="8" cm="1">
        <f t="array" ref="P702">IF(O702="","check","Okay")</f>
        <v>Okay</v>
      </c>
      <c r="Q702" t="str" s="8" cm="1">
        <f t="array" ref="Q702">IF(O702&lt;30,"UNDER 30",IF(O702&lt;=50,"30-50","Over 50"))</f>
        <v>Over 50</v>
      </c>
      <c r="R702" t="s" s="2">
        <v>17</v>
      </c>
      <c r="S702" s="3" cm="1">
        <f t="array" ref="S702">COUNTIF(A2:A1001,A702)</f>
        <v>1</v>
      </c>
      <c r="T702" t="str" s="8" cm="1">
        <f t="array" ref="T702">IF(ISNUMBER(F702),"Ok","check")</f>
        <v>Ok</v>
      </c>
      <c r="U702" t="str" s="8" cm="1">
        <f t="array" ref="U702">IF(ISNUMBER(O702),"ok","check")</f>
        <v>ok</v>
      </c>
    </row>
    <row r="703" ht="13.55" customHeight="1">
      <c r="A703" s="3">
        <v>20505</v>
      </c>
      <c r="B703" t="s" s="2">
        <v>13</v>
      </c>
      <c r="C703" t="str" s="8" cm="1">
        <f t="array" ref="C703">IF(B703="M","Married","Single")</f>
        <v>Married</v>
      </c>
      <c r="D703" t="s" s="2">
        <v>14</v>
      </c>
      <c r="E703" t="str" s="8" cm="1">
        <f t="array" ref="E703">IF(D703="M","Male",IF(D703="F","Female","Check"))</f>
        <v>Female</v>
      </c>
      <c r="F703" s="4">
        <v>40000</v>
      </c>
      <c r="G703" t="str" s="8" cm="1">
        <f t="array" ref="G703">IF(F703="","Check","okay")</f>
        <v>okay</v>
      </c>
      <c r="H703" s="3">
        <v>5</v>
      </c>
      <c r="I703" t="s" s="2">
        <v>30</v>
      </c>
      <c r="J703" t="s" s="2">
        <v>23</v>
      </c>
      <c r="K703" t="s" s="2">
        <v>20</v>
      </c>
      <c r="L703" s="3">
        <v>2</v>
      </c>
      <c r="M703" t="s" s="2">
        <v>33</v>
      </c>
      <c r="N703" t="s" s="2">
        <v>35</v>
      </c>
      <c r="O703" s="3">
        <v>61</v>
      </c>
      <c r="P703" t="str" s="8" cm="1">
        <f t="array" ref="P703">IF(O703="","check","Okay")</f>
        <v>Okay</v>
      </c>
      <c r="Q703" t="str" s="8" cm="1">
        <f t="array" ref="Q703">IF(O703&lt;30,"UNDER 30",IF(O703&lt;=50,"30-50","Over 50"))</f>
        <v>Over 50</v>
      </c>
      <c r="R703" t="s" s="2">
        <v>20</v>
      </c>
      <c r="S703" s="3" cm="1">
        <f t="array" ref="S703">COUNTIF(A2:A1001,A703)</f>
        <v>1</v>
      </c>
      <c r="T703" t="str" s="8" cm="1">
        <f t="array" ref="T703">IF(ISNUMBER(F703),"Ok","check")</f>
        <v>Ok</v>
      </c>
      <c r="U703" t="str" s="8" cm="1">
        <f t="array" ref="U703">IF(ISNUMBER(O703),"ok","check")</f>
        <v>ok</v>
      </c>
    </row>
    <row r="704" ht="13.55" customHeight="1">
      <c r="A704" s="3">
        <v>21451</v>
      </c>
      <c r="B704" t="s" s="2">
        <v>13</v>
      </c>
      <c r="C704" t="str" s="8" cm="1">
        <f t="array" ref="C704">IF(B704="M","Married","Single")</f>
        <v>Married</v>
      </c>
      <c r="D704" t="s" s="2">
        <v>14</v>
      </c>
      <c r="E704" t="str" s="8" cm="1">
        <f t="array" ref="E704">IF(D704="M","Male",IF(D704="F","Female","Check"))</f>
        <v>Female</v>
      </c>
      <c r="F704" s="4">
        <v>40000</v>
      </c>
      <c r="G704" t="str" s="8" cm="1">
        <f t="array" ref="G704">IF(F704="","Check","okay")</f>
        <v>okay</v>
      </c>
      <c r="H704" s="3">
        <v>4</v>
      </c>
      <c r="I704" t="s" s="2">
        <v>30</v>
      </c>
      <c r="J704" t="s" s="2">
        <v>23</v>
      </c>
      <c r="K704" t="s" s="2">
        <v>17</v>
      </c>
      <c r="L704" s="3">
        <v>2</v>
      </c>
      <c r="M704" t="s" s="2">
        <v>33</v>
      </c>
      <c r="N704" t="s" s="2">
        <v>35</v>
      </c>
      <c r="O704" s="3">
        <v>61</v>
      </c>
      <c r="P704" t="str" s="8" cm="1">
        <f t="array" ref="P704">IF(O704="","check","Okay")</f>
        <v>Okay</v>
      </c>
      <c r="Q704" t="str" s="8" cm="1">
        <f t="array" ref="Q704">IF(O704&lt;30,"UNDER 30",IF(O704&lt;=50,"30-50","Over 50"))</f>
        <v>Over 50</v>
      </c>
      <c r="R704" t="s" s="2">
        <v>20</v>
      </c>
      <c r="S704" s="3" cm="1">
        <f t="array" ref="S704">COUNTIF(A2:A1001,A704)</f>
        <v>1</v>
      </c>
      <c r="T704" t="str" s="8" cm="1">
        <f t="array" ref="T704">IF(ISNUMBER(F704),"Ok","check")</f>
        <v>Ok</v>
      </c>
      <c r="U704" t="str" s="8" cm="1">
        <f t="array" ref="U704">IF(ISNUMBER(O704),"ok","check")</f>
        <v>ok</v>
      </c>
    </row>
    <row r="705" ht="13.55" customHeight="1">
      <c r="A705" s="3">
        <v>18545</v>
      </c>
      <c r="B705" t="s" s="2">
        <v>13</v>
      </c>
      <c r="C705" t="str" s="8" cm="1">
        <f t="array" ref="C705">IF(B705="M","Married","Single")</f>
        <v>Married</v>
      </c>
      <c r="D705" t="s" s="2">
        <v>13</v>
      </c>
      <c r="E705" t="str" s="8" cm="1">
        <f t="array" ref="E705">IF(D705="M","Male",IF(D705="F","Female","Check"))</f>
        <v>Male</v>
      </c>
      <c r="F705" s="4">
        <v>40000</v>
      </c>
      <c r="G705" t="str" s="8" cm="1">
        <f t="array" ref="G705">IF(F705="","Check","okay")</f>
        <v>okay</v>
      </c>
      <c r="H705" s="3">
        <v>4</v>
      </c>
      <c r="I705" t="s" s="2">
        <v>30</v>
      </c>
      <c r="J705" t="s" s="2">
        <v>23</v>
      </c>
      <c r="K705" t="s" s="2">
        <v>20</v>
      </c>
      <c r="L705" s="3">
        <v>2</v>
      </c>
      <c r="M705" t="s" s="2">
        <v>33</v>
      </c>
      <c r="N705" t="s" s="2">
        <v>35</v>
      </c>
      <c r="O705" s="3">
        <v>61</v>
      </c>
      <c r="P705" t="str" s="8" cm="1">
        <f t="array" ref="P705">IF(O705="","check","Okay")</f>
        <v>Okay</v>
      </c>
      <c r="Q705" t="str" s="8" cm="1">
        <f t="array" ref="Q705">IF(O705&lt;30,"UNDER 30",IF(O705&lt;=50,"30-50","Over 50"))</f>
        <v>Over 50</v>
      </c>
      <c r="R705" t="s" s="2">
        <v>17</v>
      </c>
      <c r="S705" s="3" cm="1">
        <f t="array" ref="S705">COUNTIF(A2:A1001,A705)</f>
        <v>1</v>
      </c>
      <c r="T705" t="str" s="8" cm="1">
        <f t="array" ref="T705">IF(ISNUMBER(F705),"Ok","check")</f>
        <v>Ok</v>
      </c>
      <c r="U705" t="str" s="8" cm="1">
        <f t="array" ref="U705">IF(ISNUMBER(O705),"ok","check")</f>
        <v>ok</v>
      </c>
    </row>
    <row r="706" ht="13.55" customHeight="1">
      <c r="A706" s="3">
        <v>18976</v>
      </c>
      <c r="B706" t="s" s="2">
        <v>25</v>
      </c>
      <c r="C706" t="str" s="8" cm="1">
        <f t="array" ref="C706">IF(B706="M","Married","Single")</f>
        <v>Single</v>
      </c>
      <c r="D706" t="s" s="2">
        <v>13</v>
      </c>
      <c r="E706" t="str" s="8" cm="1">
        <f t="array" ref="E706">IF(D706="M","Male",IF(D706="F","Female","Check"))</f>
        <v>Male</v>
      </c>
      <c r="F706" s="4">
        <v>40000</v>
      </c>
      <c r="G706" t="str" s="8" cm="1">
        <f t="array" ref="G706">IF(F706="","Check","okay")</f>
        <v>okay</v>
      </c>
      <c r="H706" s="3">
        <v>4</v>
      </c>
      <c r="I706" t="s" s="2">
        <v>30</v>
      </c>
      <c r="J706" t="s" s="2">
        <v>23</v>
      </c>
      <c r="K706" t="s" s="2">
        <v>17</v>
      </c>
      <c r="L706" s="3">
        <v>2</v>
      </c>
      <c r="M706" t="s" s="2">
        <v>33</v>
      </c>
      <c r="N706" t="s" s="2">
        <v>35</v>
      </c>
      <c r="O706" s="3">
        <v>62</v>
      </c>
      <c r="P706" t="str" s="8" cm="1">
        <f t="array" ref="P706">IF(O706="","check","Okay")</f>
        <v>Okay</v>
      </c>
      <c r="Q706" t="str" s="8" cm="1">
        <f t="array" ref="Q706">IF(O706&lt;30,"UNDER 30",IF(O706&lt;=50,"30-50","Over 50"))</f>
        <v>Over 50</v>
      </c>
      <c r="R706" t="s" s="2">
        <v>17</v>
      </c>
      <c r="S706" s="3" cm="1">
        <f t="array" ref="S706">COUNTIF(A2:A1001,A706)</f>
        <v>1</v>
      </c>
      <c r="T706" t="str" s="8" cm="1">
        <f t="array" ref="T706">IF(ISNUMBER(F706),"Ok","check")</f>
        <v>Ok</v>
      </c>
      <c r="U706" t="str" s="8" cm="1">
        <f t="array" ref="U706">IF(ISNUMBER(O706),"ok","check")</f>
        <v>ok</v>
      </c>
    </row>
    <row r="707" ht="13.55" customHeight="1">
      <c r="A707" s="3">
        <v>27745</v>
      </c>
      <c r="B707" t="s" s="2">
        <v>25</v>
      </c>
      <c r="C707" t="str" s="8" cm="1">
        <f t="array" ref="C707">IF(B707="M","Married","Single")</f>
        <v>Single</v>
      </c>
      <c r="D707" t="s" s="2">
        <v>13</v>
      </c>
      <c r="E707" t="str" s="8" cm="1">
        <f t="array" ref="E707">IF(D707="M","Male",IF(D707="F","Female","Check"))</f>
        <v>Male</v>
      </c>
      <c r="F707" s="4">
        <v>40000</v>
      </c>
      <c r="G707" t="str" s="8" cm="1">
        <f t="array" ref="G707">IF(F707="","Check","okay")</f>
        <v>okay</v>
      </c>
      <c r="H707" s="3">
        <v>2</v>
      </c>
      <c r="I707" t="s" s="2">
        <v>15</v>
      </c>
      <c r="J707" t="s" s="2">
        <v>31</v>
      </c>
      <c r="K707" t="s" s="2">
        <v>17</v>
      </c>
      <c r="L707" s="3">
        <v>2</v>
      </c>
      <c r="M707" t="s" s="2">
        <v>26</v>
      </c>
      <c r="N707" t="s" s="2">
        <v>27</v>
      </c>
      <c r="O707" s="3">
        <v>63</v>
      </c>
      <c r="P707" t="str" s="8" cm="1">
        <f t="array" ref="P707">IF(O707="","check","Okay")</f>
        <v>Okay</v>
      </c>
      <c r="Q707" t="str" s="8" cm="1">
        <f t="array" ref="Q707">IF(O707&lt;30,"UNDER 30",IF(O707&lt;=50,"30-50","Over 50"))</f>
        <v>Over 50</v>
      </c>
      <c r="R707" t="s" s="2">
        <v>17</v>
      </c>
      <c r="S707" s="3" cm="1">
        <f t="array" ref="S707">COUNTIF(A2:A1001,A707)</f>
        <v>1</v>
      </c>
      <c r="T707" t="str" s="8" cm="1">
        <f t="array" ref="T707">IF(ISNUMBER(F707),"Ok","check")</f>
        <v>Ok</v>
      </c>
      <c r="U707" t="str" s="8" cm="1">
        <f t="array" ref="U707">IF(ISNUMBER(O707),"ok","check")</f>
        <v>ok</v>
      </c>
    </row>
    <row r="708" ht="13.55" customHeight="1">
      <c r="A708" s="3">
        <v>24637</v>
      </c>
      <c r="B708" t="s" s="2">
        <v>13</v>
      </c>
      <c r="C708" t="str" s="8" cm="1">
        <f t="array" ref="C708">IF(B708="M","Married","Single")</f>
        <v>Married</v>
      </c>
      <c r="D708" t="s" s="2">
        <v>13</v>
      </c>
      <c r="E708" t="str" s="8" cm="1">
        <f t="array" ref="E708">IF(D708="M","Male",IF(D708="F","Female","Check"))</f>
        <v>Male</v>
      </c>
      <c r="F708" s="4">
        <v>40000</v>
      </c>
      <c r="G708" t="str" s="8" cm="1">
        <f t="array" ref="G708">IF(F708="","Check","okay")</f>
        <v>okay</v>
      </c>
      <c r="H708" s="3">
        <v>4</v>
      </c>
      <c r="I708" t="s" s="2">
        <v>30</v>
      </c>
      <c r="J708" t="s" s="2">
        <v>23</v>
      </c>
      <c r="K708" t="s" s="2">
        <v>17</v>
      </c>
      <c r="L708" s="3">
        <v>2</v>
      </c>
      <c r="M708" t="s" s="2">
        <v>33</v>
      </c>
      <c r="N708" t="s" s="2">
        <v>35</v>
      </c>
      <c r="O708" s="3">
        <v>64</v>
      </c>
      <c r="P708" t="str" s="8" cm="1">
        <f t="array" ref="P708">IF(O708="","check","Okay")</f>
        <v>Okay</v>
      </c>
      <c r="Q708" t="str" s="8" cm="1">
        <f t="array" ref="Q708">IF(O708&lt;30,"UNDER 30",IF(O708&lt;=50,"30-50","Over 50"))</f>
        <v>Over 50</v>
      </c>
      <c r="R708" t="s" s="2">
        <v>20</v>
      </c>
      <c r="S708" s="3" cm="1">
        <f t="array" ref="S708">COUNTIF(A2:A1001,A708)</f>
        <v>1</v>
      </c>
      <c r="T708" t="str" s="8" cm="1">
        <f t="array" ref="T708">IF(ISNUMBER(F708),"Ok","check")</f>
        <v>Ok</v>
      </c>
      <c r="U708" t="str" s="8" cm="1">
        <f t="array" ref="U708">IF(ISNUMBER(O708),"ok","check")</f>
        <v>ok</v>
      </c>
    </row>
    <row r="709" ht="13.55" customHeight="1">
      <c r="A709" s="3">
        <v>14347</v>
      </c>
      <c r="B709" t="s" s="2">
        <v>25</v>
      </c>
      <c r="C709" t="str" s="8" cm="1">
        <f t="array" ref="C709">IF(B709="M","Married","Single")</f>
        <v>Single</v>
      </c>
      <c r="D709" t="s" s="2">
        <v>14</v>
      </c>
      <c r="E709" t="str" s="8" cm="1">
        <f t="array" ref="E709">IF(D709="M","Male",IF(D709="F","Female","Check"))</f>
        <v>Female</v>
      </c>
      <c r="F709" s="4">
        <v>40000</v>
      </c>
      <c r="G709" t="str" s="8" cm="1">
        <f t="array" ref="G709">IF(F709="","Check","okay")</f>
        <v>okay</v>
      </c>
      <c r="H709" s="3">
        <v>2</v>
      </c>
      <c r="I709" t="s" s="2">
        <v>15</v>
      </c>
      <c r="J709" t="s" s="2">
        <v>31</v>
      </c>
      <c r="K709" t="s" s="2">
        <v>17</v>
      </c>
      <c r="L709" s="3">
        <v>2</v>
      </c>
      <c r="M709" t="s" s="2">
        <v>26</v>
      </c>
      <c r="N709" t="s" s="2">
        <v>27</v>
      </c>
      <c r="O709" s="3">
        <v>65</v>
      </c>
      <c r="P709" t="str" s="8" cm="1">
        <f t="array" ref="P709">IF(O709="","check","Okay")</f>
        <v>Okay</v>
      </c>
      <c r="Q709" t="str" s="8" cm="1">
        <f t="array" ref="Q709">IF(O709&lt;30,"UNDER 30",IF(O709&lt;=50,"30-50","Over 50"))</f>
        <v>Over 50</v>
      </c>
      <c r="R709" t="s" s="2">
        <v>17</v>
      </c>
      <c r="S709" s="3" cm="1">
        <f t="array" ref="S709">COUNTIF(A2:A1001,A709)</f>
        <v>1</v>
      </c>
      <c r="T709" t="str" s="8" cm="1">
        <f t="array" ref="T709">IF(ISNUMBER(F709),"Ok","check")</f>
        <v>Ok</v>
      </c>
      <c r="U709" t="str" s="8" cm="1">
        <f t="array" ref="U709">IF(ISNUMBER(O709),"ok","check")</f>
        <v>ok</v>
      </c>
    </row>
    <row r="710" ht="13.55" customHeight="1">
      <c r="A710" s="3">
        <v>11149</v>
      </c>
      <c r="B710" t="s" s="2">
        <v>13</v>
      </c>
      <c r="C710" t="str" s="8" cm="1">
        <f t="array" ref="C710">IF(B710="M","Married","Single")</f>
        <v>Married</v>
      </c>
      <c r="D710" t="s" s="2">
        <v>13</v>
      </c>
      <c r="E710" t="str" s="8" cm="1">
        <f t="array" ref="E710">IF(D710="M","Male",IF(D710="F","Female","Check"))</f>
        <v>Male</v>
      </c>
      <c r="F710" s="4">
        <v>40000</v>
      </c>
      <c r="G710" t="str" s="8" cm="1">
        <f t="array" ref="G710">IF(F710="","Check","okay")</f>
        <v>okay</v>
      </c>
      <c r="H710" s="3">
        <v>2</v>
      </c>
      <c r="I710" t="s" s="2">
        <v>15</v>
      </c>
      <c r="J710" t="s" s="2">
        <v>31</v>
      </c>
      <c r="K710" t="s" s="2">
        <v>17</v>
      </c>
      <c r="L710" s="3">
        <v>2</v>
      </c>
      <c r="M710" t="s" s="2">
        <v>18</v>
      </c>
      <c r="N710" t="s" s="2">
        <v>27</v>
      </c>
      <c r="O710" s="3">
        <v>65</v>
      </c>
      <c r="P710" t="str" s="8" cm="1">
        <f t="array" ref="P710">IF(O710="","check","Okay")</f>
        <v>Okay</v>
      </c>
      <c r="Q710" t="str" s="8" cm="1">
        <f t="array" ref="Q710">IF(O710&lt;30,"UNDER 30",IF(O710&lt;=50,"30-50","Over 50"))</f>
        <v>Over 50</v>
      </c>
      <c r="R710" t="s" s="2">
        <v>20</v>
      </c>
      <c r="S710" s="3" cm="1">
        <f t="array" ref="S710">COUNTIF(A2:A1001,A710)</f>
        <v>1</v>
      </c>
      <c r="T710" t="str" s="8" cm="1">
        <f t="array" ref="T710">IF(ISNUMBER(F710),"Ok","check")</f>
        <v>Ok</v>
      </c>
      <c r="U710" t="str" s="8" cm="1">
        <f t="array" ref="U710">IF(ISNUMBER(O710),"ok","check")</f>
        <v>ok</v>
      </c>
    </row>
    <row r="711" ht="13.55" customHeight="1">
      <c r="A711" s="3">
        <v>26796</v>
      </c>
      <c r="B711" t="s" s="2">
        <v>25</v>
      </c>
      <c r="C711" t="str" s="8" cm="1">
        <f t="array" ref="C711">IF(B711="M","Married","Single")</f>
        <v>Single</v>
      </c>
      <c r="D711" t="s" s="2">
        <v>13</v>
      </c>
      <c r="E711" t="str" s="8" cm="1">
        <f t="array" ref="E711">IF(D711="M","Male",IF(D711="F","Female","Check"))</f>
        <v>Male</v>
      </c>
      <c r="F711" s="4">
        <v>40000</v>
      </c>
      <c r="G711" t="str" s="8" cm="1">
        <f t="array" ref="G711">IF(F711="","Check","okay")</f>
        <v>okay</v>
      </c>
      <c r="H711" s="3">
        <v>2</v>
      </c>
      <c r="I711" t="s" s="2">
        <v>15</v>
      </c>
      <c r="J711" t="s" s="2">
        <v>31</v>
      </c>
      <c r="K711" t="s" s="2">
        <v>17</v>
      </c>
      <c r="L711" s="3">
        <v>2</v>
      </c>
      <c r="M711" t="s" s="2">
        <v>26</v>
      </c>
      <c r="N711" t="s" s="2">
        <v>27</v>
      </c>
      <c r="O711" s="3">
        <v>65</v>
      </c>
      <c r="P711" t="str" s="8" cm="1">
        <f t="array" ref="P711">IF(O711="","check","Okay")</f>
        <v>Okay</v>
      </c>
      <c r="Q711" t="str" s="8" cm="1">
        <f t="array" ref="Q711">IF(O711&lt;30,"UNDER 30",IF(O711&lt;=50,"30-50","Over 50"))</f>
        <v>Over 50</v>
      </c>
      <c r="R711" t="s" s="2">
        <v>17</v>
      </c>
      <c r="S711" s="3" cm="1">
        <f t="array" ref="S711">COUNTIF(A2:A1001,A711)</f>
        <v>1</v>
      </c>
      <c r="T711" t="str" s="8" cm="1">
        <f t="array" ref="T711">IF(ISNUMBER(F711),"Ok","check")</f>
        <v>Ok</v>
      </c>
      <c r="U711" t="str" s="8" cm="1">
        <f t="array" ref="U711">IF(ISNUMBER(O711),"ok","check")</f>
        <v>ok</v>
      </c>
    </row>
    <row r="712" ht="13.55" customHeight="1">
      <c r="A712" s="3">
        <v>22988</v>
      </c>
      <c r="B712" t="s" s="2">
        <v>13</v>
      </c>
      <c r="C712" t="str" s="8" cm="1">
        <f t="array" ref="C712">IF(B712="M","Married","Single")</f>
        <v>Married</v>
      </c>
      <c r="D712" t="s" s="2">
        <v>14</v>
      </c>
      <c r="E712" t="str" s="8" cm="1">
        <f t="array" ref="E712">IF(D712="M","Male",IF(D712="F","Female","Check"))</f>
        <v>Female</v>
      </c>
      <c r="F712" s="4">
        <v>40000</v>
      </c>
      <c r="G712" t="str" s="8" cm="1">
        <f t="array" ref="G712">IF(F712="","Check","okay")</f>
        <v>okay</v>
      </c>
      <c r="H712" s="3">
        <v>2</v>
      </c>
      <c r="I712" t="s" s="2">
        <v>15</v>
      </c>
      <c r="J712" t="s" s="2">
        <v>31</v>
      </c>
      <c r="K712" t="s" s="2">
        <v>17</v>
      </c>
      <c r="L712" s="3">
        <v>2</v>
      </c>
      <c r="M712" t="s" s="2">
        <v>26</v>
      </c>
      <c r="N712" t="s" s="2">
        <v>27</v>
      </c>
      <c r="O712" s="3">
        <v>66</v>
      </c>
      <c r="P712" t="str" s="8" cm="1">
        <f t="array" ref="P712">IF(O712="","check","Okay")</f>
        <v>Okay</v>
      </c>
      <c r="Q712" t="str" s="8" cm="1">
        <f t="array" ref="Q712">IF(O712&lt;30,"UNDER 30",IF(O712&lt;=50,"30-50","Over 50"))</f>
        <v>Over 50</v>
      </c>
      <c r="R712" t="s" s="2">
        <v>17</v>
      </c>
      <c r="S712" s="3" cm="1">
        <f t="array" ref="S712">COUNTIF(A2:A1001,A712)</f>
        <v>1</v>
      </c>
      <c r="T712" t="str" s="8" cm="1">
        <f t="array" ref="T712">IF(ISNUMBER(F712),"Ok","check")</f>
        <v>Ok</v>
      </c>
      <c r="U712" t="str" s="8" cm="1">
        <f t="array" ref="U712">IF(ISNUMBER(O712),"ok","check")</f>
        <v>ok</v>
      </c>
    </row>
    <row r="713" ht="13.55" customHeight="1">
      <c r="A713" s="3">
        <v>23571</v>
      </c>
      <c r="B713" t="s" s="2">
        <v>13</v>
      </c>
      <c r="C713" t="str" s="8" cm="1">
        <f t="array" ref="C713">IF(B713="M","Married","Single")</f>
        <v>Married</v>
      </c>
      <c r="D713" t="s" s="2">
        <v>14</v>
      </c>
      <c r="E713" t="str" s="8" cm="1">
        <f t="array" ref="E713">IF(D713="M","Male",IF(D713="F","Female","Check"))</f>
        <v>Female</v>
      </c>
      <c r="F713" s="4">
        <v>40000</v>
      </c>
      <c r="G713" t="str" s="8" cm="1">
        <f t="array" ref="G713">IF(F713="","Check","okay")</f>
        <v>okay</v>
      </c>
      <c r="H713" s="3">
        <v>2</v>
      </c>
      <c r="I713" t="s" s="2">
        <v>15</v>
      </c>
      <c r="J713" t="s" s="2">
        <v>31</v>
      </c>
      <c r="K713" t="s" s="2">
        <v>17</v>
      </c>
      <c r="L713" s="3">
        <v>2</v>
      </c>
      <c r="M713" t="s" s="2">
        <v>18</v>
      </c>
      <c r="N713" t="s" s="2">
        <v>27</v>
      </c>
      <c r="O713" s="3">
        <v>66</v>
      </c>
      <c r="P713" t="str" s="8" cm="1">
        <f t="array" ref="P713">IF(O713="","check","Okay")</f>
        <v>Okay</v>
      </c>
      <c r="Q713" t="str" s="8" cm="1">
        <f t="array" ref="Q713">IF(O713&lt;30,"UNDER 30",IF(O713&lt;=50,"30-50","Over 50"))</f>
        <v>Over 50</v>
      </c>
      <c r="R713" t="s" s="2">
        <v>17</v>
      </c>
      <c r="S713" s="3" cm="1">
        <f t="array" ref="S713">COUNTIF(A2:A1001,A713)</f>
        <v>1</v>
      </c>
      <c r="T713" t="str" s="8" cm="1">
        <f t="array" ref="T713">IF(ISNUMBER(F713),"Ok","check")</f>
        <v>Ok</v>
      </c>
      <c r="U713" t="str" s="8" cm="1">
        <f t="array" ref="U713">IF(ISNUMBER(O713),"ok","check")</f>
        <v>ok</v>
      </c>
    </row>
    <row r="714" ht="13.55" customHeight="1">
      <c r="A714" s="3">
        <v>15265</v>
      </c>
      <c r="B714" t="s" s="2">
        <v>25</v>
      </c>
      <c r="C714" t="str" s="8" cm="1">
        <f t="array" ref="C714">IF(B714="M","Married","Single")</f>
        <v>Single</v>
      </c>
      <c r="D714" t="s" s="2">
        <v>13</v>
      </c>
      <c r="E714" t="str" s="8" cm="1">
        <f t="array" ref="E714">IF(D714="M","Male",IF(D714="F","Female","Check"))</f>
        <v>Male</v>
      </c>
      <c r="F714" s="4">
        <v>40000</v>
      </c>
      <c r="G714" t="str" s="8" cm="1">
        <f t="array" ref="G714">IF(F714="","Check","okay")</f>
        <v>okay</v>
      </c>
      <c r="H714" s="3">
        <v>2</v>
      </c>
      <c r="I714" t="s" s="2">
        <v>15</v>
      </c>
      <c r="J714" t="s" s="2">
        <v>31</v>
      </c>
      <c r="K714" t="s" s="2">
        <v>17</v>
      </c>
      <c r="L714" s="3">
        <v>2</v>
      </c>
      <c r="M714" t="s" s="2">
        <v>26</v>
      </c>
      <c r="N714" t="s" s="2">
        <v>27</v>
      </c>
      <c r="O714" s="3">
        <v>66</v>
      </c>
      <c r="P714" t="str" s="8" cm="1">
        <f t="array" ref="P714">IF(O714="","check","Okay")</f>
        <v>Okay</v>
      </c>
      <c r="Q714" t="str" s="8" cm="1">
        <f t="array" ref="Q714">IF(O714&lt;30,"UNDER 30",IF(O714&lt;=50,"30-50","Over 50"))</f>
        <v>Over 50</v>
      </c>
      <c r="R714" t="s" s="2">
        <v>17</v>
      </c>
      <c r="S714" s="3" cm="1">
        <f t="array" ref="S714">COUNTIF(A2:A1001,A714)</f>
        <v>1</v>
      </c>
      <c r="T714" t="str" s="8" cm="1">
        <f t="array" ref="T714">IF(ISNUMBER(F714),"Ok","check")</f>
        <v>Ok</v>
      </c>
      <c r="U714" t="str" s="8" cm="1">
        <f t="array" ref="U714">IF(ISNUMBER(O714),"ok","check")</f>
        <v>ok</v>
      </c>
    </row>
    <row r="715" ht="13.55" customHeight="1">
      <c r="A715" s="3">
        <v>15822</v>
      </c>
      <c r="B715" t="s" s="2">
        <v>13</v>
      </c>
      <c r="C715" t="str" s="8" cm="1">
        <f t="array" ref="C715">IF(B715="M","Married","Single")</f>
        <v>Married</v>
      </c>
      <c r="D715" t="s" s="2">
        <v>13</v>
      </c>
      <c r="E715" t="str" s="8" cm="1">
        <f t="array" ref="E715">IF(D715="M","Male",IF(D715="F","Female","Check"))</f>
        <v>Male</v>
      </c>
      <c r="F715" s="4">
        <v>40000</v>
      </c>
      <c r="G715" t="str" s="8" cm="1">
        <f t="array" ref="G715">IF(F715="","Check","okay")</f>
        <v>okay</v>
      </c>
      <c r="H715" s="3">
        <v>2</v>
      </c>
      <c r="I715" t="s" s="2">
        <v>15</v>
      </c>
      <c r="J715" t="s" s="2">
        <v>31</v>
      </c>
      <c r="K715" t="s" s="2">
        <v>17</v>
      </c>
      <c r="L715" s="3">
        <v>2</v>
      </c>
      <c r="M715" t="s" s="2">
        <v>18</v>
      </c>
      <c r="N715" t="s" s="2">
        <v>27</v>
      </c>
      <c r="O715" s="3">
        <v>67</v>
      </c>
      <c r="P715" t="str" s="8" cm="1">
        <f t="array" ref="P715">IF(O715="","check","Okay")</f>
        <v>Okay</v>
      </c>
      <c r="Q715" t="str" s="8" cm="1">
        <f t="array" ref="Q715">IF(O715&lt;30,"UNDER 30",IF(O715&lt;=50,"30-50","Over 50"))</f>
        <v>Over 50</v>
      </c>
      <c r="R715" t="s" s="2">
        <v>20</v>
      </c>
      <c r="S715" s="3" cm="1">
        <f t="array" ref="S715">COUNTIF(A2:A1001,A715)</f>
        <v>1</v>
      </c>
      <c r="T715" t="str" s="8" cm="1">
        <f t="array" ref="T715">IF(ISNUMBER(F715),"Ok","check")</f>
        <v>Ok</v>
      </c>
      <c r="U715" t="str" s="8" cm="1">
        <f t="array" ref="U715">IF(ISNUMBER(O715),"ok","check")</f>
        <v>ok</v>
      </c>
    </row>
    <row r="716" ht="13.55" customHeight="1">
      <c r="A716" s="3">
        <v>27994</v>
      </c>
      <c r="B716" t="s" s="2">
        <v>13</v>
      </c>
      <c r="C716" t="str" s="8" cm="1">
        <f t="array" ref="C716">IF(B716="M","Married","Single")</f>
        <v>Married</v>
      </c>
      <c r="D716" t="s" s="2">
        <v>14</v>
      </c>
      <c r="E716" t="str" s="8" cm="1">
        <f t="array" ref="E716">IF(D716="M","Male",IF(D716="F","Female","Check"))</f>
        <v>Female</v>
      </c>
      <c r="F716" s="4">
        <v>40000</v>
      </c>
      <c r="G716" t="str" s="8" cm="1">
        <f t="array" ref="G716">IF(F716="","Check","okay")</f>
        <v>okay</v>
      </c>
      <c r="H716" s="3">
        <v>4</v>
      </c>
      <c r="I716" t="s" s="2">
        <v>30</v>
      </c>
      <c r="J716" t="s" s="2">
        <v>23</v>
      </c>
      <c r="K716" t="s" s="2">
        <v>17</v>
      </c>
      <c r="L716" s="3">
        <v>2</v>
      </c>
      <c r="M716" t="s" s="2">
        <v>26</v>
      </c>
      <c r="N716" t="s" s="2">
        <v>35</v>
      </c>
      <c r="O716" s="3">
        <v>69</v>
      </c>
      <c r="P716" t="str" s="8" cm="1">
        <f t="array" ref="P716">IF(O716="","check","Okay")</f>
        <v>Okay</v>
      </c>
      <c r="Q716" t="str" s="8" cm="1">
        <f t="array" ref="Q716">IF(O716&lt;30,"UNDER 30",IF(O716&lt;=50,"30-50","Over 50"))</f>
        <v>Over 50</v>
      </c>
      <c r="R716" t="s" s="2">
        <v>20</v>
      </c>
      <c r="S716" s="3" cm="1">
        <f t="array" ref="S716">COUNTIF(A2:A1001,A716)</f>
        <v>1</v>
      </c>
      <c r="T716" t="str" s="8" cm="1">
        <f t="array" ref="T716">IF(ISNUMBER(F716),"Ok","check")</f>
        <v>Ok</v>
      </c>
      <c r="U716" t="str" s="8" cm="1">
        <f t="array" ref="U716">IF(ISNUMBER(O716),"ok","check")</f>
        <v>ok</v>
      </c>
    </row>
    <row r="717" ht="13.55" customHeight="1">
      <c r="A717" s="3">
        <v>17533</v>
      </c>
      <c r="B717" t="s" s="2">
        <v>13</v>
      </c>
      <c r="C717" t="str" s="8" cm="1">
        <f t="array" ref="C717">IF(B717="M","Married","Single")</f>
        <v>Married</v>
      </c>
      <c r="D717" t="s" s="2">
        <v>13</v>
      </c>
      <c r="E717" t="str" s="8" cm="1">
        <f t="array" ref="E717">IF(D717="M","Male",IF(D717="F","Female","Check"))</f>
        <v>Male</v>
      </c>
      <c r="F717" s="4">
        <v>40000</v>
      </c>
      <c r="G717" t="str" s="8" cm="1">
        <f t="array" ref="G717">IF(F717="","Check","okay")</f>
        <v>okay</v>
      </c>
      <c r="H717" s="3">
        <v>3</v>
      </c>
      <c r="I717" t="s" s="2">
        <v>21</v>
      </c>
      <c r="J717" t="s" s="2">
        <v>23</v>
      </c>
      <c r="K717" t="s" s="2">
        <v>20</v>
      </c>
      <c r="L717" s="3">
        <v>2</v>
      </c>
      <c r="M717" t="s" s="2">
        <v>26</v>
      </c>
      <c r="N717" t="s" s="2">
        <v>35</v>
      </c>
      <c r="O717" s="3">
        <v>73</v>
      </c>
      <c r="P717" t="str" s="8" cm="1">
        <f t="array" ref="P717">IF(O717="","check","Okay")</f>
        <v>Okay</v>
      </c>
      <c r="Q717" t="str" s="8" cm="1">
        <f t="array" ref="Q717">IF(O717&lt;30,"UNDER 30",IF(O717&lt;=50,"30-50","Over 50"))</f>
        <v>Over 50</v>
      </c>
      <c r="R717" t="s" s="2">
        <v>17</v>
      </c>
      <c r="S717" s="3" cm="1">
        <f t="array" ref="S717">COUNTIF(A2:A1001,A717)</f>
        <v>1</v>
      </c>
      <c r="T717" t="str" s="8" cm="1">
        <f t="array" ref="T717">IF(ISNUMBER(F717),"Ok","check")</f>
        <v>Ok</v>
      </c>
      <c r="U717" t="str" s="8" cm="1">
        <f t="array" ref="U717">IF(ISNUMBER(O717),"ok","check")</f>
        <v>ok</v>
      </c>
    </row>
    <row r="718" ht="13.55" customHeight="1">
      <c r="A718" s="3">
        <v>11555</v>
      </c>
      <c r="B718" t="s" s="2">
        <v>13</v>
      </c>
      <c r="C718" t="str" s="8" cm="1">
        <f t="array" ref="C718">IF(B718="M","Married","Single")</f>
        <v>Married</v>
      </c>
      <c r="D718" t="s" s="2">
        <v>14</v>
      </c>
      <c r="E718" t="str" s="8" cm="1">
        <f t="array" ref="E718">IF(D718="M","Male",IF(D718="F","Female","Check"))</f>
        <v>Female</v>
      </c>
      <c r="F718" s="4">
        <v>40000</v>
      </c>
      <c r="G718" t="str" s="8" cm="1">
        <f t="array" ref="G718">IF(F718="","Check","okay")</f>
        <v>okay</v>
      </c>
      <c r="H718" s="3">
        <v>1</v>
      </c>
      <c r="I718" t="s" s="2">
        <v>15</v>
      </c>
      <c r="J718" t="s" s="2">
        <v>22</v>
      </c>
      <c r="K718" t="s" s="2">
        <v>17</v>
      </c>
      <c r="L718" s="3">
        <v>0</v>
      </c>
      <c r="M718" t="s" s="2">
        <v>18</v>
      </c>
      <c r="N718" t="s" s="2">
        <v>19</v>
      </c>
      <c r="O718" s="3">
        <v>80</v>
      </c>
      <c r="P718" t="str" s="8" cm="1">
        <f t="array" ref="P718">IF(O718="","check","Okay")</f>
        <v>Okay</v>
      </c>
      <c r="Q718" t="str" s="8" cm="1">
        <f t="array" ref="Q718">IF(O718&lt;30,"UNDER 30",IF(O718&lt;=50,"30-50","Over 50"))</f>
        <v>Over 50</v>
      </c>
      <c r="R718" t="s" s="2">
        <v>20</v>
      </c>
      <c r="S718" s="3" cm="1">
        <f t="array" ref="S718">COUNTIF(A2:A1001,A718)</f>
        <v>1</v>
      </c>
      <c r="T718" t="str" s="8" cm="1">
        <f t="array" ref="T718">IF(ISNUMBER(F718),"Ok","check")</f>
        <v>Ok</v>
      </c>
      <c r="U718" t="str" s="8" cm="1">
        <f t="array" ref="U718">IF(ISNUMBER(O718),"ok","check")</f>
        <v>ok</v>
      </c>
    </row>
    <row r="719" ht="13.55" customHeight="1">
      <c r="A719" s="3">
        <v>15628</v>
      </c>
      <c r="B719" t="s" s="2">
        <v>13</v>
      </c>
      <c r="C719" t="str" s="8" cm="1">
        <f t="array" ref="C719">IF(B719="M","Married","Single")</f>
        <v>Married</v>
      </c>
      <c r="D719" t="s" s="2">
        <v>14</v>
      </c>
      <c r="E719" t="str" s="8" cm="1">
        <f t="array" ref="E719">IF(D719="M","Male",IF(D719="F","Female","Check"))</f>
        <v>Female</v>
      </c>
      <c r="F719" s="4">
        <v>40000</v>
      </c>
      <c r="G719" t="str" s="8" cm="1">
        <f t="array" ref="G719">IF(F719="","Check","okay")</f>
        <v>okay</v>
      </c>
      <c r="H719" s="3">
        <v>1</v>
      </c>
      <c r="I719" t="s" s="2">
        <v>15</v>
      </c>
      <c r="J719" t="s" s="2">
        <v>16</v>
      </c>
      <c r="K719" t="s" s="2">
        <v>17</v>
      </c>
      <c r="L719" s="3">
        <v>1</v>
      </c>
      <c r="M719" t="s" s="2">
        <v>18</v>
      </c>
      <c r="N719" t="s" s="2">
        <v>19</v>
      </c>
      <c r="O719" s="3">
        <v>89</v>
      </c>
      <c r="P719" t="str" s="8" cm="1">
        <f t="array" ref="P719">IF(O719="","check","Okay")</f>
        <v>Okay</v>
      </c>
      <c r="Q719" t="str" s="8" cm="1">
        <f t="array" ref="Q719">IF(O719&lt;30,"UNDER 30",IF(O719&lt;=50,"30-50","Over 50"))</f>
        <v>Over 50</v>
      </c>
      <c r="R719" t="s" s="2">
        <v>20</v>
      </c>
      <c r="S719" s="3" cm="1">
        <f t="array" ref="S719">COUNTIF(A2:A1001,A719)</f>
        <v>1</v>
      </c>
      <c r="T719" t="str" s="8" cm="1">
        <f t="array" ref="T719">IF(ISNUMBER(F719),"Ok","check")</f>
        <v>Ok</v>
      </c>
      <c r="U719" t="str" s="8" cm="1">
        <f t="array" ref="U719">IF(ISNUMBER(O719),"ok","check")</f>
        <v>ok</v>
      </c>
    </row>
    <row r="720" ht="13.55" customHeight="1">
      <c r="A720" s="3">
        <v>22971</v>
      </c>
      <c r="B720" t="s" s="2">
        <v>25</v>
      </c>
      <c r="C720" t="str" s="8" cm="1">
        <f t="array" ref="C720">IF(B720="M","Married","Single")</f>
        <v>Single</v>
      </c>
      <c r="D720" t="s" s="2">
        <v>14</v>
      </c>
      <c r="E720" t="str" s="8" cm="1">
        <f t="array" ref="E720">IF(D720="M","Male",IF(D720="F","Female","Check"))</f>
        <v>Female</v>
      </c>
      <c r="F720" s="4">
        <v>30000</v>
      </c>
      <c r="G720" t="str" s="8" cm="1">
        <f t="array" ref="G720">IF(F720="","Check","okay")</f>
        <v>okay</v>
      </c>
      <c r="H720" s="3">
        <v>0</v>
      </c>
      <c r="I720" t="s" s="2">
        <v>30</v>
      </c>
      <c r="J720" t="s" s="2">
        <v>16</v>
      </c>
      <c r="K720" t="s" s="2">
        <v>20</v>
      </c>
      <c r="L720" s="3">
        <v>2</v>
      </c>
      <c r="M720" t="s" s="2">
        <v>18</v>
      </c>
      <c r="N720" t="s" s="2">
        <v>35</v>
      </c>
      <c r="O720" s="3">
        <v>25</v>
      </c>
      <c r="P720" t="str" s="8" cm="1">
        <f t="array" ref="P720">IF(O720="","check","Okay")</f>
        <v>Okay</v>
      </c>
      <c r="Q720" t="str" s="8" cm="1">
        <f t="array" ref="Q720">IF(O720&lt;30,"UNDER 30",IF(O720&lt;=50,"30-50","Over 50"))</f>
        <v>UNDER 30</v>
      </c>
      <c r="R720" t="s" s="2">
        <v>17</v>
      </c>
      <c r="S720" s="3" cm="1">
        <f t="array" ref="S720">COUNTIF(A2:A1001,A720)</f>
        <v>1</v>
      </c>
      <c r="T720" t="str" s="8" cm="1">
        <f t="array" ref="T720">IF(ISNUMBER(F720),"Ok","check")</f>
        <v>Ok</v>
      </c>
      <c r="U720" t="str" s="8" cm="1">
        <f t="array" ref="U720">IF(ISNUMBER(O720),"ok","check")</f>
        <v>ok</v>
      </c>
    </row>
    <row r="721" ht="13.55" customHeight="1">
      <c r="A721" s="3">
        <v>14332</v>
      </c>
      <c r="B721" t="s" s="2">
        <v>25</v>
      </c>
      <c r="C721" t="str" s="8" cm="1">
        <f t="array" ref="C721">IF(B721="M","Married","Single")</f>
        <v>Single</v>
      </c>
      <c r="D721" t="s" s="2">
        <v>14</v>
      </c>
      <c r="E721" t="str" s="8" cm="1">
        <f t="array" ref="E721">IF(D721="M","Male",IF(D721="F","Female","Check"))</f>
        <v>Female</v>
      </c>
      <c r="F721" s="4">
        <v>30000</v>
      </c>
      <c r="G721" t="str" s="8" cm="1">
        <f t="array" ref="G721">IF(F721="","Check","okay")</f>
        <v>okay</v>
      </c>
      <c r="H721" s="3">
        <v>0</v>
      </c>
      <c r="I721" t="s" s="2">
        <v>30</v>
      </c>
      <c r="J721" t="s" s="2">
        <v>16</v>
      </c>
      <c r="K721" t="s" s="2">
        <v>20</v>
      </c>
      <c r="L721" s="3">
        <v>2</v>
      </c>
      <c r="M721" t="s" s="2">
        <v>26</v>
      </c>
      <c r="N721" t="s" s="2">
        <v>35</v>
      </c>
      <c r="O721" s="3">
        <v>26</v>
      </c>
      <c r="P721" t="str" s="8" cm="1">
        <f t="array" ref="P721">IF(O721="","check","Okay")</f>
        <v>Okay</v>
      </c>
      <c r="Q721" t="str" s="8" cm="1">
        <f t="array" ref="Q721">IF(O721&lt;30,"UNDER 30",IF(O721&lt;=50,"30-50","Over 50"))</f>
        <v>UNDER 30</v>
      </c>
      <c r="R721" t="s" s="2">
        <v>20</v>
      </c>
      <c r="S721" s="3" cm="1">
        <f t="array" ref="S721">COUNTIF(A2:A1001,A721)</f>
        <v>1</v>
      </c>
      <c r="T721" t="str" s="8" cm="1">
        <f t="array" ref="T721">IF(ISNUMBER(F721),"Ok","check")</f>
        <v>Ok</v>
      </c>
      <c r="U721" t="str" s="8" cm="1">
        <f t="array" ref="U721">IF(ISNUMBER(O721),"ok","check")</f>
        <v>ok</v>
      </c>
    </row>
    <row r="722" ht="13.55" customHeight="1">
      <c r="A722" s="3">
        <v>14514</v>
      </c>
      <c r="B722" t="s" s="2">
        <v>25</v>
      </c>
      <c r="C722" t="str" s="8" cm="1">
        <f t="array" ref="C722">IF(B722="M","Married","Single")</f>
        <v>Single</v>
      </c>
      <c r="D722" t="s" s="2">
        <v>14</v>
      </c>
      <c r="E722" t="str" s="8" cm="1">
        <f t="array" ref="E722">IF(D722="M","Male",IF(D722="F","Female","Check"))</f>
        <v>Female</v>
      </c>
      <c r="F722" s="4">
        <v>30000</v>
      </c>
      <c r="G722" t="str" s="8" cm="1">
        <f t="array" ref="G722">IF(F722="","Check","okay")</f>
        <v>okay</v>
      </c>
      <c r="H722" s="3">
        <v>0</v>
      </c>
      <c r="I722" t="s" s="2">
        <v>21</v>
      </c>
      <c r="J722" t="s" s="2">
        <v>16</v>
      </c>
      <c r="K722" t="s" s="2">
        <v>17</v>
      </c>
      <c r="L722" s="3">
        <v>1</v>
      </c>
      <c r="M722" t="s" s="2">
        <v>26</v>
      </c>
      <c r="N722" t="s" s="2">
        <v>35</v>
      </c>
      <c r="O722" s="3">
        <v>26</v>
      </c>
      <c r="P722" t="str" s="8" cm="1">
        <f t="array" ref="P722">IF(O722="","check","Okay")</f>
        <v>Okay</v>
      </c>
      <c r="Q722" t="str" s="8" cm="1">
        <f t="array" ref="Q722">IF(O722&lt;30,"UNDER 30",IF(O722&lt;=50,"30-50","Over 50"))</f>
        <v>UNDER 30</v>
      </c>
      <c r="R722" t="s" s="2">
        <v>20</v>
      </c>
      <c r="S722" s="3" cm="1">
        <f t="array" ref="S722">COUNTIF(A2:A1001,A722)</f>
        <v>1</v>
      </c>
      <c r="T722" t="str" s="8" cm="1">
        <f t="array" ref="T722">IF(ISNUMBER(F722),"Ok","check")</f>
        <v>Ok</v>
      </c>
      <c r="U722" t="str" s="8" cm="1">
        <f t="array" ref="U722">IF(ISNUMBER(O722),"ok","check")</f>
        <v>ok</v>
      </c>
    </row>
    <row r="723" ht="13.55" customHeight="1">
      <c r="A723" s="3">
        <v>27814</v>
      </c>
      <c r="B723" t="s" s="2">
        <v>25</v>
      </c>
      <c r="C723" t="str" s="8" cm="1">
        <f t="array" ref="C723">IF(B723="M","Married","Single")</f>
        <v>Single</v>
      </c>
      <c r="D723" t="s" s="2">
        <v>14</v>
      </c>
      <c r="E723" t="str" s="8" cm="1">
        <f t="array" ref="E723">IF(D723="M","Male",IF(D723="F","Female","Check"))</f>
        <v>Female</v>
      </c>
      <c r="F723" s="4">
        <v>30000</v>
      </c>
      <c r="G723" t="str" s="8" cm="1">
        <f t="array" ref="G723">IF(F723="","Check","okay")</f>
        <v>okay</v>
      </c>
      <c r="H723" s="3">
        <v>3</v>
      </c>
      <c r="I723" t="s" s="2">
        <v>21</v>
      </c>
      <c r="J723" t="s" s="2">
        <v>22</v>
      </c>
      <c r="K723" t="s" s="2">
        <v>20</v>
      </c>
      <c r="L723" s="3">
        <v>1</v>
      </c>
      <c r="M723" t="s" s="2">
        <v>18</v>
      </c>
      <c r="N723" t="s" s="2">
        <v>19</v>
      </c>
      <c r="O723" s="3">
        <v>26</v>
      </c>
      <c r="P723" t="str" s="8" cm="1">
        <f t="array" ref="P723">IF(O723="","check","Okay")</f>
        <v>Okay</v>
      </c>
      <c r="Q723" t="str" s="8" cm="1">
        <f t="array" ref="Q723">IF(O723&lt;30,"UNDER 30",IF(O723&lt;=50,"30-50","Over 50"))</f>
        <v>UNDER 30</v>
      </c>
      <c r="R723" t="s" s="2">
        <v>20</v>
      </c>
      <c r="S723" s="3" cm="1">
        <f t="array" ref="S723">COUNTIF(A2:A1001,A723)</f>
        <v>1</v>
      </c>
      <c r="T723" t="str" s="8" cm="1">
        <f t="array" ref="T723">IF(ISNUMBER(F723),"Ok","check")</f>
        <v>Ok</v>
      </c>
      <c r="U723" t="str" s="8" cm="1">
        <f t="array" ref="U723">IF(ISNUMBER(O723),"ok","check")</f>
        <v>ok</v>
      </c>
    </row>
    <row r="724" ht="13.55" customHeight="1">
      <c r="A724" s="3">
        <v>16725</v>
      </c>
      <c r="B724" t="s" s="2">
        <v>13</v>
      </c>
      <c r="C724" t="str" s="8" cm="1">
        <f t="array" ref="C724">IF(B724="M","Married","Single")</f>
        <v>Married</v>
      </c>
      <c r="D724" t="s" s="2">
        <v>13</v>
      </c>
      <c r="E724" t="str" s="8" cm="1">
        <f t="array" ref="E724">IF(D724="M","Male",IF(D724="F","Female","Check"))</f>
        <v>Male</v>
      </c>
      <c r="F724" s="4">
        <v>30000</v>
      </c>
      <c r="G724" t="str" s="8" cm="1">
        <f t="array" ref="G724">IF(F724="","Check","okay")</f>
        <v>okay</v>
      </c>
      <c r="H724" s="3">
        <v>0</v>
      </c>
      <c r="I724" t="s" s="2">
        <v>30</v>
      </c>
      <c r="J724" t="s" s="2">
        <v>16</v>
      </c>
      <c r="K724" t="s" s="2">
        <v>17</v>
      </c>
      <c r="L724" s="3">
        <v>2</v>
      </c>
      <c r="M724" t="s" s="2">
        <v>26</v>
      </c>
      <c r="N724" t="s" s="2">
        <v>35</v>
      </c>
      <c r="O724" s="3">
        <v>26</v>
      </c>
      <c r="P724" t="str" s="8" cm="1">
        <f t="array" ref="P724">IF(O724="","check","Okay")</f>
        <v>Okay</v>
      </c>
      <c r="Q724" t="str" s="8" cm="1">
        <f t="array" ref="Q724">IF(O724&lt;30,"UNDER 30",IF(O724&lt;=50,"30-50","Over 50"))</f>
        <v>UNDER 30</v>
      </c>
      <c r="R724" t="s" s="2">
        <v>20</v>
      </c>
      <c r="S724" s="3" cm="1">
        <f t="array" ref="S724">COUNTIF(A2:A1001,A724)</f>
        <v>1</v>
      </c>
      <c r="T724" t="str" s="8" cm="1">
        <f t="array" ref="T724">IF(ISNUMBER(F724),"Ok","check")</f>
        <v>Ok</v>
      </c>
      <c r="U724" t="str" s="8" cm="1">
        <f t="array" ref="U724">IF(ISNUMBER(O724),"ok","check")</f>
        <v>ok</v>
      </c>
    </row>
    <row r="725" ht="13.55" customHeight="1">
      <c r="A725" s="3">
        <v>18322</v>
      </c>
      <c r="B725" t="s" s="2">
        <v>25</v>
      </c>
      <c r="C725" t="str" s="8" cm="1">
        <f t="array" ref="C725">IF(B725="M","Married","Single")</f>
        <v>Single</v>
      </c>
      <c r="D725" t="s" s="2">
        <v>13</v>
      </c>
      <c r="E725" t="str" s="8" cm="1">
        <f t="array" ref="E725">IF(D725="M","Male",IF(D725="F","Female","Check"))</f>
        <v>Male</v>
      </c>
      <c r="F725" s="4">
        <v>30000</v>
      </c>
      <c r="G725" t="str" s="8" cm="1">
        <f t="array" ref="G725">IF(F725="","Check","okay")</f>
        <v>okay</v>
      </c>
      <c r="H725" s="3">
        <v>0</v>
      </c>
      <c r="I725" t="s" s="2">
        <v>32</v>
      </c>
      <c r="J725" t="s" s="2">
        <v>22</v>
      </c>
      <c r="K725" t="s" s="2">
        <v>20</v>
      </c>
      <c r="L725" s="3">
        <v>2</v>
      </c>
      <c r="M725" t="s" s="2">
        <v>18</v>
      </c>
      <c r="N725" t="s" s="2">
        <v>35</v>
      </c>
      <c r="O725" s="3">
        <v>26</v>
      </c>
      <c r="P725" t="str" s="8" cm="1">
        <f t="array" ref="P725">IF(O725="","check","Okay")</f>
        <v>Okay</v>
      </c>
      <c r="Q725" t="str" s="8" cm="1">
        <f t="array" ref="Q725">IF(O725&lt;30,"UNDER 30",IF(O725&lt;=50,"30-50","Over 50"))</f>
        <v>UNDER 30</v>
      </c>
      <c r="R725" t="s" s="2">
        <v>20</v>
      </c>
      <c r="S725" s="3" cm="1">
        <f t="array" ref="S725">COUNTIF(A2:A1001,A725)</f>
        <v>1</v>
      </c>
      <c r="T725" t="str" s="8" cm="1">
        <f t="array" ref="T725">IF(ISNUMBER(F725),"Ok","check")</f>
        <v>Ok</v>
      </c>
      <c r="U725" t="str" s="8" cm="1">
        <f t="array" ref="U725">IF(ISNUMBER(O725),"ok","check")</f>
        <v>ok</v>
      </c>
    </row>
    <row r="726" ht="13.55" customHeight="1">
      <c r="A726" s="3">
        <v>22014</v>
      </c>
      <c r="B726" t="s" s="2">
        <v>25</v>
      </c>
      <c r="C726" t="str" s="8" cm="1">
        <f t="array" ref="C726">IF(B726="M","Married","Single")</f>
        <v>Single</v>
      </c>
      <c r="D726" t="s" s="2">
        <v>13</v>
      </c>
      <c r="E726" t="str" s="8" cm="1">
        <f t="array" ref="E726">IF(D726="M","Male",IF(D726="F","Female","Check"))</f>
        <v>Male</v>
      </c>
      <c r="F726" s="4">
        <v>30000</v>
      </c>
      <c r="G726" t="str" s="8" cm="1">
        <f t="array" ref="G726">IF(F726="","Check","okay")</f>
        <v>okay</v>
      </c>
      <c r="H726" s="3">
        <v>0</v>
      </c>
      <c r="I726" t="s" s="2">
        <v>30</v>
      </c>
      <c r="J726" t="s" s="2">
        <v>16</v>
      </c>
      <c r="K726" t="s" s="2">
        <v>17</v>
      </c>
      <c r="L726" s="3">
        <v>2</v>
      </c>
      <c r="M726" t="s" s="2">
        <v>26</v>
      </c>
      <c r="N726" t="s" s="2">
        <v>35</v>
      </c>
      <c r="O726" s="3">
        <v>26</v>
      </c>
      <c r="P726" t="str" s="8" cm="1">
        <f t="array" ref="P726">IF(O726="","check","Okay")</f>
        <v>Okay</v>
      </c>
      <c r="Q726" t="str" s="8" cm="1">
        <f t="array" ref="Q726">IF(O726&lt;30,"UNDER 30",IF(O726&lt;=50,"30-50","Over 50"))</f>
        <v>UNDER 30</v>
      </c>
      <c r="R726" t="s" s="2">
        <v>20</v>
      </c>
      <c r="S726" s="3" cm="1">
        <f t="array" ref="S726">COUNTIF(A2:A1001,A726)</f>
        <v>1</v>
      </c>
      <c r="T726" t="str" s="8" cm="1">
        <f t="array" ref="T726">IF(ISNUMBER(F726),"Ok","check")</f>
        <v>Ok</v>
      </c>
      <c r="U726" t="str" s="8" cm="1">
        <f t="array" ref="U726">IF(ISNUMBER(O726),"ok","check")</f>
        <v>ok</v>
      </c>
    </row>
    <row r="727" ht="13.55" customHeight="1">
      <c r="A727" s="3">
        <v>12503</v>
      </c>
      <c r="B727" t="s" s="2">
        <v>25</v>
      </c>
      <c r="C727" t="str" s="8" cm="1">
        <f t="array" ref="C727">IF(B727="M","Married","Single")</f>
        <v>Single</v>
      </c>
      <c r="D727" t="s" s="2">
        <v>14</v>
      </c>
      <c r="E727" t="str" s="8" cm="1">
        <f t="array" ref="E727">IF(D727="M","Male",IF(D727="F","Female","Check"))</f>
        <v>Female</v>
      </c>
      <c r="F727" s="4">
        <v>30000</v>
      </c>
      <c r="G727" t="str" s="8" cm="1">
        <f t="array" ref="G727">IF(F727="","Check","okay")</f>
        <v>okay</v>
      </c>
      <c r="H727" s="3">
        <v>3</v>
      </c>
      <c r="I727" t="s" s="2">
        <v>21</v>
      </c>
      <c r="J727" t="s" s="2">
        <v>22</v>
      </c>
      <c r="K727" t="s" s="2">
        <v>17</v>
      </c>
      <c r="L727" s="3">
        <v>2</v>
      </c>
      <c r="M727" t="s" s="2">
        <v>18</v>
      </c>
      <c r="N727" t="s" s="2">
        <v>19</v>
      </c>
      <c r="O727" s="3">
        <v>27</v>
      </c>
      <c r="P727" t="str" s="8" cm="1">
        <f t="array" ref="P727">IF(O727="","check","Okay")</f>
        <v>Okay</v>
      </c>
      <c r="Q727" t="str" s="8" cm="1">
        <f t="array" ref="Q727">IF(O727&lt;30,"UNDER 30",IF(O727&lt;=50,"30-50","Over 50"))</f>
        <v>UNDER 30</v>
      </c>
      <c r="R727" t="s" s="2">
        <v>20</v>
      </c>
      <c r="S727" s="3" cm="1">
        <f t="array" ref="S727">COUNTIF(A2:A1001,A727)</f>
        <v>1</v>
      </c>
      <c r="T727" t="str" s="8" cm="1">
        <f t="array" ref="T727">IF(ISNUMBER(F727),"Ok","check")</f>
        <v>Ok</v>
      </c>
      <c r="U727" t="str" s="8" cm="1">
        <f t="array" ref="U727">IF(ISNUMBER(O727),"ok","check")</f>
        <v>ok</v>
      </c>
    </row>
    <row r="728" ht="13.55" customHeight="1">
      <c r="A728" s="3">
        <v>22518</v>
      </c>
      <c r="B728" t="s" s="2">
        <v>25</v>
      </c>
      <c r="C728" t="str" s="8" cm="1">
        <f t="array" ref="C728">IF(B728="M","Married","Single")</f>
        <v>Single</v>
      </c>
      <c r="D728" t="s" s="2">
        <v>14</v>
      </c>
      <c r="E728" t="str" s="8" cm="1">
        <f t="array" ref="E728">IF(D728="M","Male",IF(D728="F","Female","Check"))</f>
        <v>Female</v>
      </c>
      <c r="F728" s="4">
        <v>30000</v>
      </c>
      <c r="G728" t="str" s="8" cm="1">
        <f t="array" ref="G728">IF(F728="","Check","okay")</f>
        <v>okay</v>
      </c>
      <c r="H728" s="3">
        <v>3</v>
      </c>
      <c r="I728" t="s" s="2">
        <v>21</v>
      </c>
      <c r="J728" t="s" s="2">
        <v>22</v>
      </c>
      <c r="K728" t="s" s="2">
        <v>20</v>
      </c>
      <c r="L728" s="3">
        <v>2</v>
      </c>
      <c r="M728" t="s" s="2">
        <v>18</v>
      </c>
      <c r="N728" t="s" s="2">
        <v>19</v>
      </c>
      <c r="O728" s="3">
        <v>27</v>
      </c>
      <c r="P728" t="str" s="8" cm="1">
        <f t="array" ref="P728">IF(O728="","check","Okay")</f>
        <v>Okay</v>
      </c>
      <c r="Q728" t="str" s="8" cm="1">
        <f t="array" ref="Q728">IF(O728&lt;30,"UNDER 30",IF(O728&lt;=50,"30-50","Over 50"))</f>
        <v>UNDER 30</v>
      </c>
      <c r="R728" t="s" s="2">
        <v>17</v>
      </c>
      <c r="S728" s="3" cm="1">
        <f t="array" ref="S728">COUNTIF(A2:A1001,A728)</f>
        <v>1</v>
      </c>
      <c r="T728" t="str" s="8" cm="1">
        <f t="array" ref="T728">IF(ISNUMBER(F728),"Ok","check")</f>
        <v>Ok</v>
      </c>
      <c r="U728" t="str" s="8" cm="1">
        <f t="array" ref="U728">IF(ISNUMBER(O728),"ok","check")</f>
        <v>ok</v>
      </c>
    </row>
    <row r="729" ht="13.55" customHeight="1">
      <c r="A729" s="3">
        <v>22983</v>
      </c>
      <c r="B729" t="s" s="2">
        <v>25</v>
      </c>
      <c r="C729" t="str" s="8" cm="1">
        <f t="array" ref="C729">IF(B729="M","Married","Single")</f>
        <v>Single</v>
      </c>
      <c r="D729" t="s" s="2">
        <v>14</v>
      </c>
      <c r="E729" t="str" s="8" cm="1">
        <f t="array" ref="E729">IF(D729="M","Male",IF(D729="F","Female","Check"))</f>
        <v>Female</v>
      </c>
      <c r="F729" s="4">
        <v>30000</v>
      </c>
      <c r="G729" t="str" s="8" cm="1">
        <f t="array" ref="G729">IF(F729="","Check","okay")</f>
        <v>okay</v>
      </c>
      <c r="H729" s="3">
        <v>0</v>
      </c>
      <c r="I729" t="s" s="2">
        <v>32</v>
      </c>
      <c r="J729" t="s" s="2">
        <v>22</v>
      </c>
      <c r="K729" t="s" s="2">
        <v>17</v>
      </c>
      <c r="L729" s="3">
        <v>2</v>
      </c>
      <c r="M729" t="s" s="2">
        <v>26</v>
      </c>
      <c r="N729" t="s" s="2">
        <v>35</v>
      </c>
      <c r="O729" s="3">
        <v>27</v>
      </c>
      <c r="P729" t="str" s="8" cm="1">
        <f t="array" ref="P729">IF(O729="","check","Okay")</f>
        <v>Okay</v>
      </c>
      <c r="Q729" t="str" s="8" cm="1">
        <f t="array" ref="Q729">IF(O729&lt;30,"UNDER 30",IF(O729&lt;=50,"30-50","Over 50"))</f>
        <v>UNDER 30</v>
      </c>
      <c r="R729" t="s" s="2">
        <v>20</v>
      </c>
      <c r="S729" s="3" cm="1">
        <f t="array" ref="S729">COUNTIF(A2:A1001,A729)</f>
        <v>1</v>
      </c>
      <c r="T729" t="str" s="8" cm="1">
        <f t="array" ref="T729">IF(ISNUMBER(F729),"Ok","check")</f>
        <v>Ok</v>
      </c>
      <c r="U729" t="str" s="8" cm="1">
        <f t="array" ref="U729">IF(ISNUMBER(O729),"ok","check")</f>
        <v>ok</v>
      </c>
    </row>
    <row r="730" ht="13.55" customHeight="1">
      <c r="A730" s="3">
        <v>12728</v>
      </c>
      <c r="B730" t="s" s="2">
        <v>25</v>
      </c>
      <c r="C730" t="str" s="8" cm="1">
        <f t="array" ref="C730">IF(B730="M","Married","Single")</f>
        <v>Single</v>
      </c>
      <c r="D730" t="s" s="2">
        <v>13</v>
      </c>
      <c r="E730" t="str" s="8" cm="1">
        <f t="array" ref="E730">IF(D730="M","Male",IF(D730="F","Female","Check"))</f>
        <v>Male</v>
      </c>
      <c r="F730" s="4">
        <v>30000</v>
      </c>
      <c r="G730" t="str" s="8" cm="1">
        <f t="array" ref="G730">IF(F730="","Check","okay")</f>
        <v>okay</v>
      </c>
      <c r="H730" s="3">
        <v>0</v>
      </c>
      <c r="I730" t="s" s="2">
        <v>21</v>
      </c>
      <c r="J730" t="s" s="2">
        <v>22</v>
      </c>
      <c r="K730" t="s" s="2">
        <v>20</v>
      </c>
      <c r="L730" s="3">
        <v>1</v>
      </c>
      <c r="M730" t="s" s="2">
        <v>29</v>
      </c>
      <c r="N730" t="s" s="2">
        <v>19</v>
      </c>
      <c r="O730" s="3">
        <v>27</v>
      </c>
      <c r="P730" t="str" s="8" cm="1">
        <f t="array" ref="P730">IF(O730="","check","Okay")</f>
        <v>Okay</v>
      </c>
      <c r="Q730" t="str" s="8" cm="1">
        <f t="array" ref="Q730">IF(O730&lt;30,"UNDER 30",IF(O730&lt;=50,"30-50","Over 50"))</f>
        <v>UNDER 30</v>
      </c>
      <c r="R730" t="s" s="2">
        <v>20</v>
      </c>
      <c r="S730" s="3" cm="1">
        <f t="array" ref="S730">COUNTIF(A2:A1001,A730)</f>
        <v>1</v>
      </c>
      <c r="T730" t="str" s="8" cm="1">
        <f t="array" ref="T730">IF(ISNUMBER(F730),"Ok","check")</f>
        <v>Ok</v>
      </c>
      <c r="U730" t="str" s="8" cm="1">
        <f t="array" ref="U730">IF(ISNUMBER(O730),"ok","check")</f>
        <v>ok</v>
      </c>
    </row>
    <row r="731" ht="13.55" customHeight="1">
      <c r="A731" s="3">
        <v>17369</v>
      </c>
      <c r="B731" t="s" s="2">
        <v>25</v>
      </c>
      <c r="C731" t="str" s="8" cm="1">
        <f t="array" ref="C731">IF(B731="M","Married","Single")</f>
        <v>Single</v>
      </c>
      <c r="D731" t="s" s="2">
        <v>13</v>
      </c>
      <c r="E731" t="str" s="8" cm="1">
        <f t="array" ref="E731">IF(D731="M","Male",IF(D731="F","Female","Check"))</f>
        <v>Male</v>
      </c>
      <c r="F731" s="4">
        <v>30000</v>
      </c>
      <c r="G731" t="str" s="8" cm="1">
        <f t="array" ref="G731">IF(F731="","Check","okay")</f>
        <v>okay</v>
      </c>
      <c r="H731" s="3">
        <v>0</v>
      </c>
      <c r="I731" t="s" s="2">
        <v>21</v>
      </c>
      <c r="J731" t="s" s="2">
        <v>16</v>
      </c>
      <c r="K731" t="s" s="2">
        <v>17</v>
      </c>
      <c r="L731" s="3">
        <v>1</v>
      </c>
      <c r="M731" t="s" s="2">
        <v>26</v>
      </c>
      <c r="N731" t="s" s="2">
        <v>35</v>
      </c>
      <c r="O731" s="3">
        <v>27</v>
      </c>
      <c r="P731" t="str" s="8" cm="1">
        <f t="array" ref="P731">IF(O731="","check","Okay")</f>
        <v>Okay</v>
      </c>
      <c r="Q731" t="str" s="8" cm="1">
        <f t="array" ref="Q731">IF(O731&lt;30,"UNDER 30",IF(O731&lt;=50,"30-50","Over 50"))</f>
        <v>UNDER 30</v>
      </c>
      <c r="R731" t="s" s="2">
        <v>20</v>
      </c>
      <c r="S731" s="3" cm="1">
        <f t="array" ref="S731">COUNTIF(A2:A1001,A731)</f>
        <v>1</v>
      </c>
      <c r="T731" t="str" s="8" cm="1">
        <f t="array" ref="T731">IF(ISNUMBER(F731),"Ok","check")</f>
        <v>Ok</v>
      </c>
      <c r="U731" t="str" s="8" cm="1">
        <f t="array" ref="U731">IF(ISNUMBER(O731),"ok","check")</f>
        <v>ok</v>
      </c>
    </row>
    <row r="732" ht="13.55" customHeight="1">
      <c r="A732" s="3">
        <v>18329</v>
      </c>
      <c r="B732" t="s" s="2">
        <v>25</v>
      </c>
      <c r="C732" t="str" s="8" cm="1">
        <f t="array" ref="C732">IF(B732="M","Married","Single")</f>
        <v>Single</v>
      </c>
      <c r="D732" t="s" s="2">
        <v>13</v>
      </c>
      <c r="E732" t="str" s="8" cm="1">
        <f t="array" ref="E732">IF(D732="M","Male",IF(D732="F","Female","Check"))</f>
        <v>Male</v>
      </c>
      <c r="F732" s="4">
        <v>30000</v>
      </c>
      <c r="G732" t="str" s="8" cm="1">
        <f t="array" ref="G732">IF(F732="","Check","okay")</f>
        <v>okay</v>
      </c>
      <c r="H732" s="3">
        <v>0</v>
      </c>
      <c r="I732" t="s" s="2">
        <v>32</v>
      </c>
      <c r="J732" t="s" s="2">
        <v>22</v>
      </c>
      <c r="K732" t="s" s="2">
        <v>20</v>
      </c>
      <c r="L732" s="3">
        <v>2</v>
      </c>
      <c r="M732" t="s" s="2">
        <v>26</v>
      </c>
      <c r="N732" t="s" s="2">
        <v>35</v>
      </c>
      <c r="O732" s="3">
        <v>27</v>
      </c>
      <c r="P732" t="str" s="8" cm="1">
        <f t="array" ref="P732">IF(O732="","check","Okay")</f>
        <v>Okay</v>
      </c>
      <c r="Q732" t="str" s="8" cm="1">
        <f t="array" ref="Q732">IF(O732&lt;30,"UNDER 30",IF(O732&lt;=50,"30-50","Over 50"))</f>
        <v>UNDER 30</v>
      </c>
      <c r="R732" t="s" s="2">
        <v>20</v>
      </c>
      <c r="S732" s="3" cm="1">
        <f t="array" ref="S732">COUNTIF(A2:A1001,A732)</f>
        <v>1</v>
      </c>
      <c r="T732" t="str" s="8" cm="1">
        <f t="array" ref="T732">IF(ISNUMBER(F732),"Ok","check")</f>
        <v>Ok</v>
      </c>
      <c r="U732" t="str" s="8" cm="1">
        <f t="array" ref="U732">IF(ISNUMBER(O732),"ok","check")</f>
        <v>ok</v>
      </c>
    </row>
    <row r="733" ht="13.55" customHeight="1">
      <c r="A733" s="3">
        <v>14090</v>
      </c>
      <c r="B733" t="s" s="2">
        <v>13</v>
      </c>
      <c r="C733" t="str" s="8" cm="1">
        <f t="array" ref="C733">IF(B733="M","Married","Single")</f>
        <v>Married</v>
      </c>
      <c r="D733" t="s" s="2">
        <v>14</v>
      </c>
      <c r="E733" t="str" s="8" cm="1">
        <f t="array" ref="E733">IF(D733="M","Male",IF(D733="F","Female","Check"))</f>
        <v>Female</v>
      </c>
      <c r="F733" s="4">
        <v>30000</v>
      </c>
      <c r="G733" t="str" s="8" cm="1">
        <f t="array" ref="G733">IF(F733="","Check","okay")</f>
        <v>okay</v>
      </c>
      <c r="H733" s="3">
        <v>0</v>
      </c>
      <c r="I733" t="s" s="2">
        <v>32</v>
      </c>
      <c r="J733" t="s" s="2">
        <v>22</v>
      </c>
      <c r="K733" t="s" s="2">
        <v>20</v>
      </c>
      <c r="L733" s="3">
        <v>2</v>
      </c>
      <c r="M733" t="s" s="2">
        <v>18</v>
      </c>
      <c r="N733" t="s" s="2">
        <v>35</v>
      </c>
      <c r="O733" s="3">
        <v>28</v>
      </c>
      <c r="P733" t="str" s="8" cm="1">
        <f t="array" ref="P733">IF(O733="","check","Okay")</f>
        <v>Okay</v>
      </c>
      <c r="Q733" t="str" s="8" cm="1">
        <f t="array" ref="Q733">IF(O733&lt;30,"UNDER 30",IF(O733&lt;=50,"30-50","Over 50"))</f>
        <v>UNDER 30</v>
      </c>
      <c r="R733" t="s" s="2">
        <v>20</v>
      </c>
      <c r="S733" s="3" cm="1">
        <f t="array" ref="S733">COUNTIF(A2:A1001,A733)</f>
        <v>1</v>
      </c>
      <c r="T733" t="str" s="8" cm="1">
        <f t="array" ref="T733">IF(ISNUMBER(F733),"Ok","check")</f>
        <v>Ok</v>
      </c>
      <c r="U733" t="str" s="8" cm="1">
        <f t="array" ref="U733">IF(ISNUMBER(O733),"ok","check")</f>
        <v>ok</v>
      </c>
    </row>
    <row r="734" ht="13.55" customHeight="1">
      <c r="A734" s="3">
        <v>11935</v>
      </c>
      <c r="B734" t="s" s="2">
        <v>25</v>
      </c>
      <c r="C734" t="str" s="8" cm="1">
        <f t="array" ref="C734">IF(B734="M","Married","Single")</f>
        <v>Single</v>
      </c>
      <c r="D734" t="s" s="2">
        <v>14</v>
      </c>
      <c r="E734" t="str" s="8" cm="1">
        <f t="array" ref="E734">IF(D734="M","Male",IF(D734="F","Female","Check"))</f>
        <v>Female</v>
      </c>
      <c r="F734" s="4">
        <v>30000</v>
      </c>
      <c r="G734" t="str" s="8" cm="1">
        <f t="array" ref="G734">IF(F734="","Check","okay")</f>
        <v>okay</v>
      </c>
      <c r="H734" s="3">
        <v>0</v>
      </c>
      <c r="I734" t="s" s="2">
        <v>21</v>
      </c>
      <c r="J734" t="s" s="2">
        <v>16</v>
      </c>
      <c r="K734" t="s" s="2">
        <v>17</v>
      </c>
      <c r="L734" s="3">
        <v>1</v>
      </c>
      <c r="M734" t="s" s="2">
        <v>26</v>
      </c>
      <c r="N734" t="s" s="2">
        <v>35</v>
      </c>
      <c r="O734" s="3">
        <v>28</v>
      </c>
      <c r="P734" t="str" s="8" cm="1">
        <f t="array" ref="P734">IF(O734="","check","Okay")</f>
        <v>Okay</v>
      </c>
      <c r="Q734" t="str" s="8" cm="1">
        <f t="array" ref="Q734">IF(O734&lt;30,"UNDER 30",IF(O734&lt;=50,"30-50","Over 50"))</f>
        <v>UNDER 30</v>
      </c>
      <c r="R734" t="s" s="2">
        <v>20</v>
      </c>
      <c r="S734" s="3" cm="1">
        <f t="array" ref="S734">COUNTIF(A2:A1001,A734)</f>
        <v>1</v>
      </c>
      <c r="T734" t="str" s="8" cm="1">
        <f t="array" ref="T734">IF(ISNUMBER(F734),"Ok","check")</f>
        <v>Ok</v>
      </c>
      <c r="U734" t="str" s="8" cm="1">
        <f t="array" ref="U734">IF(ISNUMBER(O734),"ok","check")</f>
        <v>ok</v>
      </c>
    </row>
    <row r="735" ht="13.55" customHeight="1">
      <c r="A735" s="3">
        <v>13826</v>
      </c>
      <c r="B735" t="s" s="2">
        <v>25</v>
      </c>
      <c r="C735" t="str" s="8" cm="1">
        <f t="array" ref="C735">IF(B735="M","Married","Single")</f>
        <v>Single</v>
      </c>
      <c r="D735" t="s" s="2">
        <v>14</v>
      </c>
      <c r="E735" t="str" s="8" cm="1">
        <f t="array" ref="E735">IF(D735="M","Male",IF(D735="F","Female","Check"))</f>
        <v>Female</v>
      </c>
      <c r="F735" s="4">
        <v>30000</v>
      </c>
      <c r="G735" t="str" s="8" cm="1">
        <f t="array" ref="G735">IF(F735="","Check","okay")</f>
        <v>okay</v>
      </c>
      <c r="H735" s="3">
        <v>0</v>
      </c>
      <c r="I735" t="s" s="2">
        <v>21</v>
      </c>
      <c r="J735" t="s" s="2">
        <v>22</v>
      </c>
      <c r="K735" t="s" s="2">
        <v>20</v>
      </c>
      <c r="L735" s="3">
        <v>1</v>
      </c>
      <c r="M735" t="s" s="2">
        <v>18</v>
      </c>
      <c r="N735" t="s" s="2">
        <v>19</v>
      </c>
      <c r="O735" s="3">
        <v>28</v>
      </c>
      <c r="P735" t="str" s="8" cm="1">
        <f t="array" ref="P735">IF(O735="","check","Okay")</f>
        <v>Okay</v>
      </c>
      <c r="Q735" t="str" s="8" cm="1">
        <f t="array" ref="Q735">IF(O735&lt;30,"UNDER 30",IF(O735&lt;=50,"30-50","Over 50"))</f>
        <v>UNDER 30</v>
      </c>
      <c r="R735" t="s" s="2">
        <v>20</v>
      </c>
      <c r="S735" s="3" cm="1">
        <f t="array" ref="S735">COUNTIF(A2:A1001,A735)</f>
        <v>1</v>
      </c>
      <c r="T735" t="str" s="8" cm="1">
        <f t="array" ref="T735">IF(ISNUMBER(F735),"Ok","check")</f>
        <v>Ok</v>
      </c>
      <c r="U735" t="str" s="8" cm="1">
        <f t="array" ref="U735">IF(ISNUMBER(O735),"ok","check")</f>
        <v>ok</v>
      </c>
    </row>
    <row r="736" ht="13.55" customHeight="1">
      <c r="A736" s="3">
        <v>25006</v>
      </c>
      <c r="B736" t="s" s="2">
        <v>25</v>
      </c>
      <c r="C736" t="str" s="8" cm="1">
        <f t="array" ref="C736">IF(B736="M","Married","Single")</f>
        <v>Single</v>
      </c>
      <c r="D736" t="s" s="2">
        <v>14</v>
      </c>
      <c r="E736" t="str" s="8" cm="1">
        <f t="array" ref="E736">IF(D736="M","Male",IF(D736="F","Female","Check"))</f>
        <v>Female</v>
      </c>
      <c r="F736" s="4">
        <v>30000</v>
      </c>
      <c r="G736" t="str" s="8" cm="1">
        <f t="array" ref="G736">IF(F736="","Check","okay")</f>
        <v>okay</v>
      </c>
      <c r="H736" s="3">
        <v>0</v>
      </c>
      <c r="I736" t="s" s="2">
        <v>21</v>
      </c>
      <c r="J736" t="s" s="2">
        <v>16</v>
      </c>
      <c r="K736" t="s" s="2">
        <v>17</v>
      </c>
      <c r="L736" s="3">
        <v>1</v>
      </c>
      <c r="M736" t="s" s="2">
        <v>26</v>
      </c>
      <c r="N736" t="s" s="2">
        <v>35</v>
      </c>
      <c r="O736" s="3">
        <v>28</v>
      </c>
      <c r="P736" t="str" s="8" cm="1">
        <f t="array" ref="P736">IF(O736="","check","Okay")</f>
        <v>Okay</v>
      </c>
      <c r="Q736" t="str" s="8" cm="1">
        <f t="array" ref="Q736">IF(O736&lt;30,"UNDER 30",IF(O736&lt;=50,"30-50","Over 50"))</f>
        <v>UNDER 30</v>
      </c>
      <c r="R736" t="s" s="2">
        <v>20</v>
      </c>
      <c r="S736" s="3" cm="1">
        <f t="array" ref="S736">COUNTIF(A2:A1001,A736)</f>
        <v>1</v>
      </c>
      <c r="T736" t="str" s="8" cm="1">
        <f t="array" ref="T736">IF(ISNUMBER(F736),"Ok","check")</f>
        <v>Ok</v>
      </c>
      <c r="U736" t="str" s="8" cm="1">
        <f t="array" ref="U736">IF(ISNUMBER(O736),"ok","check")</f>
        <v>ok</v>
      </c>
    </row>
    <row r="737" ht="13.55" customHeight="1">
      <c r="A737" s="3">
        <v>27824</v>
      </c>
      <c r="B737" t="s" s="2">
        <v>25</v>
      </c>
      <c r="C737" t="str" s="8" cm="1">
        <f t="array" ref="C737">IF(B737="M","Married","Single")</f>
        <v>Single</v>
      </c>
      <c r="D737" t="s" s="2">
        <v>14</v>
      </c>
      <c r="E737" t="str" s="8" cm="1">
        <f t="array" ref="E737">IF(D737="M","Male",IF(D737="F","Female","Check"))</f>
        <v>Female</v>
      </c>
      <c r="F737" s="4">
        <v>30000</v>
      </c>
      <c r="G737" t="str" s="8" cm="1">
        <f t="array" ref="G737">IF(F737="","Check","okay")</f>
        <v>okay</v>
      </c>
      <c r="H737" s="3">
        <v>3</v>
      </c>
      <c r="I737" t="s" s="2">
        <v>21</v>
      </c>
      <c r="J737" t="s" s="2">
        <v>22</v>
      </c>
      <c r="K737" t="s" s="2">
        <v>17</v>
      </c>
      <c r="L737" s="3">
        <v>2</v>
      </c>
      <c r="M737" t="s" s="2">
        <v>18</v>
      </c>
      <c r="N737" t="s" s="2">
        <v>19</v>
      </c>
      <c r="O737" s="3">
        <v>28</v>
      </c>
      <c r="P737" t="str" s="8" cm="1">
        <f t="array" ref="P737">IF(O737="","check","Okay")</f>
        <v>Okay</v>
      </c>
      <c r="Q737" t="str" s="8" cm="1">
        <f t="array" ref="Q737">IF(O737&lt;30,"UNDER 30",IF(O737&lt;=50,"30-50","Over 50"))</f>
        <v>UNDER 30</v>
      </c>
      <c r="R737" t="s" s="2">
        <v>17</v>
      </c>
      <c r="S737" s="3" cm="1">
        <f t="array" ref="S737">COUNTIF(A2:A1001,A737)</f>
        <v>1</v>
      </c>
      <c r="T737" t="str" s="8" cm="1">
        <f t="array" ref="T737">IF(ISNUMBER(F737),"Ok","check")</f>
        <v>Ok</v>
      </c>
      <c r="U737" t="str" s="8" cm="1">
        <f t="array" ref="U737">IF(ISNUMBER(O737),"ok","check")</f>
        <v>ok</v>
      </c>
    </row>
    <row r="738" ht="13.55" customHeight="1">
      <c r="A738" s="3">
        <v>12029</v>
      </c>
      <c r="B738" t="s" s="2">
        <v>13</v>
      </c>
      <c r="C738" t="str" s="8" cm="1">
        <f t="array" ref="C738">IF(B738="M","Married","Single")</f>
        <v>Married</v>
      </c>
      <c r="D738" t="s" s="2">
        <v>13</v>
      </c>
      <c r="E738" t="str" s="8" cm="1">
        <f t="array" ref="E738">IF(D738="M","Male",IF(D738="F","Female","Check"))</f>
        <v>Male</v>
      </c>
      <c r="F738" s="4">
        <v>30000</v>
      </c>
      <c r="G738" t="str" s="8" cm="1">
        <f t="array" ref="G738">IF(F738="","Check","okay")</f>
        <v>okay</v>
      </c>
      <c r="H738" s="3">
        <v>0</v>
      </c>
      <c r="I738" t="s" s="2">
        <v>32</v>
      </c>
      <c r="J738" t="s" s="2">
        <v>22</v>
      </c>
      <c r="K738" t="s" s="2">
        <v>20</v>
      </c>
      <c r="L738" s="3">
        <v>2</v>
      </c>
      <c r="M738" t="s" s="2">
        <v>18</v>
      </c>
      <c r="N738" t="s" s="2">
        <v>35</v>
      </c>
      <c r="O738" s="3">
        <v>28</v>
      </c>
      <c r="P738" t="str" s="8" cm="1">
        <f t="array" ref="P738">IF(O738="","check","Okay")</f>
        <v>Okay</v>
      </c>
      <c r="Q738" t="str" s="8" cm="1">
        <f t="array" ref="Q738">IF(O738&lt;30,"UNDER 30",IF(O738&lt;=50,"30-50","Over 50"))</f>
        <v>UNDER 30</v>
      </c>
      <c r="R738" t="s" s="2">
        <v>20</v>
      </c>
      <c r="S738" s="3" cm="1">
        <f t="array" ref="S738">COUNTIF(A2:A1001,A738)</f>
        <v>1</v>
      </c>
      <c r="T738" t="str" s="8" cm="1">
        <f t="array" ref="T738">IF(ISNUMBER(F738),"Ok","check")</f>
        <v>Ok</v>
      </c>
      <c r="U738" t="str" s="8" cm="1">
        <f t="array" ref="U738">IF(ISNUMBER(O738),"ok","check")</f>
        <v>ok</v>
      </c>
    </row>
    <row r="739" ht="13.55" customHeight="1">
      <c r="A739" s="3">
        <v>14092</v>
      </c>
      <c r="B739" t="s" s="2">
        <v>25</v>
      </c>
      <c r="C739" t="str" s="8" cm="1">
        <f t="array" ref="C739">IF(B739="M","Married","Single")</f>
        <v>Single</v>
      </c>
      <c r="D739" t="s" s="2">
        <v>13</v>
      </c>
      <c r="E739" t="str" s="8" cm="1">
        <f t="array" ref="E739">IF(D739="M","Male",IF(D739="F","Female","Check"))</f>
        <v>Male</v>
      </c>
      <c r="F739" s="4">
        <v>30000</v>
      </c>
      <c r="G739" t="str" s="8" cm="1">
        <f t="array" ref="G739">IF(F739="","Check","okay")</f>
        <v>okay</v>
      </c>
      <c r="H739" s="3">
        <v>0</v>
      </c>
      <c r="I739" t="s" s="2">
        <v>32</v>
      </c>
      <c r="J739" t="s" s="2">
        <v>22</v>
      </c>
      <c r="K739" t="s" s="2">
        <v>17</v>
      </c>
      <c r="L739" s="3">
        <v>2</v>
      </c>
      <c r="M739" t="s" s="2">
        <v>26</v>
      </c>
      <c r="N739" t="s" s="2">
        <v>35</v>
      </c>
      <c r="O739" s="3">
        <v>28</v>
      </c>
      <c r="P739" t="str" s="8" cm="1">
        <f t="array" ref="P739">IF(O739="","check","Okay")</f>
        <v>Okay</v>
      </c>
      <c r="Q739" t="str" s="8" cm="1">
        <f t="array" ref="Q739">IF(O739&lt;30,"UNDER 30",IF(O739&lt;=50,"30-50","Over 50"))</f>
        <v>UNDER 30</v>
      </c>
      <c r="R739" t="s" s="2">
        <v>20</v>
      </c>
      <c r="S739" s="3" cm="1">
        <f t="array" ref="S739">COUNTIF(A2:A1001,A739)</f>
        <v>1</v>
      </c>
      <c r="T739" t="str" s="8" cm="1">
        <f t="array" ref="T739">IF(ISNUMBER(F739),"Ok","check")</f>
        <v>Ok</v>
      </c>
      <c r="U739" t="str" s="8" cm="1">
        <f t="array" ref="U739">IF(ISNUMBER(O739),"ok","check")</f>
        <v>ok</v>
      </c>
    </row>
    <row r="740" ht="13.55" customHeight="1">
      <c r="A740" s="3">
        <v>15612</v>
      </c>
      <c r="B740" t="s" s="2">
        <v>25</v>
      </c>
      <c r="C740" t="str" s="8" cm="1">
        <f t="array" ref="C740">IF(B740="M","Married","Single")</f>
        <v>Single</v>
      </c>
      <c r="D740" t="s" s="2">
        <v>13</v>
      </c>
      <c r="E740" t="str" s="8" cm="1">
        <f t="array" ref="E740">IF(D740="M","Male",IF(D740="F","Female","Check"))</f>
        <v>Male</v>
      </c>
      <c r="F740" s="4">
        <v>30000</v>
      </c>
      <c r="G740" t="str" s="8" cm="1">
        <f t="array" ref="G740">IF(F740="","Check","okay")</f>
        <v>okay</v>
      </c>
      <c r="H740" s="3">
        <v>0</v>
      </c>
      <c r="I740" t="s" s="2">
        <v>30</v>
      </c>
      <c r="J740" t="s" s="2">
        <v>28</v>
      </c>
      <c r="K740" t="s" s="2">
        <v>20</v>
      </c>
      <c r="L740" s="3">
        <v>1</v>
      </c>
      <c r="M740" t="s" s="2">
        <v>29</v>
      </c>
      <c r="N740" t="s" s="2">
        <v>19</v>
      </c>
      <c r="O740" s="3">
        <v>28</v>
      </c>
      <c r="P740" t="str" s="8" cm="1">
        <f t="array" ref="P740">IF(O740="","check","Okay")</f>
        <v>Okay</v>
      </c>
      <c r="Q740" t="str" s="8" cm="1">
        <f t="array" ref="Q740">IF(O740&lt;30,"UNDER 30",IF(O740&lt;=50,"30-50","Over 50"))</f>
        <v>UNDER 30</v>
      </c>
      <c r="R740" t="s" s="2">
        <v>20</v>
      </c>
      <c r="S740" s="3" cm="1">
        <f t="array" ref="S740">COUNTIF(A2:A1001,A740)</f>
        <v>1</v>
      </c>
      <c r="T740" t="str" s="8" cm="1">
        <f t="array" ref="T740">IF(ISNUMBER(F740),"Ok","check")</f>
        <v>Ok</v>
      </c>
      <c r="U740" t="str" s="8" cm="1">
        <f t="array" ref="U740">IF(ISNUMBER(O740),"ok","check")</f>
        <v>ok</v>
      </c>
    </row>
    <row r="741" ht="13.55" customHeight="1">
      <c r="A741" s="3">
        <v>19389</v>
      </c>
      <c r="B741" t="s" s="2">
        <v>25</v>
      </c>
      <c r="C741" t="str" s="8" cm="1">
        <f t="array" ref="C741">IF(B741="M","Married","Single")</f>
        <v>Single</v>
      </c>
      <c r="D741" t="s" s="2">
        <v>13</v>
      </c>
      <c r="E741" t="str" s="8" cm="1">
        <f t="array" ref="E741">IF(D741="M","Male",IF(D741="F","Female","Check"))</f>
        <v>Male</v>
      </c>
      <c r="F741" s="4">
        <v>30000</v>
      </c>
      <c r="G741" t="str" s="8" cm="1">
        <f t="array" ref="G741">IF(F741="","Check","okay")</f>
        <v>okay</v>
      </c>
      <c r="H741" s="3">
        <v>0</v>
      </c>
      <c r="I741" t="s" s="2">
        <v>21</v>
      </c>
      <c r="J741" t="s" s="2">
        <v>22</v>
      </c>
      <c r="K741" t="s" s="2">
        <v>20</v>
      </c>
      <c r="L741" s="3">
        <v>1</v>
      </c>
      <c r="M741" t="s" s="2">
        <v>24</v>
      </c>
      <c r="N741" t="s" s="2">
        <v>19</v>
      </c>
      <c r="O741" s="3">
        <v>28</v>
      </c>
      <c r="P741" t="str" s="8" cm="1">
        <f t="array" ref="P741">IF(O741="","check","Okay")</f>
        <v>Okay</v>
      </c>
      <c r="Q741" t="str" s="8" cm="1">
        <f t="array" ref="Q741">IF(O741&lt;30,"UNDER 30",IF(O741&lt;=50,"30-50","Over 50"))</f>
        <v>UNDER 30</v>
      </c>
      <c r="R741" t="s" s="2">
        <v>20</v>
      </c>
      <c r="S741" s="3" cm="1">
        <f t="array" ref="S741">COUNTIF(A2:A1001,A741)</f>
        <v>1</v>
      </c>
      <c r="T741" t="str" s="8" cm="1">
        <f t="array" ref="T741">IF(ISNUMBER(F741),"Ok","check")</f>
        <v>Ok</v>
      </c>
      <c r="U741" t="str" s="8" cm="1">
        <f t="array" ref="U741">IF(ISNUMBER(O741),"ok","check")</f>
        <v>ok</v>
      </c>
    </row>
    <row r="742" ht="13.55" customHeight="1">
      <c r="A742" s="3">
        <v>12871</v>
      </c>
      <c r="B742" t="s" s="2">
        <v>25</v>
      </c>
      <c r="C742" t="str" s="8" cm="1">
        <f t="array" ref="C742">IF(B742="M","Married","Single")</f>
        <v>Single</v>
      </c>
      <c r="D742" t="s" s="2">
        <v>14</v>
      </c>
      <c r="E742" t="str" s="8" cm="1">
        <f t="array" ref="E742">IF(D742="M","Male",IF(D742="F","Female","Check"))</f>
        <v>Female</v>
      </c>
      <c r="F742" s="4">
        <v>30000</v>
      </c>
      <c r="G742" t="str" s="8" cm="1">
        <f t="array" ref="G742">IF(F742="","Check","okay")</f>
        <v>okay</v>
      </c>
      <c r="H742" s="3">
        <v>0</v>
      </c>
      <c r="I742" t="s" s="2">
        <v>21</v>
      </c>
      <c r="J742" t="s" s="2">
        <v>22</v>
      </c>
      <c r="K742" t="s" s="2">
        <v>20</v>
      </c>
      <c r="L742" s="3">
        <v>1</v>
      </c>
      <c r="M742" t="s" s="2">
        <v>24</v>
      </c>
      <c r="N742" t="s" s="2">
        <v>19</v>
      </c>
      <c r="O742" s="3">
        <v>29</v>
      </c>
      <c r="P742" t="str" s="8" cm="1">
        <f t="array" ref="P742">IF(O742="","check","Okay")</f>
        <v>Okay</v>
      </c>
      <c r="Q742" t="str" s="8" cm="1">
        <f t="array" ref="Q742">IF(O742&lt;30,"UNDER 30",IF(O742&lt;=50,"30-50","Over 50"))</f>
        <v>UNDER 30</v>
      </c>
      <c r="R742" t="s" s="2">
        <v>20</v>
      </c>
      <c r="S742" s="3" cm="1">
        <f t="array" ref="S742">COUNTIF(A2:A1001,A742)</f>
        <v>1</v>
      </c>
      <c r="T742" t="str" s="8" cm="1">
        <f t="array" ref="T742">IF(ISNUMBER(F742),"Ok","check")</f>
        <v>Ok</v>
      </c>
      <c r="U742" t="str" s="8" cm="1">
        <f t="array" ref="U742">IF(ISNUMBER(O742),"ok","check")</f>
        <v>ok</v>
      </c>
    </row>
    <row r="743" ht="13.55" customHeight="1">
      <c r="A743" s="3">
        <v>24121</v>
      </c>
      <c r="B743" t="s" s="2">
        <v>25</v>
      </c>
      <c r="C743" t="str" s="8" cm="1">
        <f t="array" ref="C743">IF(B743="M","Married","Single")</f>
        <v>Single</v>
      </c>
      <c r="D743" t="s" s="2">
        <v>14</v>
      </c>
      <c r="E743" t="str" s="8" cm="1">
        <f t="array" ref="E743">IF(D743="M","Male",IF(D743="F","Female","Check"))</f>
        <v>Female</v>
      </c>
      <c r="F743" s="4">
        <v>30000</v>
      </c>
      <c r="G743" t="str" s="8" cm="1">
        <f t="array" ref="G743">IF(F743="","Check","okay")</f>
        <v>okay</v>
      </c>
      <c r="H743" s="3">
        <v>0</v>
      </c>
      <c r="I743" t="s" s="2">
        <v>21</v>
      </c>
      <c r="J743" t="s" s="2">
        <v>22</v>
      </c>
      <c r="K743" t="s" s="2">
        <v>20</v>
      </c>
      <c r="L743" s="3">
        <v>1</v>
      </c>
      <c r="M743" t="s" s="2">
        <v>18</v>
      </c>
      <c r="N743" t="s" s="2">
        <v>19</v>
      </c>
      <c r="O743" s="3">
        <v>29</v>
      </c>
      <c r="P743" t="str" s="8" cm="1">
        <f t="array" ref="P743">IF(O743="","check","Okay")</f>
        <v>Okay</v>
      </c>
      <c r="Q743" t="str" s="8" cm="1">
        <f t="array" ref="Q743">IF(O743&lt;30,"UNDER 30",IF(O743&lt;=50,"30-50","Over 50"))</f>
        <v>UNDER 30</v>
      </c>
      <c r="R743" t="s" s="2">
        <v>17</v>
      </c>
      <c r="S743" s="3" cm="1">
        <f t="array" ref="S743">COUNTIF(A2:A1001,A743)</f>
        <v>1</v>
      </c>
      <c r="T743" t="str" s="8" cm="1">
        <f t="array" ref="T743">IF(ISNUMBER(F743),"Ok","check")</f>
        <v>Ok</v>
      </c>
      <c r="U743" t="str" s="8" cm="1">
        <f t="array" ref="U743">IF(ISNUMBER(O743),"ok","check")</f>
        <v>ok</v>
      </c>
    </row>
    <row r="744" ht="13.55" customHeight="1">
      <c r="A744" s="3">
        <v>26886</v>
      </c>
      <c r="B744" t="s" s="2">
        <v>25</v>
      </c>
      <c r="C744" t="str" s="8" cm="1">
        <f t="array" ref="C744">IF(B744="M","Married","Single")</f>
        <v>Single</v>
      </c>
      <c r="D744" t="s" s="2">
        <v>14</v>
      </c>
      <c r="E744" t="str" s="8" cm="1">
        <f t="array" ref="E744">IF(D744="M","Male",IF(D744="F","Female","Check"))</f>
        <v>Female</v>
      </c>
      <c r="F744" s="4">
        <v>30000</v>
      </c>
      <c r="G744" t="str" s="8" cm="1">
        <f t="array" ref="G744">IF(F744="","Check","okay")</f>
        <v>okay</v>
      </c>
      <c r="H744" s="3">
        <v>0</v>
      </c>
      <c r="I744" t="s" s="2">
        <v>21</v>
      </c>
      <c r="J744" t="s" s="2">
        <v>22</v>
      </c>
      <c r="K744" t="s" s="2">
        <v>20</v>
      </c>
      <c r="L744" s="3">
        <v>1</v>
      </c>
      <c r="M744" t="s" s="2">
        <v>18</v>
      </c>
      <c r="N744" t="s" s="2">
        <v>19</v>
      </c>
      <c r="O744" s="3">
        <v>29</v>
      </c>
      <c r="P744" t="str" s="8" cm="1">
        <f t="array" ref="P744">IF(O744="","check","Okay")</f>
        <v>Okay</v>
      </c>
      <c r="Q744" t="str" s="8" cm="1">
        <f t="array" ref="Q744">IF(O744&lt;30,"UNDER 30",IF(O744&lt;=50,"30-50","Over 50"))</f>
        <v>UNDER 30</v>
      </c>
      <c r="R744" t="s" s="2">
        <v>17</v>
      </c>
      <c r="S744" s="3" cm="1">
        <f t="array" ref="S744">COUNTIF(A2:A1001,A744)</f>
        <v>1</v>
      </c>
      <c r="T744" t="str" s="8" cm="1">
        <f t="array" ref="T744">IF(ISNUMBER(F744),"Ok","check")</f>
        <v>Ok</v>
      </c>
      <c r="U744" t="str" s="8" cm="1">
        <f t="array" ref="U744">IF(ISNUMBER(O744),"ok","check")</f>
        <v>ok</v>
      </c>
    </row>
    <row r="745" ht="13.55" customHeight="1">
      <c r="A745" s="3">
        <v>17841</v>
      </c>
      <c r="B745" t="s" s="2">
        <v>25</v>
      </c>
      <c r="C745" t="str" s="8" cm="1">
        <f t="array" ref="C745">IF(B745="M","Married","Single")</f>
        <v>Single</v>
      </c>
      <c r="D745" t="s" s="2">
        <v>13</v>
      </c>
      <c r="E745" t="str" s="8" cm="1">
        <f t="array" ref="E745">IF(D745="M","Male",IF(D745="F","Female","Check"))</f>
        <v>Male</v>
      </c>
      <c r="F745" s="4">
        <v>30000</v>
      </c>
      <c r="G745" t="str" s="8" cm="1">
        <f t="array" ref="G745">IF(F745="","Check","okay")</f>
        <v>okay</v>
      </c>
      <c r="H745" s="3">
        <v>0</v>
      </c>
      <c r="I745" t="s" s="2">
        <v>21</v>
      </c>
      <c r="J745" t="s" s="2">
        <v>22</v>
      </c>
      <c r="K745" t="s" s="2">
        <v>20</v>
      </c>
      <c r="L745" s="3">
        <v>1</v>
      </c>
      <c r="M745" t="s" s="2">
        <v>18</v>
      </c>
      <c r="N745" t="s" s="2">
        <v>19</v>
      </c>
      <c r="O745" s="3">
        <v>29</v>
      </c>
      <c r="P745" t="str" s="8" cm="1">
        <f t="array" ref="P745">IF(O745="","check","Okay")</f>
        <v>Okay</v>
      </c>
      <c r="Q745" t="str" s="8" cm="1">
        <f t="array" ref="Q745">IF(O745&lt;30,"UNDER 30",IF(O745&lt;=50,"30-50","Over 50"))</f>
        <v>UNDER 30</v>
      </c>
      <c r="R745" t="s" s="2">
        <v>17</v>
      </c>
      <c r="S745" s="3" cm="1">
        <f t="array" ref="S745">COUNTIF(A2:A1001,A745)</f>
        <v>1</v>
      </c>
      <c r="T745" t="str" s="8" cm="1">
        <f t="array" ref="T745">IF(ISNUMBER(F745),"Ok","check")</f>
        <v>Ok</v>
      </c>
      <c r="U745" t="str" s="8" cm="1">
        <f t="array" ref="U745">IF(ISNUMBER(O745),"ok","check")</f>
        <v>ok</v>
      </c>
    </row>
    <row r="746" ht="13.55" customHeight="1">
      <c r="A746" s="3">
        <v>24119</v>
      </c>
      <c r="B746" t="s" s="2">
        <v>25</v>
      </c>
      <c r="C746" t="str" s="8" cm="1">
        <f t="array" ref="C746">IF(B746="M","Married","Single")</f>
        <v>Single</v>
      </c>
      <c r="D746" t="s" s="2">
        <v>13</v>
      </c>
      <c r="E746" t="str" s="8" cm="1">
        <f t="array" ref="E746">IF(D746="M","Male",IF(D746="F","Female","Check"))</f>
        <v>Male</v>
      </c>
      <c r="F746" s="4">
        <v>30000</v>
      </c>
      <c r="G746" t="str" s="8" cm="1">
        <f t="array" ref="G746">IF(F746="","Check","okay")</f>
        <v>okay</v>
      </c>
      <c r="H746" s="3">
        <v>0</v>
      </c>
      <c r="I746" t="s" s="2">
        <v>21</v>
      </c>
      <c r="J746" t="s" s="2">
        <v>22</v>
      </c>
      <c r="K746" t="s" s="2">
        <v>20</v>
      </c>
      <c r="L746" s="3">
        <v>1</v>
      </c>
      <c r="M746" t="s" s="2">
        <v>24</v>
      </c>
      <c r="N746" t="s" s="2">
        <v>19</v>
      </c>
      <c r="O746" s="3">
        <v>29</v>
      </c>
      <c r="P746" t="str" s="8" cm="1">
        <f t="array" ref="P746">IF(O746="","check","Okay")</f>
        <v>Okay</v>
      </c>
      <c r="Q746" t="str" s="8" cm="1">
        <f t="array" ref="Q746">IF(O746&lt;30,"UNDER 30",IF(O746&lt;=50,"30-50","Over 50"))</f>
        <v>UNDER 30</v>
      </c>
      <c r="R746" t="s" s="2">
        <v>20</v>
      </c>
      <c r="S746" s="3" cm="1">
        <f t="array" ref="S746">COUNTIF(A2:A1001,A746)</f>
        <v>1</v>
      </c>
      <c r="T746" t="str" s="8" cm="1">
        <f t="array" ref="T746">IF(ISNUMBER(F746),"Ok","check")</f>
        <v>Ok</v>
      </c>
      <c r="U746" t="str" s="8" cm="1">
        <f t="array" ref="U746">IF(ISNUMBER(O746),"ok","check")</f>
        <v>ok</v>
      </c>
    </row>
    <row r="747" ht="13.55" customHeight="1">
      <c r="A747" s="3">
        <v>20946</v>
      </c>
      <c r="B747" t="s" s="2">
        <v>25</v>
      </c>
      <c r="C747" t="str" s="8" cm="1">
        <f t="array" ref="C747">IF(B747="M","Married","Single")</f>
        <v>Single</v>
      </c>
      <c r="D747" t="s" s="2">
        <v>14</v>
      </c>
      <c r="E747" t="str" s="8" cm="1">
        <f t="array" ref="E747">IF(D747="M","Male",IF(D747="F","Female","Check"))</f>
        <v>Female</v>
      </c>
      <c r="F747" s="4">
        <v>30000</v>
      </c>
      <c r="G747" t="str" s="8" cm="1">
        <f t="array" ref="G747">IF(F747="","Check","okay")</f>
        <v>okay</v>
      </c>
      <c r="H747" s="3">
        <v>0</v>
      </c>
      <c r="I747" t="s" s="2">
        <v>21</v>
      </c>
      <c r="J747" t="s" s="2">
        <v>22</v>
      </c>
      <c r="K747" t="s" s="2">
        <v>20</v>
      </c>
      <c r="L747" s="3">
        <v>1</v>
      </c>
      <c r="M747" t="s" s="2">
        <v>24</v>
      </c>
      <c r="N747" t="s" s="2">
        <v>19</v>
      </c>
      <c r="O747" s="3">
        <v>30</v>
      </c>
      <c r="P747" t="str" s="8" cm="1">
        <f t="array" ref="P747">IF(O747="","check","Okay")</f>
        <v>Okay</v>
      </c>
      <c r="Q747" t="str" s="8" cm="1">
        <f t="array" ref="Q747">IF(O747&lt;30,"UNDER 30",IF(O747&lt;=50,"30-50","Over 50"))</f>
        <v>30-50</v>
      </c>
      <c r="R747" t="s" s="2">
        <v>20</v>
      </c>
      <c r="S747" s="3" cm="1">
        <f t="array" ref="S747">COUNTIF(A2:A1001,A747)</f>
        <v>1</v>
      </c>
      <c r="T747" t="str" s="8" cm="1">
        <f t="array" ref="T747">IF(ISNUMBER(F747),"Ok","check")</f>
        <v>Ok</v>
      </c>
      <c r="U747" t="str" s="8" cm="1">
        <f t="array" ref="U747">IF(ISNUMBER(O747),"ok","check")</f>
        <v>ok</v>
      </c>
    </row>
    <row r="748" ht="13.55" customHeight="1">
      <c r="A748" s="3">
        <v>22707</v>
      </c>
      <c r="B748" t="s" s="2">
        <v>25</v>
      </c>
      <c r="C748" t="str" s="8" cm="1">
        <f t="array" ref="C748">IF(B748="M","Married","Single")</f>
        <v>Single</v>
      </c>
      <c r="D748" t="s" s="2">
        <v>14</v>
      </c>
      <c r="E748" t="str" s="8" cm="1">
        <f t="array" ref="E748">IF(D748="M","Male",IF(D748="F","Female","Check"))</f>
        <v>Female</v>
      </c>
      <c r="F748" s="4">
        <v>30000</v>
      </c>
      <c r="G748" t="str" s="8" cm="1">
        <f t="array" ref="G748">IF(F748="","Check","okay")</f>
        <v>okay</v>
      </c>
      <c r="H748" s="3">
        <v>0</v>
      </c>
      <c r="I748" t="s" s="2">
        <v>21</v>
      </c>
      <c r="J748" t="s" s="2">
        <v>22</v>
      </c>
      <c r="K748" t="s" s="2">
        <v>20</v>
      </c>
      <c r="L748" s="3">
        <v>1</v>
      </c>
      <c r="M748" t="s" s="2">
        <v>24</v>
      </c>
      <c r="N748" t="s" s="2">
        <v>19</v>
      </c>
      <c r="O748" s="3">
        <v>30</v>
      </c>
      <c r="P748" t="str" s="8" cm="1">
        <f t="array" ref="P748">IF(O748="","check","Okay")</f>
        <v>Okay</v>
      </c>
      <c r="Q748" t="str" s="8" cm="1">
        <f t="array" ref="Q748">IF(O748&lt;30,"UNDER 30",IF(O748&lt;=50,"30-50","Over 50"))</f>
        <v>30-50</v>
      </c>
      <c r="R748" t="s" s="2">
        <v>20</v>
      </c>
      <c r="S748" s="3" cm="1">
        <f t="array" ref="S748">COUNTIF(A2:A1001,A748)</f>
        <v>1</v>
      </c>
      <c r="T748" t="str" s="8" cm="1">
        <f t="array" ref="T748">IF(ISNUMBER(F748),"Ok","check")</f>
        <v>Ok</v>
      </c>
      <c r="U748" t="str" s="8" cm="1">
        <f t="array" ref="U748">IF(ISNUMBER(O748),"ok","check")</f>
        <v>ok</v>
      </c>
    </row>
    <row r="749" ht="13.55" customHeight="1">
      <c r="A749" s="3">
        <v>27832</v>
      </c>
      <c r="B749" t="s" s="2">
        <v>25</v>
      </c>
      <c r="C749" t="str" s="8" cm="1">
        <f t="array" ref="C749">IF(B749="M","Married","Single")</f>
        <v>Single</v>
      </c>
      <c r="D749" t="s" s="2">
        <v>14</v>
      </c>
      <c r="E749" t="str" s="8" cm="1">
        <f t="array" ref="E749">IF(D749="M","Male",IF(D749="F","Female","Check"))</f>
        <v>Female</v>
      </c>
      <c r="F749" s="4">
        <v>30000</v>
      </c>
      <c r="G749" t="str" s="8" cm="1">
        <f t="array" ref="G749">IF(F749="","Check","okay")</f>
        <v>okay</v>
      </c>
      <c r="H749" s="3">
        <v>0</v>
      </c>
      <c r="I749" t="s" s="2">
        <v>21</v>
      </c>
      <c r="J749" t="s" s="2">
        <v>22</v>
      </c>
      <c r="K749" t="s" s="2">
        <v>20</v>
      </c>
      <c r="L749" s="3">
        <v>1</v>
      </c>
      <c r="M749" t="s" s="2">
        <v>24</v>
      </c>
      <c r="N749" t="s" s="2">
        <v>19</v>
      </c>
      <c r="O749" s="3">
        <v>30</v>
      </c>
      <c r="P749" t="str" s="8" cm="1">
        <f t="array" ref="P749">IF(O749="","check","Okay")</f>
        <v>Okay</v>
      </c>
      <c r="Q749" t="str" s="8" cm="1">
        <f t="array" ref="Q749">IF(O749&lt;30,"UNDER 30",IF(O749&lt;=50,"30-50","Over 50"))</f>
        <v>30-50</v>
      </c>
      <c r="R749" t="s" s="2">
        <v>20</v>
      </c>
      <c r="S749" s="3" cm="1">
        <f t="array" ref="S749">COUNTIF(A2:A1001,A749)</f>
        <v>1</v>
      </c>
      <c r="T749" t="str" s="8" cm="1">
        <f t="array" ref="T749">IF(ISNUMBER(F749),"Ok","check")</f>
        <v>Ok</v>
      </c>
      <c r="U749" t="str" s="8" cm="1">
        <f t="array" ref="U749">IF(ISNUMBER(O749),"ok","check")</f>
        <v>ok</v>
      </c>
    </row>
    <row r="750" ht="13.55" customHeight="1">
      <c r="A750" s="3">
        <v>14077</v>
      </c>
      <c r="B750" t="s" s="2">
        <v>25</v>
      </c>
      <c r="C750" t="str" s="8" cm="1">
        <f t="array" ref="C750">IF(B750="M","Married","Single")</f>
        <v>Single</v>
      </c>
      <c r="D750" t="s" s="2">
        <v>13</v>
      </c>
      <c r="E750" t="str" s="8" cm="1">
        <f t="array" ref="E750">IF(D750="M","Male",IF(D750="F","Female","Check"))</f>
        <v>Male</v>
      </c>
      <c r="F750" s="4">
        <v>30000</v>
      </c>
      <c r="G750" t="str" s="8" cm="1">
        <f t="array" ref="G750">IF(F750="","Check","okay")</f>
        <v>okay</v>
      </c>
      <c r="H750" s="3">
        <v>0</v>
      </c>
      <c r="I750" t="s" s="2">
        <v>30</v>
      </c>
      <c r="J750" t="s" s="2">
        <v>16</v>
      </c>
      <c r="K750" t="s" s="2">
        <v>17</v>
      </c>
      <c r="L750" s="3">
        <v>2</v>
      </c>
      <c r="M750" t="s" s="2">
        <v>26</v>
      </c>
      <c r="N750" t="s" s="2">
        <v>35</v>
      </c>
      <c r="O750" s="3">
        <v>30</v>
      </c>
      <c r="P750" t="str" s="8" cm="1">
        <f t="array" ref="P750">IF(O750="","check","Okay")</f>
        <v>Okay</v>
      </c>
      <c r="Q750" t="str" s="8" cm="1">
        <f t="array" ref="Q750">IF(O750&lt;30,"UNDER 30",IF(O750&lt;=50,"30-50","Over 50"))</f>
        <v>30-50</v>
      </c>
      <c r="R750" t="s" s="2">
        <v>20</v>
      </c>
      <c r="S750" s="3" cm="1">
        <f t="array" ref="S750">COUNTIF(A2:A1001,A750)</f>
        <v>1</v>
      </c>
      <c r="T750" t="str" s="8" cm="1">
        <f t="array" ref="T750">IF(ISNUMBER(F750),"Ok","check")</f>
        <v>Ok</v>
      </c>
      <c r="U750" t="str" s="8" cm="1">
        <f t="array" ref="U750">IF(ISNUMBER(O750),"ok","check")</f>
        <v>ok</v>
      </c>
    </row>
    <row r="751" ht="13.55" customHeight="1">
      <c r="A751" s="3">
        <v>16468</v>
      </c>
      <c r="B751" t="s" s="2">
        <v>25</v>
      </c>
      <c r="C751" t="str" s="8" cm="1">
        <f t="array" ref="C751">IF(B751="M","Married","Single")</f>
        <v>Single</v>
      </c>
      <c r="D751" t="s" s="2">
        <v>13</v>
      </c>
      <c r="E751" t="str" s="8" cm="1">
        <f t="array" ref="E751">IF(D751="M","Male",IF(D751="F","Female","Check"))</f>
        <v>Male</v>
      </c>
      <c r="F751" s="4">
        <v>30000</v>
      </c>
      <c r="G751" t="str" s="8" cm="1">
        <f t="array" ref="G751">IF(F751="","Check","okay")</f>
        <v>okay</v>
      </c>
      <c r="H751" s="3">
        <v>0</v>
      </c>
      <c r="I751" t="s" s="2">
        <v>21</v>
      </c>
      <c r="J751" t="s" s="2">
        <v>22</v>
      </c>
      <c r="K751" t="s" s="2">
        <v>17</v>
      </c>
      <c r="L751" s="3">
        <v>1</v>
      </c>
      <c r="M751" t="s" s="2">
        <v>24</v>
      </c>
      <c r="N751" t="s" s="2">
        <v>19</v>
      </c>
      <c r="O751" s="3">
        <v>30</v>
      </c>
      <c r="P751" t="str" s="8" cm="1">
        <f t="array" ref="P751">IF(O751="","check","Okay")</f>
        <v>Okay</v>
      </c>
      <c r="Q751" t="str" s="8" cm="1">
        <f t="array" ref="Q751">IF(O751&lt;30,"UNDER 30",IF(O751&lt;=50,"30-50","Over 50"))</f>
        <v>30-50</v>
      </c>
      <c r="R751" t="s" s="2">
        <v>20</v>
      </c>
      <c r="S751" s="3" cm="1">
        <f t="array" ref="S751">COUNTIF(A2:A1001,A751)</f>
        <v>1</v>
      </c>
      <c r="T751" t="str" s="8" cm="1">
        <f t="array" ref="T751">IF(ISNUMBER(F751),"Ok","check")</f>
        <v>Ok</v>
      </c>
      <c r="U751" t="str" s="8" cm="1">
        <f t="array" ref="U751">IF(ISNUMBER(O751),"ok","check")</f>
        <v>ok</v>
      </c>
    </row>
    <row r="752" ht="13.55" customHeight="1">
      <c r="A752" s="3">
        <v>18910</v>
      </c>
      <c r="B752" t="s" s="2">
        <v>25</v>
      </c>
      <c r="C752" t="str" s="8" cm="1">
        <f t="array" ref="C752">IF(B752="M","Married","Single")</f>
        <v>Single</v>
      </c>
      <c r="D752" t="s" s="2">
        <v>13</v>
      </c>
      <c r="E752" t="str" s="8" cm="1">
        <f t="array" ref="E752">IF(D752="M","Male",IF(D752="F","Female","Check"))</f>
        <v>Male</v>
      </c>
      <c r="F752" s="4">
        <v>30000</v>
      </c>
      <c r="G752" t="str" s="8" cm="1">
        <f t="array" ref="G752">IF(F752="","Check","okay")</f>
        <v>okay</v>
      </c>
      <c r="H752" s="3">
        <v>0</v>
      </c>
      <c r="I752" t="s" s="2">
        <v>21</v>
      </c>
      <c r="J752" t="s" s="2">
        <v>16</v>
      </c>
      <c r="K752" t="s" s="2">
        <v>17</v>
      </c>
      <c r="L752" s="3">
        <v>2</v>
      </c>
      <c r="M752" t="s" s="2">
        <v>26</v>
      </c>
      <c r="N752" t="s" s="2">
        <v>35</v>
      </c>
      <c r="O752" s="3">
        <v>30</v>
      </c>
      <c r="P752" t="str" s="8" cm="1">
        <f t="array" ref="P752">IF(O752="","check","Okay")</f>
        <v>Okay</v>
      </c>
      <c r="Q752" t="str" s="8" cm="1">
        <f t="array" ref="Q752">IF(O752&lt;30,"UNDER 30",IF(O752&lt;=50,"30-50","Over 50"))</f>
        <v>30-50</v>
      </c>
      <c r="R752" t="s" s="2">
        <v>20</v>
      </c>
      <c r="S752" s="3" cm="1">
        <f t="array" ref="S752">COUNTIF(A2:A1001,A752)</f>
        <v>1</v>
      </c>
      <c r="T752" t="str" s="8" cm="1">
        <f t="array" ref="T752">IF(ISNUMBER(F752),"Ok","check")</f>
        <v>Ok</v>
      </c>
      <c r="U752" t="str" s="8" cm="1">
        <f t="array" ref="U752">IF(ISNUMBER(O752),"ok","check")</f>
        <v>ok</v>
      </c>
    </row>
    <row r="753" ht="13.55" customHeight="1">
      <c r="A753" s="3">
        <v>23549</v>
      </c>
      <c r="B753" t="s" s="2">
        <v>25</v>
      </c>
      <c r="C753" t="str" s="8" cm="1">
        <f t="array" ref="C753">IF(B753="M","Married","Single")</f>
        <v>Single</v>
      </c>
      <c r="D753" t="s" s="2">
        <v>13</v>
      </c>
      <c r="E753" t="str" s="8" cm="1">
        <f t="array" ref="E753">IF(D753="M","Male",IF(D753="F","Female","Check"))</f>
        <v>Male</v>
      </c>
      <c r="F753" s="4">
        <v>30000</v>
      </c>
      <c r="G753" t="str" s="8" cm="1">
        <f t="array" ref="G753">IF(F753="","Check","okay")</f>
        <v>okay</v>
      </c>
      <c r="H753" s="3">
        <v>0</v>
      </c>
      <c r="I753" t="s" s="2">
        <v>30</v>
      </c>
      <c r="J753" t="s" s="2">
        <v>16</v>
      </c>
      <c r="K753" t="s" s="2">
        <v>17</v>
      </c>
      <c r="L753" s="3">
        <v>2</v>
      </c>
      <c r="M753" t="s" s="2">
        <v>26</v>
      </c>
      <c r="N753" t="s" s="2">
        <v>35</v>
      </c>
      <c r="O753" s="3">
        <v>30</v>
      </c>
      <c r="P753" t="str" s="8" cm="1">
        <f t="array" ref="P753">IF(O753="","check","Okay")</f>
        <v>Okay</v>
      </c>
      <c r="Q753" t="str" s="8" cm="1">
        <f t="array" ref="Q753">IF(O753&lt;30,"UNDER 30",IF(O753&lt;=50,"30-50","Over 50"))</f>
        <v>30-50</v>
      </c>
      <c r="R753" t="s" s="2">
        <v>20</v>
      </c>
      <c r="S753" s="3" cm="1">
        <f t="array" ref="S753">COUNTIF(A2:A1001,A753)</f>
        <v>1</v>
      </c>
      <c r="T753" t="str" s="8" cm="1">
        <f t="array" ref="T753">IF(ISNUMBER(F753),"Ok","check")</f>
        <v>Ok</v>
      </c>
      <c r="U753" t="str" s="8" cm="1">
        <f t="array" ref="U753">IF(ISNUMBER(O753),"ok","check")</f>
        <v>ok</v>
      </c>
    </row>
    <row r="754" ht="13.55" customHeight="1">
      <c r="A754" s="3">
        <v>28436</v>
      </c>
      <c r="B754" t="s" s="2">
        <v>25</v>
      </c>
      <c r="C754" t="str" s="8" cm="1">
        <f t="array" ref="C754">IF(B754="M","Married","Single")</f>
        <v>Single</v>
      </c>
      <c r="D754" t="s" s="2">
        <v>13</v>
      </c>
      <c r="E754" t="str" s="8" cm="1">
        <f t="array" ref="E754">IF(D754="M","Male",IF(D754="F","Female","Check"))</f>
        <v>Male</v>
      </c>
      <c r="F754" s="4">
        <v>30000</v>
      </c>
      <c r="G754" t="str" s="8" cm="1">
        <f t="array" ref="G754">IF(F754="","Check","okay")</f>
        <v>okay</v>
      </c>
      <c r="H754" s="3">
        <v>0</v>
      </c>
      <c r="I754" t="s" s="2">
        <v>21</v>
      </c>
      <c r="J754" t="s" s="2">
        <v>22</v>
      </c>
      <c r="K754" t="s" s="2">
        <v>20</v>
      </c>
      <c r="L754" s="3">
        <v>1</v>
      </c>
      <c r="M754" t="s" s="2">
        <v>18</v>
      </c>
      <c r="N754" t="s" s="2">
        <v>19</v>
      </c>
      <c r="O754" s="3">
        <v>30</v>
      </c>
      <c r="P754" t="str" s="8" cm="1">
        <f t="array" ref="P754">IF(O754="","check","Okay")</f>
        <v>Okay</v>
      </c>
      <c r="Q754" t="str" s="8" cm="1">
        <f t="array" ref="Q754">IF(O754&lt;30,"UNDER 30",IF(O754&lt;=50,"30-50","Over 50"))</f>
        <v>30-50</v>
      </c>
      <c r="R754" t="s" s="2">
        <v>17</v>
      </c>
      <c r="S754" s="3" cm="1">
        <f t="array" ref="S754">COUNTIF(A2:A1001,A754)</f>
        <v>1</v>
      </c>
      <c r="T754" t="str" s="8" cm="1">
        <f t="array" ref="T754">IF(ISNUMBER(F754),"Ok","check")</f>
        <v>Ok</v>
      </c>
      <c r="U754" t="str" s="8" cm="1">
        <f t="array" ref="U754">IF(ISNUMBER(O754),"ok","check")</f>
        <v>ok</v>
      </c>
    </row>
    <row r="755" ht="13.55" customHeight="1">
      <c r="A755" s="3">
        <v>12718</v>
      </c>
      <c r="B755" t="s" s="2">
        <v>25</v>
      </c>
      <c r="C755" t="str" s="8" cm="1">
        <f t="array" ref="C755">IF(B755="M","Married","Single")</f>
        <v>Single</v>
      </c>
      <c r="D755" t="s" s="2">
        <v>14</v>
      </c>
      <c r="E755" t="str" s="8" cm="1">
        <f t="array" ref="E755">IF(D755="M","Male",IF(D755="F","Female","Check"))</f>
        <v>Female</v>
      </c>
      <c r="F755" s="4">
        <v>30000</v>
      </c>
      <c r="G755" t="str" s="8" cm="1">
        <f t="array" ref="G755">IF(F755="","Check","okay")</f>
        <v>okay</v>
      </c>
      <c r="H755" s="3">
        <v>0</v>
      </c>
      <c r="I755" t="s" s="2">
        <v>21</v>
      </c>
      <c r="J755" t="s" s="2">
        <v>22</v>
      </c>
      <c r="K755" t="s" s="2">
        <v>17</v>
      </c>
      <c r="L755" s="3">
        <v>1</v>
      </c>
      <c r="M755" t="s" s="2">
        <v>24</v>
      </c>
      <c r="N755" t="s" s="2">
        <v>19</v>
      </c>
      <c r="O755" s="3">
        <v>31</v>
      </c>
      <c r="P755" t="str" s="8" cm="1">
        <f t="array" ref="P755">IF(O755="","check","Okay")</f>
        <v>Okay</v>
      </c>
      <c r="Q755" t="str" s="8" cm="1">
        <f t="array" ref="Q755">IF(O755&lt;30,"UNDER 30",IF(O755&lt;=50,"30-50","Over 50"))</f>
        <v>30-50</v>
      </c>
      <c r="R755" t="s" s="2">
        <v>20</v>
      </c>
      <c r="S755" s="3" cm="1">
        <f t="array" ref="S755">COUNTIF(A2:A1001,A755)</f>
        <v>1</v>
      </c>
      <c r="T755" t="str" s="8" cm="1">
        <f t="array" ref="T755">IF(ISNUMBER(F755),"Ok","check")</f>
        <v>Ok</v>
      </c>
      <c r="U755" t="str" s="8" cm="1">
        <f t="array" ref="U755">IF(ISNUMBER(O755),"ok","check")</f>
        <v>ok</v>
      </c>
    </row>
    <row r="756" ht="13.55" customHeight="1">
      <c r="A756" s="3">
        <v>18347</v>
      </c>
      <c r="B756" t="s" s="2">
        <v>25</v>
      </c>
      <c r="C756" t="str" s="8" cm="1">
        <f t="array" ref="C756">IF(B756="M","Married","Single")</f>
        <v>Single</v>
      </c>
      <c r="D756" t="s" s="2">
        <v>14</v>
      </c>
      <c r="E756" t="str" s="8" cm="1">
        <f t="array" ref="E756">IF(D756="M","Male",IF(D756="F","Female","Check"))</f>
        <v>Female</v>
      </c>
      <c r="F756" s="4">
        <v>30000</v>
      </c>
      <c r="G756" t="str" s="8" cm="1">
        <f t="array" ref="G756">IF(F756="","Check","okay")</f>
        <v>okay</v>
      </c>
      <c r="H756" s="3">
        <v>0</v>
      </c>
      <c r="I756" t="s" s="2">
        <v>21</v>
      </c>
      <c r="J756" t="s" s="2">
        <v>16</v>
      </c>
      <c r="K756" t="s" s="2">
        <v>20</v>
      </c>
      <c r="L756" s="3">
        <v>1</v>
      </c>
      <c r="M756" t="s" s="2">
        <v>29</v>
      </c>
      <c r="N756" t="s" s="2">
        <v>35</v>
      </c>
      <c r="O756" s="3">
        <v>31</v>
      </c>
      <c r="P756" t="str" s="8" cm="1">
        <f t="array" ref="P756">IF(O756="","check","Okay")</f>
        <v>Okay</v>
      </c>
      <c r="Q756" t="str" s="8" cm="1">
        <f t="array" ref="Q756">IF(O756&lt;30,"UNDER 30",IF(O756&lt;=50,"30-50","Over 50"))</f>
        <v>30-50</v>
      </c>
      <c r="R756" t="s" s="2">
        <v>20</v>
      </c>
      <c r="S756" s="3" cm="1">
        <f t="array" ref="S756">COUNTIF(A2:A1001,A756)</f>
        <v>1</v>
      </c>
      <c r="T756" t="str" s="8" cm="1">
        <f t="array" ref="T756">IF(ISNUMBER(F756),"Ok","check")</f>
        <v>Ok</v>
      </c>
      <c r="U756" t="str" s="8" cm="1">
        <f t="array" ref="U756">IF(ISNUMBER(O756),"ok","check")</f>
        <v>ok</v>
      </c>
    </row>
    <row r="757" ht="13.55" customHeight="1">
      <c r="A757" s="3">
        <v>25681</v>
      </c>
      <c r="B757" t="s" s="2">
        <v>25</v>
      </c>
      <c r="C757" t="str" s="8" cm="1">
        <f t="array" ref="C757">IF(B757="M","Married","Single")</f>
        <v>Single</v>
      </c>
      <c r="D757" t="s" s="2">
        <v>14</v>
      </c>
      <c r="E757" t="str" s="8" cm="1">
        <f t="array" ref="E757">IF(D757="M","Male",IF(D757="F","Female","Check"))</f>
        <v>Female</v>
      </c>
      <c r="F757" s="4">
        <v>30000</v>
      </c>
      <c r="G757" t="str" s="8" cm="1">
        <f t="array" ref="G757">IF(F757="","Check","okay")</f>
        <v>okay</v>
      </c>
      <c r="H757" s="3">
        <v>0</v>
      </c>
      <c r="I757" t="s" s="2">
        <v>21</v>
      </c>
      <c r="J757" t="s" s="2">
        <v>22</v>
      </c>
      <c r="K757" t="s" s="2">
        <v>20</v>
      </c>
      <c r="L757" s="3">
        <v>1</v>
      </c>
      <c r="M757" t="s" s="2">
        <v>24</v>
      </c>
      <c r="N757" t="s" s="2">
        <v>19</v>
      </c>
      <c r="O757" s="3">
        <v>31</v>
      </c>
      <c r="P757" t="str" s="8" cm="1">
        <f t="array" ref="P757">IF(O757="","check","Okay")</f>
        <v>Okay</v>
      </c>
      <c r="Q757" t="str" s="8" cm="1">
        <f t="array" ref="Q757">IF(O757&lt;30,"UNDER 30",IF(O757&lt;=50,"30-50","Over 50"))</f>
        <v>30-50</v>
      </c>
      <c r="R757" t="s" s="2">
        <v>17</v>
      </c>
      <c r="S757" s="3" cm="1">
        <f t="array" ref="S757">COUNTIF(A2:A1001,A757)</f>
        <v>1</v>
      </c>
      <c r="T757" t="str" s="8" cm="1">
        <f t="array" ref="T757">IF(ISNUMBER(F757),"Ok","check")</f>
        <v>Ok</v>
      </c>
      <c r="U757" t="str" s="8" cm="1">
        <f t="array" ref="U757">IF(ISNUMBER(O757),"ok","check")</f>
        <v>ok</v>
      </c>
    </row>
    <row r="758" ht="13.55" customHeight="1">
      <c r="A758" s="3">
        <v>13066</v>
      </c>
      <c r="B758" t="s" s="2">
        <v>25</v>
      </c>
      <c r="C758" t="str" s="8" cm="1">
        <f t="array" ref="C758">IF(B758="M","Married","Single")</f>
        <v>Single</v>
      </c>
      <c r="D758" t="s" s="2">
        <v>13</v>
      </c>
      <c r="E758" t="str" s="8" cm="1">
        <f t="array" ref="E758">IF(D758="M","Male",IF(D758="F","Female","Check"))</f>
        <v>Male</v>
      </c>
      <c r="F758" s="4">
        <v>30000</v>
      </c>
      <c r="G758" t="str" s="8" cm="1">
        <f t="array" ref="G758">IF(F758="","Check","okay")</f>
        <v>okay</v>
      </c>
      <c r="H758" s="3">
        <v>0</v>
      </c>
      <c r="I758" t="s" s="2">
        <v>30</v>
      </c>
      <c r="J758" t="s" s="2">
        <v>16</v>
      </c>
      <c r="K758" t="s" s="2">
        <v>20</v>
      </c>
      <c r="L758" s="3">
        <v>2</v>
      </c>
      <c r="M758" t="s" s="2">
        <v>29</v>
      </c>
      <c r="N758" t="s" s="2">
        <v>35</v>
      </c>
      <c r="O758" s="3">
        <v>31</v>
      </c>
      <c r="P758" t="str" s="8" cm="1">
        <f t="array" ref="P758">IF(O758="","check","Okay")</f>
        <v>Okay</v>
      </c>
      <c r="Q758" t="str" s="8" cm="1">
        <f t="array" ref="Q758">IF(O758&lt;30,"UNDER 30",IF(O758&lt;=50,"30-50","Over 50"))</f>
        <v>30-50</v>
      </c>
      <c r="R758" t="s" s="2">
        <v>17</v>
      </c>
      <c r="S758" s="3" cm="1">
        <f t="array" ref="S758">COUNTIF(A2:A1001,A758)</f>
        <v>1</v>
      </c>
      <c r="T758" t="str" s="8" cm="1">
        <f t="array" ref="T758">IF(ISNUMBER(F758),"Ok","check")</f>
        <v>Ok</v>
      </c>
      <c r="U758" t="str" s="8" cm="1">
        <f t="array" ref="U758">IF(ISNUMBER(O758),"ok","check")</f>
        <v>ok</v>
      </c>
    </row>
    <row r="759" ht="13.55" customHeight="1">
      <c r="A759" s="3">
        <v>17848</v>
      </c>
      <c r="B759" t="s" s="2">
        <v>25</v>
      </c>
      <c r="C759" t="str" s="8" cm="1">
        <f t="array" ref="C759">IF(B759="M","Married","Single")</f>
        <v>Single</v>
      </c>
      <c r="D759" t="s" s="2">
        <v>13</v>
      </c>
      <c r="E759" t="str" s="8" cm="1">
        <f t="array" ref="E759">IF(D759="M","Male",IF(D759="F","Female","Check"))</f>
        <v>Male</v>
      </c>
      <c r="F759" s="4">
        <v>30000</v>
      </c>
      <c r="G759" t="str" s="8" cm="1">
        <f t="array" ref="G759">IF(F759="","Check","okay")</f>
        <v>okay</v>
      </c>
      <c r="H759" s="3">
        <v>0</v>
      </c>
      <c r="I759" t="s" s="2">
        <v>21</v>
      </c>
      <c r="J759" t="s" s="2">
        <v>22</v>
      </c>
      <c r="K759" t="s" s="2">
        <v>20</v>
      </c>
      <c r="L759" s="3">
        <v>1</v>
      </c>
      <c r="M759" t="s" s="2">
        <v>24</v>
      </c>
      <c r="N759" t="s" s="2">
        <v>19</v>
      </c>
      <c r="O759" s="3">
        <v>31</v>
      </c>
      <c r="P759" t="str" s="8" cm="1">
        <f t="array" ref="P759">IF(O759="","check","Okay")</f>
        <v>Okay</v>
      </c>
      <c r="Q759" t="str" s="8" cm="1">
        <f t="array" ref="Q759">IF(O759&lt;30,"UNDER 30",IF(O759&lt;=50,"30-50","Over 50"))</f>
        <v>30-50</v>
      </c>
      <c r="R759" t="s" s="2">
        <v>17</v>
      </c>
      <c r="S759" s="3" cm="1">
        <f t="array" ref="S759">COUNTIF(A2:A1001,A759)</f>
        <v>1</v>
      </c>
      <c r="T759" t="str" s="8" cm="1">
        <f t="array" ref="T759">IF(ISNUMBER(F759),"Ok","check")</f>
        <v>Ok</v>
      </c>
      <c r="U759" t="str" s="8" cm="1">
        <f t="array" ref="U759">IF(ISNUMBER(O759),"ok","check")</f>
        <v>ok</v>
      </c>
    </row>
    <row r="760" ht="13.55" customHeight="1">
      <c r="A760" s="3">
        <v>13683</v>
      </c>
      <c r="B760" t="s" s="2">
        <v>25</v>
      </c>
      <c r="C760" t="str" s="8" cm="1">
        <f t="array" ref="C760">IF(B760="M","Married","Single")</f>
        <v>Single</v>
      </c>
      <c r="D760" t="s" s="2">
        <v>14</v>
      </c>
      <c r="E760" t="str" s="8" cm="1">
        <f t="array" ref="E760">IF(D760="M","Male",IF(D760="F","Female","Check"))</f>
        <v>Female</v>
      </c>
      <c r="F760" s="4">
        <v>30000</v>
      </c>
      <c r="G760" t="str" s="8" cm="1">
        <f t="array" ref="G760">IF(F760="","Check","okay")</f>
        <v>okay</v>
      </c>
      <c r="H760" s="3">
        <v>0</v>
      </c>
      <c r="I760" t="s" s="2">
        <v>30</v>
      </c>
      <c r="J760" t="s" s="2">
        <v>28</v>
      </c>
      <c r="K760" t="s" s="2">
        <v>20</v>
      </c>
      <c r="L760" s="3">
        <v>1</v>
      </c>
      <c r="M760" t="s" s="2">
        <v>24</v>
      </c>
      <c r="N760" t="s" s="2">
        <v>19</v>
      </c>
      <c r="O760" s="3">
        <v>32</v>
      </c>
      <c r="P760" t="str" s="8" cm="1">
        <f t="array" ref="P760">IF(O760="","check","Okay")</f>
        <v>Okay</v>
      </c>
      <c r="Q760" t="str" s="8" cm="1">
        <f t="array" ref="Q760">IF(O760&lt;30,"UNDER 30",IF(O760&lt;=50,"30-50","Over 50"))</f>
        <v>30-50</v>
      </c>
      <c r="R760" t="s" s="2">
        <v>20</v>
      </c>
      <c r="S760" s="3" cm="1">
        <f t="array" ref="S760">COUNTIF(A2:A1001,A760)</f>
        <v>1</v>
      </c>
      <c r="T760" t="str" s="8" cm="1">
        <f t="array" ref="T760">IF(ISNUMBER(F760),"Ok","check")</f>
        <v>Ok</v>
      </c>
      <c r="U760" t="str" s="8" cm="1">
        <f t="array" ref="U760">IF(ISNUMBER(O760),"ok","check")</f>
        <v>ok</v>
      </c>
    </row>
    <row r="761" ht="13.55" customHeight="1">
      <c r="A761" s="3">
        <v>19174</v>
      </c>
      <c r="B761" t="s" s="2">
        <v>25</v>
      </c>
      <c r="C761" t="str" s="8" cm="1">
        <f t="array" ref="C761">IF(B761="M","Married","Single")</f>
        <v>Single</v>
      </c>
      <c r="D761" t="s" s="2">
        <v>14</v>
      </c>
      <c r="E761" t="str" s="8" cm="1">
        <f t="array" ref="E761">IF(D761="M","Male",IF(D761="F","Female","Check"))</f>
        <v>Female</v>
      </c>
      <c r="F761" s="4">
        <v>30000</v>
      </c>
      <c r="G761" t="str" s="8" cm="1">
        <f t="array" ref="G761">IF(F761="","Check","okay")</f>
        <v>okay</v>
      </c>
      <c r="H761" s="3">
        <v>0</v>
      </c>
      <c r="I761" t="s" s="2">
        <v>30</v>
      </c>
      <c r="J761" t="s" s="2">
        <v>28</v>
      </c>
      <c r="K761" t="s" s="2">
        <v>20</v>
      </c>
      <c r="L761" s="3">
        <v>1</v>
      </c>
      <c r="M761" t="s" s="2">
        <v>24</v>
      </c>
      <c r="N761" t="s" s="2">
        <v>19</v>
      </c>
      <c r="O761" s="3">
        <v>32</v>
      </c>
      <c r="P761" t="str" s="8" cm="1">
        <f t="array" ref="P761">IF(O761="","check","Okay")</f>
        <v>Okay</v>
      </c>
      <c r="Q761" t="str" s="8" cm="1">
        <f t="array" ref="Q761">IF(O761&lt;30,"UNDER 30",IF(O761&lt;=50,"30-50","Over 50"))</f>
        <v>30-50</v>
      </c>
      <c r="R761" t="s" s="2">
        <v>17</v>
      </c>
      <c r="S761" s="3" cm="1">
        <f t="array" ref="S761">COUNTIF(A2:A1001,A761)</f>
        <v>1</v>
      </c>
      <c r="T761" t="str" s="8" cm="1">
        <f t="array" ref="T761">IF(ISNUMBER(F761),"Ok","check")</f>
        <v>Ok</v>
      </c>
      <c r="U761" t="str" s="8" cm="1">
        <f t="array" ref="U761">IF(ISNUMBER(O761),"ok","check")</f>
        <v>ok</v>
      </c>
    </row>
    <row r="762" ht="13.55" customHeight="1">
      <c r="A762" s="3">
        <v>14271</v>
      </c>
      <c r="B762" t="s" s="2">
        <v>13</v>
      </c>
      <c r="C762" t="str" s="8" cm="1">
        <f t="array" ref="C762">IF(B762="M","Married","Single")</f>
        <v>Married</v>
      </c>
      <c r="D762" t="s" s="2">
        <v>13</v>
      </c>
      <c r="E762" t="str" s="8" cm="1">
        <f t="array" ref="E762">IF(D762="M","Male",IF(D762="F","Female","Check"))</f>
        <v>Male</v>
      </c>
      <c r="F762" s="4">
        <v>30000</v>
      </c>
      <c r="G762" t="str" s="8" cm="1">
        <f t="array" ref="G762">IF(F762="","Check","okay")</f>
        <v>okay</v>
      </c>
      <c r="H762" s="3">
        <v>0</v>
      </c>
      <c r="I762" t="s" s="2">
        <v>30</v>
      </c>
      <c r="J762" t="s" s="2">
        <v>16</v>
      </c>
      <c r="K762" t="s" s="2">
        <v>17</v>
      </c>
      <c r="L762" s="3">
        <v>2</v>
      </c>
      <c r="M762" t="s" s="2">
        <v>26</v>
      </c>
      <c r="N762" t="s" s="2">
        <v>35</v>
      </c>
      <c r="O762" s="3">
        <v>32</v>
      </c>
      <c r="P762" t="str" s="8" cm="1">
        <f t="array" ref="P762">IF(O762="","check","Okay")</f>
        <v>Okay</v>
      </c>
      <c r="Q762" t="str" s="8" cm="1">
        <f t="array" ref="Q762">IF(O762&lt;30,"UNDER 30",IF(O762&lt;=50,"30-50","Over 50"))</f>
        <v>30-50</v>
      </c>
      <c r="R762" t="s" s="2">
        <v>20</v>
      </c>
      <c r="S762" s="3" cm="1">
        <f t="array" ref="S762">COUNTIF(A2:A1001,A762)</f>
        <v>1</v>
      </c>
      <c r="T762" t="str" s="8" cm="1">
        <f t="array" ref="T762">IF(ISNUMBER(F762),"Ok","check")</f>
        <v>Ok</v>
      </c>
      <c r="U762" t="str" s="8" cm="1">
        <f t="array" ref="U762">IF(ISNUMBER(O762),"ok","check")</f>
        <v>ok</v>
      </c>
    </row>
    <row r="763" ht="13.55" customHeight="1">
      <c r="A763" s="3">
        <v>14872</v>
      </c>
      <c r="B763" t="s" s="2">
        <v>13</v>
      </c>
      <c r="C763" t="str" s="8" cm="1">
        <f t="array" ref="C763">IF(B763="M","Married","Single")</f>
        <v>Married</v>
      </c>
      <c r="D763" t="s" s="2">
        <v>13</v>
      </c>
      <c r="E763" t="str" s="8" cm="1">
        <f t="array" ref="E763">IF(D763="M","Male",IF(D763="F","Female","Check"))</f>
        <v>Male</v>
      </c>
      <c r="F763" s="4">
        <v>30000</v>
      </c>
      <c r="G763" t="str" s="8" cm="1">
        <f t="array" ref="G763">IF(F763="","Check","okay")</f>
        <v>okay</v>
      </c>
      <c r="H763" s="3">
        <v>0</v>
      </c>
      <c r="I763" t="s" s="2">
        <v>34</v>
      </c>
      <c r="J763" t="s" s="2">
        <v>16</v>
      </c>
      <c r="K763" t="s" s="2">
        <v>17</v>
      </c>
      <c r="L763" s="3">
        <v>0</v>
      </c>
      <c r="M763" t="s" s="2">
        <v>18</v>
      </c>
      <c r="N763" t="s" s="2">
        <v>35</v>
      </c>
      <c r="O763" s="3">
        <v>32</v>
      </c>
      <c r="P763" t="str" s="8" cm="1">
        <f t="array" ref="P763">IF(O763="","check","Okay")</f>
        <v>Okay</v>
      </c>
      <c r="Q763" t="str" s="8" cm="1">
        <f t="array" ref="Q763">IF(O763&lt;30,"UNDER 30",IF(O763&lt;=50,"30-50","Over 50"))</f>
        <v>30-50</v>
      </c>
      <c r="R763" t="s" s="2">
        <v>20</v>
      </c>
      <c r="S763" s="3" cm="1">
        <f t="array" ref="S763">COUNTIF(A2:A1001,A763)</f>
        <v>1</v>
      </c>
      <c r="T763" t="str" s="8" cm="1">
        <f t="array" ref="T763">IF(ISNUMBER(F763),"Ok","check")</f>
        <v>Ok</v>
      </c>
      <c r="U763" t="str" s="8" cm="1">
        <f t="array" ref="U763">IF(ISNUMBER(O763),"ok","check")</f>
        <v>ok</v>
      </c>
    </row>
    <row r="764" ht="13.55" customHeight="1">
      <c r="A764" s="3">
        <v>12716</v>
      </c>
      <c r="B764" t="s" s="2">
        <v>25</v>
      </c>
      <c r="C764" t="str" s="8" cm="1">
        <f t="array" ref="C764">IF(B764="M","Married","Single")</f>
        <v>Single</v>
      </c>
      <c r="D764" t="s" s="2">
        <v>13</v>
      </c>
      <c r="E764" t="str" s="8" cm="1">
        <f t="array" ref="E764">IF(D764="M","Male",IF(D764="F","Female","Check"))</f>
        <v>Male</v>
      </c>
      <c r="F764" s="4">
        <v>30000</v>
      </c>
      <c r="G764" t="str" s="8" cm="1">
        <f t="array" ref="G764">IF(F764="","Check","okay")</f>
        <v>okay</v>
      </c>
      <c r="H764" s="3">
        <v>0</v>
      </c>
      <c r="I764" t="s" s="2">
        <v>21</v>
      </c>
      <c r="J764" t="s" s="2">
        <v>22</v>
      </c>
      <c r="K764" t="s" s="2">
        <v>17</v>
      </c>
      <c r="L764" s="3">
        <v>1</v>
      </c>
      <c r="M764" t="s" s="2">
        <v>24</v>
      </c>
      <c r="N764" t="s" s="2">
        <v>19</v>
      </c>
      <c r="O764" s="3">
        <v>32</v>
      </c>
      <c r="P764" t="str" s="8" cm="1">
        <f t="array" ref="P764">IF(O764="","check","Okay")</f>
        <v>Okay</v>
      </c>
      <c r="Q764" t="str" s="8" cm="1">
        <f t="array" ref="Q764">IF(O764&lt;30,"UNDER 30",IF(O764&lt;=50,"30-50","Over 50"))</f>
        <v>30-50</v>
      </c>
      <c r="R764" t="s" s="2">
        <v>20</v>
      </c>
      <c r="S764" s="3" cm="1">
        <f t="array" ref="S764">COUNTIF(A2:A1001,A764)</f>
        <v>1</v>
      </c>
      <c r="T764" t="str" s="8" cm="1">
        <f t="array" ref="T764">IF(ISNUMBER(F764),"Ok","check")</f>
        <v>Ok</v>
      </c>
      <c r="U764" t="str" s="8" cm="1">
        <f t="array" ref="U764">IF(ISNUMBER(O764),"ok","check")</f>
        <v>ok</v>
      </c>
    </row>
    <row r="765" ht="13.55" customHeight="1">
      <c r="A765" s="3">
        <v>12731</v>
      </c>
      <c r="B765" t="s" s="2">
        <v>25</v>
      </c>
      <c r="C765" t="str" s="8" cm="1">
        <f t="array" ref="C765">IF(B765="M","Married","Single")</f>
        <v>Single</v>
      </c>
      <c r="D765" t="s" s="2">
        <v>13</v>
      </c>
      <c r="E765" t="str" s="8" cm="1">
        <f t="array" ref="E765">IF(D765="M","Male",IF(D765="F","Female","Check"))</f>
        <v>Male</v>
      </c>
      <c r="F765" s="4">
        <v>30000</v>
      </c>
      <c r="G765" t="str" s="8" cm="1">
        <f t="array" ref="G765">IF(F765="","Check","okay")</f>
        <v>okay</v>
      </c>
      <c r="H765" s="3">
        <v>0</v>
      </c>
      <c r="I765" t="s" s="2">
        <v>30</v>
      </c>
      <c r="J765" t="s" s="2">
        <v>28</v>
      </c>
      <c r="K765" t="s" s="2">
        <v>20</v>
      </c>
      <c r="L765" s="3">
        <v>1</v>
      </c>
      <c r="M765" t="s" s="2">
        <v>29</v>
      </c>
      <c r="N765" t="s" s="2">
        <v>19</v>
      </c>
      <c r="O765" s="3">
        <v>32</v>
      </c>
      <c r="P765" t="str" s="8" cm="1">
        <f t="array" ref="P765">IF(O765="","check","Okay")</f>
        <v>Okay</v>
      </c>
      <c r="Q765" t="str" s="8" cm="1">
        <f t="array" ref="Q765">IF(O765&lt;30,"UNDER 30",IF(O765&lt;=50,"30-50","Over 50"))</f>
        <v>30-50</v>
      </c>
      <c r="R765" t="s" s="2">
        <v>20</v>
      </c>
      <c r="S765" s="3" cm="1">
        <f t="array" ref="S765">COUNTIF(A2:A1001,A765)</f>
        <v>1</v>
      </c>
      <c r="T765" t="str" s="8" cm="1">
        <f t="array" ref="T765">IF(ISNUMBER(F765),"Ok","check")</f>
        <v>Ok</v>
      </c>
      <c r="U765" t="str" s="8" cm="1">
        <f t="array" ref="U765">IF(ISNUMBER(O765),"ok","check")</f>
        <v>ok</v>
      </c>
    </row>
    <row r="766" ht="13.55" customHeight="1">
      <c r="A766" s="3">
        <v>15839</v>
      </c>
      <c r="B766" t="s" s="2">
        <v>25</v>
      </c>
      <c r="C766" t="str" s="8" cm="1">
        <f t="array" ref="C766">IF(B766="M","Married","Single")</f>
        <v>Single</v>
      </c>
      <c r="D766" t="s" s="2">
        <v>13</v>
      </c>
      <c r="E766" t="str" s="8" cm="1">
        <f t="array" ref="E766">IF(D766="M","Male",IF(D766="F","Female","Check"))</f>
        <v>Male</v>
      </c>
      <c r="F766" s="4">
        <v>30000</v>
      </c>
      <c r="G766" t="str" s="8" cm="1">
        <f t="array" ref="G766">IF(F766="","Check","okay")</f>
        <v>okay</v>
      </c>
      <c r="H766" s="3">
        <v>0</v>
      </c>
      <c r="I766" t="s" s="2">
        <v>21</v>
      </c>
      <c r="J766" t="s" s="2">
        <v>16</v>
      </c>
      <c r="K766" t="s" s="2">
        <v>17</v>
      </c>
      <c r="L766" s="3">
        <v>1</v>
      </c>
      <c r="M766" t="s" s="2">
        <v>26</v>
      </c>
      <c r="N766" t="s" s="2">
        <v>35</v>
      </c>
      <c r="O766" s="3">
        <v>32</v>
      </c>
      <c r="P766" t="str" s="8" cm="1">
        <f t="array" ref="P766">IF(O766="","check","Okay")</f>
        <v>Okay</v>
      </c>
      <c r="Q766" t="str" s="8" cm="1">
        <f t="array" ref="Q766">IF(O766&lt;30,"UNDER 30",IF(O766&lt;=50,"30-50","Over 50"))</f>
        <v>30-50</v>
      </c>
      <c r="R766" t="s" s="2">
        <v>20</v>
      </c>
      <c r="S766" s="3" cm="1">
        <f t="array" ref="S766">COUNTIF(A2:A1001,A766)</f>
        <v>1</v>
      </c>
      <c r="T766" t="str" s="8" cm="1">
        <f t="array" ref="T766">IF(ISNUMBER(F766),"Ok","check")</f>
        <v>Ok</v>
      </c>
      <c r="U766" t="str" s="8" cm="1">
        <f t="array" ref="U766">IF(ISNUMBER(O766),"ok","check")</f>
        <v>ok</v>
      </c>
    </row>
    <row r="767" ht="13.55" customHeight="1">
      <c r="A767" s="3">
        <v>15608</v>
      </c>
      <c r="B767" t="s" s="2">
        <v>25</v>
      </c>
      <c r="C767" t="str" s="8" cm="1">
        <f t="array" ref="C767">IF(B767="M","Married","Single")</f>
        <v>Single</v>
      </c>
      <c r="D767" t="s" s="2">
        <v>14</v>
      </c>
      <c r="E767" t="str" s="8" cm="1">
        <f t="array" ref="E767">IF(D767="M","Male",IF(D767="F","Female","Check"))</f>
        <v>Female</v>
      </c>
      <c r="F767" s="4">
        <v>30000</v>
      </c>
      <c r="G767" t="str" s="8" cm="1">
        <f t="array" ref="G767">IF(F767="","Check","okay")</f>
        <v>okay</v>
      </c>
      <c r="H767" s="3">
        <v>0</v>
      </c>
      <c r="I767" t="s" s="2">
        <v>21</v>
      </c>
      <c r="J767" t="s" s="2">
        <v>22</v>
      </c>
      <c r="K767" t="s" s="2">
        <v>20</v>
      </c>
      <c r="L767" s="3">
        <v>1</v>
      </c>
      <c r="M767" t="s" s="2">
        <v>24</v>
      </c>
      <c r="N767" t="s" s="2">
        <v>19</v>
      </c>
      <c r="O767" s="3">
        <v>33</v>
      </c>
      <c r="P767" t="str" s="8" cm="1">
        <f t="array" ref="P767">IF(O767="","check","Okay")</f>
        <v>Okay</v>
      </c>
      <c r="Q767" t="str" s="8" cm="1">
        <f t="array" ref="Q767">IF(O767&lt;30,"UNDER 30",IF(O767&lt;=50,"30-50","Over 50"))</f>
        <v>30-50</v>
      </c>
      <c r="R767" t="s" s="2">
        <v>20</v>
      </c>
      <c r="S767" s="3" cm="1">
        <f t="array" ref="S767">COUNTIF(A2:A1001,A767)</f>
        <v>1</v>
      </c>
      <c r="T767" t="str" s="8" cm="1">
        <f t="array" ref="T767">IF(ISNUMBER(F767),"Ok","check")</f>
        <v>Ok</v>
      </c>
      <c r="U767" t="str" s="8" cm="1">
        <f t="array" ref="U767">IF(ISNUMBER(O767),"ok","check")</f>
        <v>ok</v>
      </c>
    </row>
    <row r="768" ht="13.55" customHeight="1">
      <c r="A768" s="3">
        <v>25303</v>
      </c>
      <c r="B768" t="s" s="2">
        <v>25</v>
      </c>
      <c r="C768" t="str" s="8" cm="1">
        <f t="array" ref="C768">IF(B768="M","Married","Single")</f>
        <v>Single</v>
      </c>
      <c r="D768" t="s" s="2">
        <v>13</v>
      </c>
      <c r="E768" t="str" s="8" cm="1">
        <f t="array" ref="E768">IF(D768="M","Male",IF(D768="F","Female","Check"))</f>
        <v>Male</v>
      </c>
      <c r="F768" s="4">
        <v>30000</v>
      </c>
      <c r="G768" t="str" s="8" cm="1">
        <f t="array" ref="G768">IF(F768="","Check","okay")</f>
        <v>okay</v>
      </c>
      <c r="H768" s="3">
        <v>0</v>
      </c>
      <c r="I768" t="s" s="2">
        <v>30</v>
      </c>
      <c r="J768" t="s" s="2">
        <v>28</v>
      </c>
      <c r="K768" t="s" s="2">
        <v>17</v>
      </c>
      <c r="L768" s="3">
        <v>1</v>
      </c>
      <c r="M768" t="s" s="2">
        <v>24</v>
      </c>
      <c r="N768" t="s" s="2">
        <v>19</v>
      </c>
      <c r="O768" s="3">
        <v>33</v>
      </c>
      <c r="P768" t="str" s="8" cm="1">
        <f t="array" ref="P768">IF(O768="","check","Okay")</f>
        <v>Okay</v>
      </c>
      <c r="Q768" t="str" s="8" cm="1">
        <f t="array" ref="Q768">IF(O768&lt;30,"UNDER 30",IF(O768&lt;=50,"30-50","Over 50"))</f>
        <v>30-50</v>
      </c>
      <c r="R768" t="s" s="2">
        <v>17</v>
      </c>
      <c r="S768" s="3" cm="1">
        <f t="array" ref="S768">COUNTIF(A2:A1001,A768)</f>
        <v>1</v>
      </c>
      <c r="T768" t="str" s="8" cm="1">
        <f t="array" ref="T768">IF(ISNUMBER(F768),"Ok","check")</f>
        <v>Ok</v>
      </c>
      <c r="U768" t="str" s="8" cm="1">
        <f t="array" ref="U768">IF(ISNUMBER(O768),"ok","check")</f>
        <v>ok</v>
      </c>
    </row>
    <row r="769" ht="13.55" customHeight="1">
      <c r="A769" s="3">
        <v>20060</v>
      </c>
      <c r="B769" t="s" s="2">
        <v>25</v>
      </c>
      <c r="C769" t="str" s="8" cm="1">
        <f t="array" ref="C769">IF(B769="M","Married","Single")</f>
        <v>Single</v>
      </c>
      <c r="D769" t="s" s="2">
        <v>14</v>
      </c>
      <c r="E769" t="str" s="8" cm="1">
        <f t="array" ref="E769">IF(D769="M","Male",IF(D769="F","Female","Check"))</f>
        <v>Female</v>
      </c>
      <c r="F769" s="4">
        <v>30000</v>
      </c>
      <c r="G769" t="str" s="8" cm="1">
        <f t="array" ref="G769">IF(F769="","Check","okay")</f>
        <v>okay</v>
      </c>
      <c r="H769" s="3">
        <v>0</v>
      </c>
      <c r="I769" t="s" s="2">
        <v>30</v>
      </c>
      <c r="J769" t="s" s="2">
        <v>28</v>
      </c>
      <c r="K769" t="s" s="2">
        <v>20</v>
      </c>
      <c r="L769" s="3">
        <v>1</v>
      </c>
      <c r="M769" t="s" s="2">
        <v>24</v>
      </c>
      <c r="N769" t="s" s="2">
        <v>19</v>
      </c>
      <c r="O769" s="3">
        <v>34</v>
      </c>
      <c r="P769" t="str" s="8" cm="1">
        <f t="array" ref="P769">IF(O769="","check","Okay")</f>
        <v>Okay</v>
      </c>
      <c r="Q769" t="str" s="8" cm="1">
        <f t="array" ref="Q769">IF(O769&lt;30,"UNDER 30",IF(O769&lt;=50,"30-50","Over 50"))</f>
        <v>30-50</v>
      </c>
      <c r="R769" t="s" s="2">
        <v>17</v>
      </c>
      <c r="S769" s="3" cm="1">
        <f t="array" ref="S769">COUNTIF(A2:A1001,A769)</f>
        <v>1</v>
      </c>
      <c r="T769" t="str" s="8" cm="1">
        <f t="array" ref="T769">IF(ISNUMBER(F769),"Ok","check")</f>
        <v>Ok</v>
      </c>
      <c r="U769" t="str" s="8" cm="1">
        <f t="array" ref="U769">IF(ISNUMBER(O769),"ok","check")</f>
        <v>ok</v>
      </c>
    </row>
    <row r="770" ht="13.55" customHeight="1">
      <c r="A770" s="3">
        <v>12389</v>
      </c>
      <c r="B770" t="s" s="2">
        <v>25</v>
      </c>
      <c r="C770" t="str" s="8" cm="1">
        <f t="array" ref="C770">IF(B770="M","Married","Single")</f>
        <v>Single</v>
      </c>
      <c r="D770" t="s" s="2">
        <v>13</v>
      </c>
      <c r="E770" t="str" s="8" cm="1">
        <f t="array" ref="E770">IF(D770="M","Male",IF(D770="F","Female","Check"))</f>
        <v>Male</v>
      </c>
      <c r="F770" s="4">
        <v>30000</v>
      </c>
      <c r="G770" t="str" s="8" cm="1">
        <f t="array" ref="G770">IF(F770="","Check","okay")</f>
        <v>okay</v>
      </c>
      <c r="H770" s="3">
        <v>0</v>
      </c>
      <c r="I770" t="s" s="2">
        <v>30</v>
      </c>
      <c r="J770" t="s" s="2">
        <v>28</v>
      </c>
      <c r="K770" t="s" s="2">
        <v>20</v>
      </c>
      <c r="L770" s="3">
        <v>1</v>
      </c>
      <c r="M770" t="s" s="2">
        <v>24</v>
      </c>
      <c r="N770" t="s" s="2">
        <v>19</v>
      </c>
      <c r="O770" s="3">
        <v>34</v>
      </c>
      <c r="P770" t="str" s="8" cm="1">
        <f t="array" ref="P770">IF(O770="","check","Okay")</f>
        <v>Okay</v>
      </c>
      <c r="Q770" t="str" s="8" cm="1">
        <f t="array" ref="Q770">IF(O770&lt;30,"UNDER 30",IF(O770&lt;=50,"30-50","Over 50"))</f>
        <v>30-50</v>
      </c>
      <c r="R770" t="s" s="2">
        <v>20</v>
      </c>
      <c r="S770" s="3" cm="1">
        <f t="array" ref="S770">COUNTIF(A2:A1001,A770)</f>
        <v>1</v>
      </c>
      <c r="T770" t="str" s="8" cm="1">
        <f t="array" ref="T770">IF(ISNUMBER(F770),"Ok","check")</f>
        <v>Ok</v>
      </c>
      <c r="U770" t="str" s="8" cm="1">
        <f t="array" ref="U770">IF(ISNUMBER(O770),"ok","check")</f>
        <v>ok</v>
      </c>
    </row>
    <row r="771" ht="13.55" customHeight="1">
      <c r="A771" s="3">
        <v>27169</v>
      </c>
      <c r="B771" t="s" s="2">
        <v>25</v>
      </c>
      <c r="C771" t="str" s="8" cm="1">
        <f t="array" ref="C771">IF(B771="M","Married","Single")</f>
        <v>Single</v>
      </c>
      <c r="D771" t="s" s="2">
        <v>13</v>
      </c>
      <c r="E771" t="str" s="8" cm="1">
        <f t="array" ref="E771">IF(D771="M","Male",IF(D771="F","Female","Check"))</f>
        <v>Male</v>
      </c>
      <c r="F771" s="4">
        <v>30000</v>
      </c>
      <c r="G771" t="str" s="8" cm="1">
        <f t="array" ref="G771">IF(F771="","Check","okay")</f>
        <v>okay</v>
      </c>
      <c r="H771" s="3">
        <v>0</v>
      </c>
      <c r="I771" t="s" s="2">
        <v>30</v>
      </c>
      <c r="J771" t="s" s="2">
        <v>28</v>
      </c>
      <c r="K771" t="s" s="2">
        <v>17</v>
      </c>
      <c r="L771" s="3">
        <v>1</v>
      </c>
      <c r="M771" t="s" s="2">
        <v>24</v>
      </c>
      <c r="N771" t="s" s="2">
        <v>19</v>
      </c>
      <c r="O771" s="3">
        <v>34</v>
      </c>
      <c r="P771" t="str" s="8" cm="1">
        <f t="array" ref="P771">IF(O771="","check","Okay")</f>
        <v>Okay</v>
      </c>
      <c r="Q771" t="str" s="8" cm="1">
        <f t="array" ref="Q771">IF(O771&lt;30,"UNDER 30",IF(O771&lt;=50,"30-50","Over 50"))</f>
        <v>30-50</v>
      </c>
      <c r="R771" t="s" s="2">
        <v>17</v>
      </c>
      <c r="S771" s="3" cm="1">
        <f t="array" ref="S771">COUNTIF(A2:A1001,A771)</f>
        <v>1</v>
      </c>
      <c r="T771" t="str" s="8" cm="1">
        <f t="array" ref="T771">IF(ISNUMBER(F771),"Ok","check")</f>
        <v>Ok</v>
      </c>
      <c r="U771" t="str" s="8" cm="1">
        <f t="array" ref="U771">IF(ISNUMBER(O771),"ok","check")</f>
        <v>ok</v>
      </c>
    </row>
    <row r="772" ht="13.55" customHeight="1">
      <c r="A772" s="3">
        <v>14154</v>
      </c>
      <c r="B772" t="s" s="2">
        <v>13</v>
      </c>
      <c r="C772" t="str" s="8" cm="1">
        <f t="array" ref="C772">IF(B772="M","Married","Single")</f>
        <v>Married</v>
      </c>
      <c r="D772" t="s" s="2">
        <v>13</v>
      </c>
      <c r="E772" t="str" s="8" cm="1">
        <f t="array" ref="E772">IF(D772="M","Male",IF(D772="F","Female","Check"))</f>
        <v>Male</v>
      </c>
      <c r="F772" s="4">
        <v>30000</v>
      </c>
      <c r="G772" t="str" s="8" cm="1">
        <f t="array" ref="G772">IF(F772="","Check","okay")</f>
        <v>okay</v>
      </c>
      <c r="H772" s="3">
        <v>0</v>
      </c>
      <c r="I772" t="s" s="2">
        <v>15</v>
      </c>
      <c r="J772" t="s" s="2">
        <v>22</v>
      </c>
      <c r="K772" t="s" s="2">
        <v>17</v>
      </c>
      <c r="L772" s="3">
        <v>0</v>
      </c>
      <c r="M772" t="s" s="2">
        <v>18</v>
      </c>
      <c r="N772" t="s" s="2">
        <v>19</v>
      </c>
      <c r="O772" s="3">
        <v>35</v>
      </c>
      <c r="P772" t="str" s="8" cm="1">
        <f t="array" ref="P772">IF(O772="","check","Okay")</f>
        <v>Okay</v>
      </c>
      <c r="Q772" t="str" s="8" cm="1">
        <f t="array" ref="Q772">IF(O772&lt;30,"UNDER 30",IF(O772&lt;=50,"30-50","Over 50"))</f>
        <v>30-50</v>
      </c>
      <c r="R772" t="s" s="2">
        <v>17</v>
      </c>
      <c r="S772" s="3" cm="1">
        <f t="array" ref="S772">COUNTIF(A2:A1001,A772)</f>
        <v>1</v>
      </c>
      <c r="T772" t="str" s="8" cm="1">
        <f t="array" ref="T772">IF(ISNUMBER(F772),"Ok","check")</f>
        <v>Ok</v>
      </c>
      <c r="U772" t="str" s="8" cm="1">
        <f t="array" ref="U772">IF(ISNUMBER(O772),"ok","check")</f>
        <v>ok</v>
      </c>
    </row>
    <row r="773" ht="13.55" customHeight="1">
      <c r="A773" s="3">
        <v>22610</v>
      </c>
      <c r="B773" t="s" s="2">
        <v>13</v>
      </c>
      <c r="C773" t="str" s="8" cm="1">
        <f t="array" ref="C773">IF(B773="M","Married","Single")</f>
        <v>Married</v>
      </c>
      <c r="D773" t="s" s="2">
        <v>13</v>
      </c>
      <c r="E773" t="str" s="8" cm="1">
        <f t="array" ref="E773">IF(D773="M","Male",IF(D773="F","Female","Check"))</f>
        <v>Male</v>
      </c>
      <c r="F773" s="4">
        <v>30000</v>
      </c>
      <c r="G773" t="str" s="8" cm="1">
        <f t="array" ref="G773">IF(F773="","Check","okay")</f>
        <v>okay</v>
      </c>
      <c r="H773" s="3">
        <v>0</v>
      </c>
      <c r="I773" t="s" s="2">
        <v>15</v>
      </c>
      <c r="J773" t="s" s="2">
        <v>22</v>
      </c>
      <c r="K773" t="s" s="2">
        <v>17</v>
      </c>
      <c r="L773" s="3">
        <v>0</v>
      </c>
      <c r="M773" t="s" s="2">
        <v>18</v>
      </c>
      <c r="N773" t="s" s="2">
        <v>19</v>
      </c>
      <c r="O773" s="3">
        <v>35</v>
      </c>
      <c r="P773" t="str" s="8" cm="1">
        <f t="array" ref="P773">IF(O773="","check","Okay")</f>
        <v>Okay</v>
      </c>
      <c r="Q773" t="str" s="8" cm="1">
        <f t="array" ref="Q773">IF(O773&lt;30,"UNDER 30",IF(O773&lt;=50,"30-50","Over 50"))</f>
        <v>30-50</v>
      </c>
      <c r="R773" t="s" s="2">
        <v>17</v>
      </c>
      <c r="S773" s="3" cm="1">
        <f t="array" ref="S773">COUNTIF(A2:A1001,A773)</f>
        <v>1</v>
      </c>
      <c r="T773" t="str" s="8" cm="1">
        <f t="array" ref="T773">IF(ISNUMBER(F773),"Ok","check")</f>
        <v>Ok</v>
      </c>
      <c r="U773" t="str" s="8" cm="1">
        <f t="array" ref="U773">IF(ISNUMBER(O773),"ok","check")</f>
        <v>ok</v>
      </c>
    </row>
    <row r="774" ht="13.55" customHeight="1">
      <c r="A774" s="3">
        <v>12284</v>
      </c>
      <c r="B774" t="s" s="2">
        <v>13</v>
      </c>
      <c r="C774" t="str" s="8" cm="1">
        <f t="array" ref="C774">IF(B774="M","Married","Single")</f>
        <v>Married</v>
      </c>
      <c r="D774" t="s" s="2">
        <v>14</v>
      </c>
      <c r="E774" t="str" s="8" cm="1">
        <f t="array" ref="E774">IF(D774="M","Male",IF(D774="F","Female","Check"))</f>
        <v>Female</v>
      </c>
      <c r="F774" s="4">
        <v>30000</v>
      </c>
      <c r="G774" t="str" s="8" cm="1">
        <f t="array" ref="G774">IF(F774="","Check","okay")</f>
        <v>okay</v>
      </c>
      <c r="H774" s="3">
        <v>0</v>
      </c>
      <c r="I774" t="s" s="2">
        <v>15</v>
      </c>
      <c r="J774" t="s" s="2">
        <v>22</v>
      </c>
      <c r="K774" t="s" s="2">
        <v>20</v>
      </c>
      <c r="L774" s="3">
        <v>0</v>
      </c>
      <c r="M774" t="s" s="2">
        <v>18</v>
      </c>
      <c r="N774" t="s" s="2">
        <v>19</v>
      </c>
      <c r="O774" s="3">
        <v>36</v>
      </c>
      <c r="P774" t="str" s="8" cm="1">
        <f t="array" ref="P774">IF(O774="","check","Okay")</f>
        <v>Okay</v>
      </c>
      <c r="Q774" t="str" s="8" cm="1">
        <f t="array" ref="Q774">IF(O774&lt;30,"UNDER 30",IF(O774&lt;=50,"30-50","Over 50"))</f>
        <v>30-50</v>
      </c>
      <c r="R774" t="s" s="2">
        <v>17</v>
      </c>
      <c r="S774" s="3" cm="1">
        <f t="array" ref="S774">COUNTIF(A2:A1001,A774)</f>
        <v>1</v>
      </c>
      <c r="T774" t="str" s="8" cm="1">
        <f t="array" ref="T774">IF(ISNUMBER(F774),"Ok","check")</f>
        <v>Ok</v>
      </c>
      <c r="U774" t="str" s="8" cm="1">
        <f t="array" ref="U774">IF(ISNUMBER(O774),"ok","check")</f>
        <v>ok</v>
      </c>
    </row>
    <row r="775" ht="13.55" customHeight="1">
      <c r="A775" s="3">
        <v>25597</v>
      </c>
      <c r="B775" t="s" s="2">
        <v>25</v>
      </c>
      <c r="C775" t="str" s="8" cm="1">
        <f t="array" ref="C775">IF(B775="M","Married","Single")</f>
        <v>Single</v>
      </c>
      <c r="D775" t="s" s="2">
        <v>13</v>
      </c>
      <c r="E775" t="str" s="8" cm="1">
        <f t="array" ref="E775">IF(D775="M","Male",IF(D775="F","Female","Check"))</f>
        <v>Male</v>
      </c>
      <c r="F775" s="4">
        <v>30000</v>
      </c>
      <c r="G775" t="str" s="8" cm="1">
        <f t="array" ref="G775">IF(F775="","Check","okay")</f>
        <v>okay</v>
      </c>
      <c r="H775" s="3">
        <v>0</v>
      </c>
      <c r="I775" t="s" s="2">
        <v>15</v>
      </c>
      <c r="J775" t="s" s="2">
        <v>22</v>
      </c>
      <c r="K775" t="s" s="2">
        <v>20</v>
      </c>
      <c r="L775" s="3">
        <v>0</v>
      </c>
      <c r="M775" t="s" s="2">
        <v>18</v>
      </c>
      <c r="N775" t="s" s="2">
        <v>19</v>
      </c>
      <c r="O775" s="3">
        <v>36</v>
      </c>
      <c r="P775" t="str" s="8" cm="1">
        <f t="array" ref="P775">IF(O775="","check","Okay")</f>
        <v>Okay</v>
      </c>
      <c r="Q775" t="str" s="8" cm="1">
        <f t="array" ref="Q775">IF(O775&lt;30,"UNDER 30",IF(O775&lt;=50,"30-50","Over 50"))</f>
        <v>30-50</v>
      </c>
      <c r="R775" t="s" s="2">
        <v>17</v>
      </c>
      <c r="S775" s="3" cm="1">
        <f t="array" ref="S775">COUNTIF(A2:A1001,A775)</f>
        <v>1</v>
      </c>
      <c r="T775" t="str" s="8" cm="1">
        <f t="array" ref="T775">IF(ISNUMBER(F775),"Ok","check")</f>
        <v>Ok</v>
      </c>
      <c r="U775" t="str" s="8" cm="1">
        <f t="array" ref="U775">IF(ISNUMBER(O775),"ok","check")</f>
        <v>ok</v>
      </c>
    </row>
    <row r="776" ht="13.55" customHeight="1">
      <c r="A776" s="3">
        <v>14927</v>
      </c>
      <c r="B776" t="s" s="2">
        <v>13</v>
      </c>
      <c r="C776" t="str" s="8" cm="1">
        <f t="array" ref="C776">IF(B776="M","Married","Single")</f>
        <v>Married</v>
      </c>
      <c r="D776" t="s" s="2">
        <v>14</v>
      </c>
      <c r="E776" t="str" s="8" cm="1">
        <f t="array" ref="E776">IF(D776="M","Male",IF(D776="F","Female","Check"))</f>
        <v>Female</v>
      </c>
      <c r="F776" s="4">
        <v>30000</v>
      </c>
      <c r="G776" t="str" s="8" cm="1">
        <f t="array" ref="G776">IF(F776="","Check","okay")</f>
        <v>okay</v>
      </c>
      <c r="H776" s="3">
        <v>1</v>
      </c>
      <c r="I776" t="s" s="2">
        <v>15</v>
      </c>
      <c r="J776" t="s" s="2">
        <v>22</v>
      </c>
      <c r="K776" t="s" s="2">
        <v>17</v>
      </c>
      <c r="L776" s="3">
        <v>0</v>
      </c>
      <c r="M776" t="s" s="2">
        <v>18</v>
      </c>
      <c r="N776" t="s" s="2">
        <v>19</v>
      </c>
      <c r="O776" s="3">
        <v>37</v>
      </c>
      <c r="P776" t="str" s="8" cm="1">
        <f t="array" ref="P776">IF(O776="","check","Okay")</f>
        <v>Okay</v>
      </c>
      <c r="Q776" t="str" s="8" cm="1">
        <f t="array" ref="Q776">IF(O776&lt;30,"UNDER 30",IF(O776&lt;=50,"30-50","Over 50"))</f>
        <v>30-50</v>
      </c>
      <c r="R776" t="s" s="2">
        <v>17</v>
      </c>
      <c r="S776" s="3" cm="1">
        <f t="array" ref="S776">COUNTIF(A2:A1001,A776)</f>
        <v>1</v>
      </c>
      <c r="T776" t="str" s="8" cm="1">
        <f t="array" ref="T776">IF(ISNUMBER(F776),"Ok","check")</f>
        <v>Ok</v>
      </c>
      <c r="U776" t="str" s="8" cm="1">
        <f t="array" ref="U776">IF(ISNUMBER(O776),"ok","check")</f>
        <v>ok</v>
      </c>
    </row>
    <row r="777" ht="13.55" customHeight="1">
      <c r="A777" s="3">
        <v>22439</v>
      </c>
      <c r="B777" t="s" s="2">
        <v>13</v>
      </c>
      <c r="C777" t="str" s="8" cm="1">
        <f t="array" ref="C777">IF(B777="M","Married","Single")</f>
        <v>Married</v>
      </c>
      <c r="D777" t="s" s="2">
        <v>14</v>
      </c>
      <c r="E777" t="str" s="8" cm="1">
        <f t="array" ref="E777">IF(D777="M","Male",IF(D777="F","Female","Check"))</f>
        <v>Female</v>
      </c>
      <c r="F777" s="4">
        <v>30000</v>
      </c>
      <c r="G777" t="str" s="8" cm="1">
        <f t="array" ref="G777">IF(F777="","Check","okay")</f>
        <v>okay</v>
      </c>
      <c r="H777" s="3">
        <v>0</v>
      </c>
      <c r="I777" t="s" s="2">
        <v>15</v>
      </c>
      <c r="J777" t="s" s="2">
        <v>22</v>
      </c>
      <c r="K777" t="s" s="2">
        <v>17</v>
      </c>
      <c r="L777" s="3">
        <v>0</v>
      </c>
      <c r="M777" t="s" s="2">
        <v>18</v>
      </c>
      <c r="N777" t="s" s="2">
        <v>19</v>
      </c>
      <c r="O777" s="3">
        <v>37</v>
      </c>
      <c r="P777" t="str" s="8" cm="1">
        <f t="array" ref="P777">IF(O777="","check","Okay")</f>
        <v>Okay</v>
      </c>
      <c r="Q777" t="str" s="8" cm="1">
        <f t="array" ref="Q777">IF(O777&lt;30,"UNDER 30",IF(O777&lt;=50,"30-50","Over 50"))</f>
        <v>30-50</v>
      </c>
      <c r="R777" t="s" s="2">
        <v>17</v>
      </c>
      <c r="S777" s="3" cm="1">
        <f t="array" ref="S777">COUNTIF(A2:A1001,A777)</f>
        <v>1</v>
      </c>
      <c r="T777" t="str" s="8" cm="1">
        <f t="array" ref="T777">IF(ISNUMBER(F777),"Ok","check")</f>
        <v>Ok</v>
      </c>
      <c r="U777" t="str" s="8" cm="1">
        <f t="array" ref="U777">IF(ISNUMBER(O777),"ok","check")</f>
        <v>ok</v>
      </c>
    </row>
    <row r="778" ht="13.55" customHeight="1">
      <c r="A778" s="3">
        <v>20877</v>
      </c>
      <c r="B778" t="s" s="2">
        <v>25</v>
      </c>
      <c r="C778" t="str" s="8" cm="1">
        <f t="array" ref="C778">IF(B778="M","Married","Single")</f>
        <v>Single</v>
      </c>
      <c r="D778" t="s" s="2">
        <v>13</v>
      </c>
      <c r="E778" t="str" s="8" cm="1">
        <f t="array" ref="E778">IF(D778="M","Male",IF(D778="F","Female","Check"))</f>
        <v>Male</v>
      </c>
      <c r="F778" s="4">
        <v>30000</v>
      </c>
      <c r="G778" t="str" s="8" cm="1">
        <f t="array" ref="G778">IF(F778="","Check","okay")</f>
        <v>okay</v>
      </c>
      <c r="H778" s="3">
        <v>1</v>
      </c>
      <c r="I778" t="s" s="2">
        <v>15</v>
      </c>
      <c r="J778" t="s" s="2">
        <v>22</v>
      </c>
      <c r="K778" t="s" s="2">
        <v>17</v>
      </c>
      <c r="L778" s="3">
        <v>0</v>
      </c>
      <c r="M778" t="s" s="2">
        <v>29</v>
      </c>
      <c r="N778" t="s" s="2">
        <v>19</v>
      </c>
      <c r="O778" s="3">
        <v>37</v>
      </c>
      <c r="P778" t="str" s="8" cm="1">
        <f t="array" ref="P778">IF(O778="","check","Okay")</f>
        <v>Okay</v>
      </c>
      <c r="Q778" t="str" s="8" cm="1">
        <f t="array" ref="Q778">IF(O778&lt;30,"UNDER 30",IF(O778&lt;=50,"30-50","Over 50"))</f>
        <v>30-50</v>
      </c>
      <c r="R778" t="s" s="2">
        <v>17</v>
      </c>
      <c r="S778" s="3" cm="1">
        <f t="array" ref="S778">COUNTIF(A2:A1001,A778)</f>
        <v>1</v>
      </c>
      <c r="T778" t="str" s="8" cm="1">
        <f t="array" ref="T778">IF(ISNUMBER(F778),"Ok","check")</f>
        <v>Ok</v>
      </c>
      <c r="U778" t="str" s="8" cm="1">
        <f t="array" ref="U778">IF(ISNUMBER(O778),"ok","check")</f>
        <v>ok</v>
      </c>
    </row>
    <row r="779" ht="13.55" customHeight="1">
      <c r="A779" s="3">
        <v>14926</v>
      </c>
      <c r="B779" t="s" s="2">
        <v>13</v>
      </c>
      <c r="C779" t="str" s="8" cm="1">
        <f t="array" ref="C779">IF(B779="M","Married","Single")</f>
        <v>Married</v>
      </c>
      <c r="D779" t="s" s="2">
        <v>13</v>
      </c>
      <c r="E779" t="str" s="8" cm="1">
        <f t="array" ref="E779">IF(D779="M","Male",IF(D779="F","Female","Check"))</f>
        <v>Male</v>
      </c>
      <c r="F779" s="4">
        <v>30000</v>
      </c>
      <c r="G779" t="str" s="8" cm="1">
        <f t="array" ref="G779">IF(F779="","Check","okay")</f>
        <v>okay</v>
      </c>
      <c r="H779" s="3">
        <v>1</v>
      </c>
      <c r="I779" t="s" s="2">
        <v>15</v>
      </c>
      <c r="J779" t="s" s="2">
        <v>22</v>
      </c>
      <c r="K779" t="s" s="2">
        <v>17</v>
      </c>
      <c r="L779" s="3">
        <v>0</v>
      </c>
      <c r="M779" t="s" s="2">
        <v>18</v>
      </c>
      <c r="N779" t="s" s="2">
        <v>19</v>
      </c>
      <c r="O779" s="3">
        <v>38</v>
      </c>
      <c r="P779" t="str" s="8" cm="1">
        <f t="array" ref="P779">IF(O779="","check","Okay")</f>
        <v>Okay</v>
      </c>
      <c r="Q779" t="str" s="8" cm="1">
        <f t="array" ref="Q779">IF(O779&lt;30,"UNDER 30",IF(O779&lt;=50,"30-50","Over 50"))</f>
        <v>30-50</v>
      </c>
      <c r="R779" t="s" s="2">
        <v>17</v>
      </c>
      <c r="S779" s="3" cm="1">
        <f t="array" ref="S779">COUNTIF(A2:A1001,A779)</f>
        <v>1</v>
      </c>
      <c r="T779" t="str" s="8" cm="1">
        <f t="array" ref="T779">IF(ISNUMBER(F779),"Ok","check")</f>
        <v>Ok</v>
      </c>
      <c r="U779" t="str" s="8" cm="1">
        <f t="array" ref="U779">IF(ISNUMBER(O779),"ok","check")</f>
        <v>ok</v>
      </c>
    </row>
    <row r="780" ht="13.55" customHeight="1">
      <c r="A780" s="3">
        <v>16390</v>
      </c>
      <c r="B780" t="s" s="2">
        <v>25</v>
      </c>
      <c r="C780" t="str" s="8" cm="1">
        <f t="array" ref="C780">IF(B780="M","Married","Single")</f>
        <v>Single</v>
      </c>
      <c r="D780" t="s" s="2">
        <v>13</v>
      </c>
      <c r="E780" t="str" s="8" cm="1">
        <f t="array" ref="E780">IF(D780="M","Male",IF(D780="F","Female","Check"))</f>
        <v>Male</v>
      </c>
      <c r="F780" s="4">
        <v>30000</v>
      </c>
      <c r="G780" t="str" s="8" cm="1">
        <f t="array" ref="G780">IF(F780="","Check","okay")</f>
        <v>okay</v>
      </c>
      <c r="H780" s="3">
        <v>1</v>
      </c>
      <c r="I780" t="s" s="2">
        <v>15</v>
      </c>
      <c r="J780" t="s" s="2">
        <v>22</v>
      </c>
      <c r="K780" t="s" s="2">
        <v>20</v>
      </c>
      <c r="L780" s="3">
        <v>0</v>
      </c>
      <c r="M780" t="s" s="2">
        <v>18</v>
      </c>
      <c r="N780" t="s" s="2">
        <v>19</v>
      </c>
      <c r="O780" s="3">
        <v>38</v>
      </c>
      <c r="P780" t="str" s="8" cm="1">
        <f t="array" ref="P780">IF(O780="","check","Okay")</f>
        <v>Okay</v>
      </c>
      <c r="Q780" t="str" s="8" cm="1">
        <f t="array" ref="Q780">IF(O780&lt;30,"UNDER 30",IF(O780&lt;=50,"30-50","Over 50"))</f>
        <v>30-50</v>
      </c>
      <c r="R780" t="s" s="2">
        <v>17</v>
      </c>
      <c r="S780" s="3" cm="1">
        <f t="array" ref="S780">COUNTIF(A2:A1001,A780)</f>
        <v>1</v>
      </c>
      <c r="T780" t="str" s="8" cm="1">
        <f t="array" ref="T780">IF(ISNUMBER(F780),"Ok","check")</f>
        <v>Ok</v>
      </c>
      <c r="U780" t="str" s="8" cm="1">
        <f t="array" ref="U780">IF(ISNUMBER(O780),"ok","check")</f>
        <v>ok</v>
      </c>
    </row>
    <row r="781" ht="13.55" customHeight="1">
      <c r="A781" s="3">
        <v>12472</v>
      </c>
      <c r="B781" t="s" s="2">
        <v>13</v>
      </c>
      <c r="C781" t="str" s="8" cm="1">
        <f t="array" ref="C781">IF(B781="M","Married","Single")</f>
        <v>Married</v>
      </c>
      <c r="D781" t="s" s="2">
        <v>13</v>
      </c>
      <c r="E781" t="str" s="8" cm="1">
        <f t="array" ref="E781">IF(D781="M","Male",IF(D781="F","Female","Check"))</f>
        <v>Male</v>
      </c>
      <c r="F781" s="4">
        <v>30000</v>
      </c>
      <c r="G781" t="str" s="8" cm="1">
        <f t="array" ref="G781">IF(F781="","Check","okay")</f>
        <v>okay</v>
      </c>
      <c r="H781" s="3">
        <v>1</v>
      </c>
      <c r="I781" t="s" s="2">
        <v>15</v>
      </c>
      <c r="J781" t="s" s="2">
        <v>22</v>
      </c>
      <c r="K781" t="s" s="2">
        <v>17</v>
      </c>
      <c r="L781" s="3">
        <v>1</v>
      </c>
      <c r="M781" t="s" s="2">
        <v>24</v>
      </c>
      <c r="N781" t="s" s="2">
        <v>19</v>
      </c>
      <c r="O781" s="3">
        <v>39</v>
      </c>
      <c r="P781" t="str" s="8" cm="1">
        <f t="array" ref="P781">IF(O781="","check","Okay")</f>
        <v>Okay</v>
      </c>
      <c r="Q781" t="str" s="8" cm="1">
        <f t="array" ref="Q781">IF(O781&lt;30,"UNDER 30",IF(O781&lt;=50,"30-50","Over 50"))</f>
        <v>30-50</v>
      </c>
      <c r="R781" t="s" s="2">
        <v>20</v>
      </c>
      <c r="S781" s="3" cm="1">
        <f t="array" ref="S781">COUNTIF(A2:A1001,A781)</f>
        <v>1</v>
      </c>
      <c r="T781" t="str" s="8" cm="1">
        <f t="array" ref="T781">IF(ISNUMBER(F781),"Ok","check")</f>
        <v>Ok</v>
      </c>
      <c r="U781" t="str" s="8" cm="1">
        <f t="array" ref="U781">IF(ISNUMBER(O781),"ok","check")</f>
        <v>ok</v>
      </c>
    </row>
    <row r="782" ht="13.55" customHeight="1">
      <c r="A782" s="3">
        <v>14785</v>
      </c>
      <c r="B782" t="s" s="2">
        <v>25</v>
      </c>
      <c r="C782" t="str" s="8" cm="1">
        <f t="array" ref="C782">IF(B782="M","Married","Single")</f>
        <v>Single</v>
      </c>
      <c r="D782" t="s" s="2">
        <v>13</v>
      </c>
      <c r="E782" t="str" s="8" cm="1">
        <f t="array" ref="E782">IF(D782="M","Male",IF(D782="F","Female","Check"))</f>
        <v>Male</v>
      </c>
      <c r="F782" s="4">
        <v>30000</v>
      </c>
      <c r="G782" t="str" s="8" cm="1">
        <f t="array" ref="G782">IF(F782="","Check","okay")</f>
        <v>okay</v>
      </c>
      <c r="H782" s="3">
        <v>1</v>
      </c>
      <c r="I782" t="s" s="2">
        <v>15</v>
      </c>
      <c r="J782" t="s" s="2">
        <v>22</v>
      </c>
      <c r="K782" t="s" s="2">
        <v>20</v>
      </c>
      <c r="L782" s="3">
        <v>1</v>
      </c>
      <c r="M782" t="s" s="2">
        <v>29</v>
      </c>
      <c r="N782" t="s" s="2">
        <v>19</v>
      </c>
      <c r="O782" s="3">
        <v>39</v>
      </c>
      <c r="P782" t="str" s="8" cm="1">
        <f t="array" ref="P782">IF(O782="","check","Okay")</f>
        <v>Okay</v>
      </c>
      <c r="Q782" t="str" s="8" cm="1">
        <f t="array" ref="Q782">IF(O782&lt;30,"UNDER 30",IF(O782&lt;=50,"30-50","Over 50"))</f>
        <v>30-50</v>
      </c>
      <c r="R782" t="s" s="2">
        <v>20</v>
      </c>
      <c r="S782" s="3" cm="1">
        <f t="array" ref="S782">COUNTIF(A2:A1001,A782)</f>
        <v>1</v>
      </c>
      <c r="T782" t="str" s="8" cm="1">
        <f t="array" ref="T782">IF(ISNUMBER(F782),"Ok","check")</f>
        <v>Ok</v>
      </c>
      <c r="U782" t="str" s="8" cm="1">
        <f t="array" ref="U782">IF(ISNUMBER(O782),"ok","check")</f>
        <v>ok</v>
      </c>
    </row>
    <row r="783" ht="13.55" customHeight="1">
      <c r="A783" s="3">
        <v>23908</v>
      </c>
      <c r="B783" t="s" s="2">
        <v>25</v>
      </c>
      <c r="C783" t="str" s="8" cm="1">
        <f t="array" ref="C783">IF(B783="M","Married","Single")</f>
        <v>Single</v>
      </c>
      <c r="D783" t="s" s="2">
        <v>13</v>
      </c>
      <c r="E783" t="str" s="8" cm="1">
        <f t="array" ref="E783">IF(D783="M","Male",IF(D783="F","Female","Check"))</f>
        <v>Male</v>
      </c>
      <c r="F783" s="4">
        <v>30000</v>
      </c>
      <c r="G783" t="str" s="8" cm="1">
        <f t="array" ref="G783">IF(F783="","Check","okay")</f>
        <v>okay</v>
      </c>
      <c r="H783" s="3">
        <v>1</v>
      </c>
      <c r="I783" t="s" s="2">
        <v>15</v>
      </c>
      <c r="J783" t="s" s="2">
        <v>22</v>
      </c>
      <c r="K783" t="s" s="2">
        <v>20</v>
      </c>
      <c r="L783" s="3">
        <v>1</v>
      </c>
      <c r="M783" t="s" s="2">
        <v>18</v>
      </c>
      <c r="N783" t="s" s="2">
        <v>19</v>
      </c>
      <c r="O783" s="3">
        <v>39</v>
      </c>
      <c r="P783" t="str" s="8" cm="1">
        <f t="array" ref="P783">IF(O783="","check","Okay")</f>
        <v>Okay</v>
      </c>
      <c r="Q783" t="str" s="8" cm="1">
        <f t="array" ref="Q783">IF(O783&lt;30,"UNDER 30",IF(O783&lt;=50,"30-50","Over 50"))</f>
        <v>30-50</v>
      </c>
      <c r="R783" t="s" s="2">
        <v>17</v>
      </c>
      <c r="S783" s="3" cm="1">
        <f t="array" ref="S783">COUNTIF(A2:A1001,A783)</f>
        <v>1</v>
      </c>
      <c r="T783" t="str" s="8" cm="1">
        <f t="array" ref="T783">IF(ISNUMBER(F783),"Ok","check")</f>
        <v>Ok</v>
      </c>
      <c r="U783" t="str" s="8" cm="1">
        <f t="array" ref="U783">IF(ISNUMBER(O783),"ok","check")</f>
        <v>ok</v>
      </c>
    </row>
    <row r="784" ht="13.55" customHeight="1">
      <c r="A784" s="3">
        <v>27771</v>
      </c>
      <c r="B784" t="s" s="2">
        <v>25</v>
      </c>
      <c r="C784" t="str" s="8" cm="1">
        <f t="array" ref="C784">IF(B784="M","Married","Single")</f>
        <v>Single</v>
      </c>
      <c r="D784" t="s" s="2">
        <v>13</v>
      </c>
      <c r="E784" t="str" s="8" cm="1">
        <f t="array" ref="E784">IF(D784="M","Male",IF(D784="F","Female","Check"))</f>
        <v>Male</v>
      </c>
      <c r="F784" s="4">
        <v>30000</v>
      </c>
      <c r="G784" t="str" s="8" cm="1">
        <f t="array" ref="G784">IF(F784="","Check","okay")</f>
        <v>okay</v>
      </c>
      <c r="H784" s="3">
        <v>1</v>
      </c>
      <c r="I784" t="s" s="2">
        <v>15</v>
      </c>
      <c r="J784" t="s" s="2">
        <v>22</v>
      </c>
      <c r="K784" t="s" s="2">
        <v>17</v>
      </c>
      <c r="L784" s="3">
        <v>1</v>
      </c>
      <c r="M784" t="s" s="2">
        <v>29</v>
      </c>
      <c r="N784" t="s" s="2">
        <v>19</v>
      </c>
      <c r="O784" s="3">
        <v>39</v>
      </c>
      <c r="P784" t="str" s="8" cm="1">
        <f t="array" ref="P784">IF(O784="","check","Okay")</f>
        <v>Okay</v>
      </c>
      <c r="Q784" t="str" s="8" cm="1">
        <f t="array" ref="Q784">IF(O784&lt;30,"UNDER 30",IF(O784&lt;=50,"30-50","Over 50"))</f>
        <v>30-50</v>
      </c>
      <c r="R784" t="s" s="2">
        <v>17</v>
      </c>
      <c r="S784" s="3" cm="1">
        <f t="array" ref="S784">COUNTIF(A2:A1001,A784)</f>
        <v>1</v>
      </c>
      <c r="T784" t="str" s="8" cm="1">
        <f t="array" ref="T784">IF(ISNUMBER(F784),"Ok","check")</f>
        <v>Ok</v>
      </c>
      <c r="U784" t="str" s="8" cm="1">
        <f t="array" ref="U784">IF(ISNUMBER(O784),"ok","check")</f>
        <v>ok</v>
      </c>
    </row>
    <row r="785" ht="13.55" customHeight="1">
      <c r="A785" s="3">
        <v>20897</v>
      </c>
      <c r="B785" t="s" s="2">
        <v>13</v>
      </c>
      <c r="C785" t="str" s="8" cm="1">
        <f t="array" ref="C785">IF(B785="M","Married","Single")</f>
        <v>Married</v>
      </c>
      <c r="D785" t="s" s="2">
        <v>14</v>
      </c>
      <c r="E785" t="str" s="8" cm="1">
        <f t="array" ref="E785">IF(D785="M","Male",IF(D785="F","Female","Check"))</f>
        <v>Female</v>
      </c>
      <c r="F785" s="4">
        <v>30000</v>
      </c>
      <c r="G785" t="str" s="8" cm="1">
        <f t="array" ref="G785">IF(F785="","Check","okay")</f>
        <v>okay</v>
      </c>
      <c r="H785" s="3">
        <v>1</v>
      </c>
      <c r="I785" t="s" s="2">
        <v>15</v>
      </c>
      <c r="J785" t="s" s="2">
        <v>16</v>
      </c>
      <c r="K785" t="s" s="2">
        <v>17</v>
      </c>
      <c r="L785" s="3">
        <v>2</v>
      </c>
      <c r="M785" t="s" s="2">
        <v>18</v>
      </c>
      <c r="N785" t="s" s="2">
        <v>19</v>
      </c>
      <c r="O785" s="3">
        <v>40</v>
      </c>
      <c r="P785" t="str" s="8" cm="1">
        <f t="array" ref="P785">IF(O785="","check","Okay")</f>
        <v>Okay</v>
      </c>
      <c r="Q785" t="str" s="8" cm="1">
        <f t="array" ref="Q785">IF(O785&lt;30,"UNDER 30",IF(O785&lt;=50,"30-50","Over 50"))</f>
        <v>30-50</v>
      </c>
      <c r="R785" t="s" s="2">
        <v>20</v>
      </c>
      <c r="S785" s="3" cm="1">
        <f t="array" ref="S785">COUNTIF(A2:A1001,A785)</f>
        <v>1</v>
      </c>
      <c r="T785" t="str" s="8" cm="1">
        <f t="array" ref="T785">IF(ISNUMBER(F785),"Ok","check")</f>
        <v>Ok</v>
      </c>
      <c r="U785" t="str" s="8" cm="1">
        <f t="array" ref="U785">IF(ISNUMBER(O785),"ok","check")</f>
        <v>ok</v>
      </c>
    </row>
    <row r="786" ht="13.55" customHeight="1">
      <c r="A786" s="3">
        <v>28379</v>
      </c>
      <c r="B786" t="s" s="2">
        <v>13</v>
      </c>
      <c r="C786" t="str" s="8" cm="1">
        <f t="array" ref="C786">IF(B786="M","Married","Single")</f>
        <v>Married</v>
      </c>
      <c r="D786" t="s" s="2">
        <v>13</v>
      </c>
      <c r="E786" t="str" s="8" cm="1">
        <f t="array" ref="E786">IF(D786="M","Male",IF(D786="F","Female","Check"))</f>
        <v>Male</v>
      </c>
      <c r="F786" s="4">
        <v>30000</v>
      </c>
      <c r="G786" t="str" s="8" cm="1">
        <f t="array" ref="G786">IF(F786="","Check","okay")</f>
        <v>okay</v>
      </c>
      <c r="H786" s="3">
        <v>1</v>
      </c>
      <c r="I786" t="s" s="2">
        <v>15</v>
      </c>
      <c r="J786" t="s" s="2">
        <v>16</v>
      </c>
      <c r="K786" t="s" s="2">
        <v>17</v>
      </c>
      <c r="L786" s="3">
        <v>2</v>
      </c>
      <c r="M786" t="s" s="2">
        <v>18</v>
      </c>
      <c r="N786" t="s" s="2">
        <v>19</v>
      </c>
      <c r="O786" s="3">
        <v>40</v>
      </c>
      <c r="P786" t="str" s="8" cm="1">
        <f t="array" ref="P786">IF(O786="","check","Okay")</f>
        <v>Okay</v>
      </c>
      <c r="Q786" t="str" s="8" cm="1">
        <f t="array" ref="Q786">IF(O786&lt;30,"UNDER 30",IF(O786&lt;=50,"30-50","Over 50"))</f>
        <v>30-50</v>
      </c>
      <c r="R786" t="s" s="2">
        <v>20</v>
      </c>
      <c r="S786" s="3" cm="1">
        <f t="array" ref="S786">COUNTIF(A2:A1001,A786)</f>
        <v>1</v>
      </c>
      <c r="T786" t="str" s="8" cm="1">
        <f t="array" ref="T786">IF(ISNUMBER(F786),"Ok","check")</f>
        <v>Ok</v>
      </c>
      <c r="U786" t="str" s="8" cm="1">
        <f t="array" ref="U786">IF(ISNUMBER(O786),"ok","check")</f>
        <v>ok</v>
      </c>
    </row>
    <row r="787" ht="13.55" customHeight="1">
      <c r="A787" s="3">
        <v>11576</v>
      </c>
      <c r="B787" t="s" s="2">
        <v>13</v>
      </c>
      <c r="C787" t="str" s="8" cm="1">
        <f t="array" ref="C787">IF(B787="M","Married","Single")</f>
        <v>Married</v>
      </c>
      <c r="D787" t="s" s="2">
        <v>13</v>
      </c>
      <c r="E787" t="str" s="8" cm="1">
        <f t="array" ref="E787">IF(D787="M","Male",IF(D787="F","Female","Check"))</f>
        <v>Male</v>
      </c>
      <c r="F787" s="4">
        <v>30000</v>
      </c>
      <c r="G787" t="str" s="8" cm="1">
        <f t="array" ref="G787">IF(F787="","Check","okay")</f>
        <v>okay</v>
      </c>
      <c r="H787" s="3">
        <v>1</v>
      </c>
      <c r="I787" t="s" s="2">
        <v>15</v>
      </c>
      <c r="J787" t="s" s="2">
        <v>16</v>
      </c>
      <c r="K787" t="s" s="2">
        <v>17</v>
      </c>
      <c r="L787" s="3">
        <v>2</v>
      </c>
      <c r="M787" t="s" s="2">
        <v>18</v>
      </c>
      <c r="N787" t="s" s="2">
        <v>19</v>
      </c>
      <c r="O787" s="3">
        <v>41</v>
      </c>
      <c r="P787" t="str" s="8" cm="1">
        <f t="array" ref="P787">IF(O787="","check","Okay")</f>
        <v>Okay</v>
      </c>
      <c r="Q787" t="str" s="8" cm="1">
        <f t="array" ref="Q787">IF(O787&lt;30,"UNDER 30",IF(O787&lt;=50,"30-50","Over 50"))</f>
        <v>30-50</v>
      </c>
      <c r="R787" t="s" s="2">
        <v>17</v>
      </c>
      <c r="S787" s="3" cm="1">
        <f t="array" ref="S787">COUNTIF(A2:A1001,A787)</f>
        <v>1</v>
      </c>
      <c r="T787" t="str" s="8" cm="1">
        <f t="array" ref="T787">IF(ISNUMBER(F787),"Ok","check")</f>
        <v>Ok</v>
      </c>
      <c r="U787" t="str" s="8" cm="1">
        <f t="array" ref="U787">IF(ISNUMBER(O787),"ok","check")</f>
        <v>ok</v>
      </c>
    </row>
    <row r="788" ht="13.55" customHeight="1">
      <c r="A788" s="3">
        <v>13813</v>
      </c>
      <c r="B788" t="s" s="2">
        <v>13</v>
      </c>
      <c r="C788" t="str" s="8" cm="1">
        <f t="array" ref="C788">IF(B788="M","Married","Single")</f>
        <v>Married</v>
      </c>
      <c r="D788" t="s" s="2">
        <v>14</v>
      </c>
      <c r="E788" t="str" s="8" cm="1">
        <f t="array" ref="E788">IF(D788="M","Male",IF(D788="F","Female","Check"))</f>
        <v>Female</v>
      </c>
      <c r="F788" s="4">
        <v>30000</v>
      </c>
      <c r="G788" t="str" s="8" cm="1">
        <f t="array" ref="G788">IF(F788="","Check","okay")</f>
        <v>okay</v>
      </c>
      <c r="H788" s="3">
        <v>3</v>
      </c>
      <c r="I788" t="s" s="2">
        <v>21</v>
      </c>
      <c r="J788" t="s" s="2">
        <v>22</v>
      </c>
      <c r="K788" t="s" s="2">
        <v>20</v>
      </c>
      <c r="L788" s="3">
        <v>0</v>
      </c>
      <c r="M788" t="s" s="2">
        <v>18</v>
      </c>
      <c r="N788" t="s" s="2">
        <v>19</v>
      </c>
      <c r="O788" s="3">
        <v>42</v>
      </c>
      <c r="P788" t="str" s="8" cm="1">
        <f t="array" ref="P788">IF(O788="","check","Okay")</f>
        <v>Okay</v>
      </c>
      <c r="Q788" t="str" s="8" cm="1">
        <f t="array" ref="Q788">IF(O788&lt;30,"UNDER 30",IF(O788&lt;=50,"30-50","Over 50"))</f>
        <v>30-50</v>
      </c>
      <c r="R788" t="s" s="2">
        <v>20</v>
      </c>
      <c r="S788" s="3" cm="1">
        <f t="array" ref="S788">COUNTIF(A2:A1001,A788)</f>
        <v>1</v>
      </c>
      <c r="T788" t="str" s="8" cm="1">
        <f t="array" ref="T788">IF(ISNUMBER(F788),"Ok","check")</f>
        <v>Ok</v>
      </c>
      <c r="U788" t="str" s="8" cm="1">
        <f t="array" ref="U788">IF(ISNUMBER(O788),"ok","check")</f>
        <v>ok</v>
      </c>
    </row>
    <row r="789" ht="13.55" customHeight="1">
      <c r="A789" s="3">
        <v>22496</v>
      </c>
      <c r="B789" t="s" s="2">
        <v>13</v>
      </c>
      <c r="C789" t="str" s="8" cm="1">
        <f t="array" ref="C789">IF(B789="M","Married","Single")</f>
        <v>Married</v>
      </c>
      <c r="D789" t="s" s="2">
        <v>14</v>
      </c>
      <c r="E789" t="str" s="8" cm="1">
        <f t="array" ref="E789">IF(D789="M","Male",IF(D789="F","Female","Check"))</f>
        <v>Female</v>
      </c>
      <c r="F789" s="4">
        <v>30000</v>
      </c>
      <c r="G789" t="str" s="8" cm="1">
        <f t="array" ref="G789">IF(F789="","Check","okay")</f>
        <v>okay</v>
      </c>
      <c r="H789" s="3">
        <v>1</v>
      </c>
      <c r="I789" t="s" s="2">
        <v>15</v>
      </c>
      <c r="J789" t="s" s="2">
        <v>16</v>
      </c>
      <c r="K789" t="s" s="2">
        <v>17</v>
      </c>
      <c r="L789" s="3">
        <v>2</v>
      </c>
      <c r="M789" t="s" s="2">
        <v>18</v>
      </c>
      <c r="N789" t="s" s="2">
        <v>19</v>
      </c>
      <c r="O789" s="3">
        <v>42</v>
      </c>
      <c r="P789" t="str" s="8" cm="1">
        <f t="array" ref="P789">IF(O789="","check","Okay")</f>
        <v>Okay</v>
      </c>
      <c r="Q789" t="str" s="8" cm="1">
        <f t="array" ref="Q789">IF(O789&lt;30,"UNDER 30",IF(O789&lt;=50,"30-50","Over 50"))</f>
        <v>30-50</v>
      </c>
      <c r="R789" t="s" s="2">
        <v>20</v>
      </c>
      <c r="S789" s="3" cm="1">
        <f t="array" ref="S789">COUNTIF(A2:A1001,A789)</f>
        <v>1</v>
      </c>
      <c r="T789" t="str" s="8" cm="1">
        <f t="array" ref="T789">IF(ISNUMBER(F789),"Ok","check")</f>
        <v>Ok</v>
      </c>
      <c r="U789" t="str" s="8" cm="1">
        <f t="array" ref="U789">IF(ISNUMBER(O789),"ok","check")</f>
        <v>ok</v>
      </c>
    </row>
    <row r="790" ht="13.55" customHeight="1">
      <c r="A790" s="3">
        <v>20919</v>
      </c>
      <c r="B790" t="s" s="2">
        <v>25</v>
      </c>
      <c r="C790" t="str" s="8" cm="1">
        <f t="array" ref="C790">IF(B790="M","Married","Single")</f>
        <v>Single</v>
      </c>
      <c r="D790" t="s" s="2">
        <v>14</v>
      </c>
      <c r="E790" t="str" s="8" cm="1">
        <f t="array" ref="E790">IF(D790="M","Male",IF(D790="F","Female","Check"))</f>
        <v>Female</v>
      </c>
      <c r="F790" s="4">
        <v>30000</v>
      </c>
      <c r="G790" t="str" s="8" cm="1">
        <f t="array" ref="G790">IF(F790="","Check","okay")</f>
        <v>okay</v>
      </c>
      <c r="H790" s="3">
        <v>2</v>
      </c>
      <c r="I790" t="s" s="2">
        <v>21</v>
      </c>
      <c r="J790" t="s" s="2">
        <v>22</v>
      </c>
      <c r="K790" t="s" s="2">
        <v>17</v>
      </c>
      <c r="L790" s="3">
        <v>2</v>
      </c>
      <c r="M790" t="s" s="2">
        <v>18</v>
      </c>
      <c r="N790" t="s" s="2">
        <v>19</v>
      </c>
      <c r="O790" s="3">
        <v>42</v>
      </c>
      <c r="P790" t="str" s="8" cm="1">
        <f t="array" ref="P790">IF(O790="","check","Okay")</f>
        <v>Okay</v>
      </c>
      <c r="Q790" t="str" s="8" cm="1">
        <f t="array" ref="Q790">IF(O790&lt;30,"UNDER 30",IF(O790&lt;=50,"30-50","Over 50"))</f>
        <v>30-50</v>
      </c>
      <c r="R790" t="s" s="2">
        <v>20</v>
      </c>
      <c r="S790" s="3" cm="1">
        <f t="array" ref="S790">COUNTIF(A2:A1001,A790)</f>
        <v>1</v>
      </c>
      <c r="T790" t="str" s="8" cm="1">
        <f t="array" ref="T790">IF(ISNUMBER(F790),"Ok","check")</f>
        <v>Ok</v>
      </c>
      <c r="U790" t="str" s="8" cm="1">
        <f t="array" ref="U790">IF(ISNUMBER(O790),"ok","check")</f>
        <v>ok</v>
      </c>
    </row>
    <row r="791" ht="13.55" customHeight="1">
      <c r="A791" s="3">
        <v>21094</v>
      </c>
      <c r="B791" t="s" s="2">
        <v>25</v>
      </c>
      <c r="C791" t="str" s="8" cm="1">
        <f t="array" ref="C791">IF(B791="M","Married","Single")</f>
        <v>Single</v>
      </c>
      <c r="D791" t="s" s="2">
        <v>14</v>
      </c>
      <c r="E791" t="str" s="8" cm="1">
        <f t="array" ref="E791">IF(D791="M","Male",IF(D791="F","Female","Check"))</f>
        <v>Female</v>
      </c>
      <c r="F791" s="4">
        <v>30000</v>
      </c>
      <c r="G791" t="str" s="8" cm="1">
        <f t="array" ref="G791">IF(F791="","Check","okay")</f>
        <v>okay</v>
      </c>
      <c r="H791" s="3">
        <v>2</v>
      </c>
      <c r="I791" t="s" s="2">
        <v>21</v>
      </c>
      <c r="J791" t="s" s="2">
        <v>22</v>
      </c>
      <c r="K791" t="s" s="2">
        <v>17</v>
      </c>
      <c r="L791" s="3">
        <v>2</v>
      </c>
      <c r="M791" t="s" s="2">
        <v>18</v>
      </c>
      <c r="N791" t="s" s="2">
        <v>19</v>
      </c>
      <c r="O791" s="3">
        <v>42</v>
      </c>
      <c r="P791" t="str" s="8" cm="1">
        <f t="array" ref="P791">IF(O791="","check","Okay")</f>
        <v>Okay</v>
      </c>
      <c r="Q791" t="str" s="8" cm="1">
        <f t="array" ref="Q791">IF(O791&lt;30,"UNDER 30",IF(O791&lt;=50,"30-50","Over 50"))</f>
        <v>30-50</v>
      </c>
      <c r="R791" t="s" s="2">
        <v>20</v>
      </c>
      <c r="S791" s="3" cm="1">
        <f t="array" ref="S791">COUNTIF(A2:A1001,A791)</f>
        <v>1</v>
      </c>
      <c r="T791" t="str" s="8" cm="1">
        <f t="array" ref="T791">IF(ISNUMBER(F791),"Ok","check")</f>
        <v>Ok</v>
      </c>
      <c r="U791" t="str" s="8" cm="1">
        <f t="array" ref="U791">IF(ISNUMBER(O791),"ok","check")</f>
        <v>ok</v>
      </c>
    </row>
    <row r="792" ht="13.55" customHeight="1">
      <c r="A792" s="3">
        <v>25649</v>
      </c>
      <c r="B792" t="s" s="2">
        <v>25</v>
      </c>
      <c r="C792" t="str" s="8" cm="1">
        <f t="array" ref="C792">IF(B792="M","Married","Single")</f>
        <v>Single</v>
      </c>
      <c r="D792" t="s" s="2">
        <v>14</v>
      </c>
      <c r="E792" t="str" s="8" cm="1">
        <f t="array" ref="E792">IF(D792="M","Male",IF(D792="F","Female","Check"))</f>
        <v>Female</v>
      </c>
      <c r="F792" s="4">
        <v>30000</v>
      </c>
      <c r="G792" t="str" s="8" cm="1">
        <f t="array" ref="G792">IF(F792="","Check","okay")</f>
        <v>okay</v>
      </c>
      <c r="H792" s="3">
        <v>3</v>
      </c>
      <c r="I792" t="s" s="2">
        <v>21</v>
      </c>
      <c r="J792" t="s" s="2">
        <v>22</v>
      </c>
      <c r="K792" t="s" s="2">
        <v>17</v>
      </c>
      <c r="L792" s="3">
        <v>0</v>
      </c>
      <c r="M792" t="s" s="2">
        <v>18</v>
      </c>
      <c r="N792" t="s" s="2">
        <v>19</v>
      </c>
      <c r="O792" s="3">
        <v>42</v>
      </c>
      <c r="P792" t="str" s="8" cm="1">
        <f t="array" ref="P792">IF(O792="","check","Okay")</f>
        <v>Okay</v>
      </c>
      <c r="Q792" t="str" s="8" cm="1">
        <f t="array" ref="Q792">IF(O792&lt;30,"UNDER 30",IF(O792&lt;=50,"30-50","Over 50"))</f>
        <v>30-50</v>
      </c>
      <c r="R792" t="s" s="2">
        <v>17</v>
      </c>
      <c r="S792" s="3" cm="1">
        <f t="array" ref="S792">COUNTIF(A2:A1001,A792)</f>
        <v>1</v>
      </c>
      <c r="T792" t="str" s="8" cm="1">
        <f t="array" ref="T792">IF(ISNUMBER(F792),"Ok","check")</f>
        <v>Ok</v>
      </c>
      <c r="U792" t="str" s="8" cm="1">
        <f t="array" ref="U792">IF(ISNUMBER(O792),"ok","check")</f>
        <v>ok</v>
      </c>
    </row>
    <row r="793" ht="13.55" customHeight="1">
      <c r="A793" s="3">
        <v>19487</v>
      </c>
      <c r="B793" t="s" s="2">
        <v>13</v>
      </c>
      <c r="C793" t="str" s="8" cm="1">
        <f t="array" ref="C793">IF(B793="M","Married","Single")</f>
        <v>Married</v>
      </c>
      <c r="D793" t="s" s="2">
        <v>13</v>
      </c>
      <c r="E793" t="str" s="8" cm="1">
        <f t="array" ref="E793">IF(D793="M","Male",IF(D793="F","Female","Check"))</f>
        <v>Male</v>
      </c>
      <c r="F793" s="4">
        <v>30000</v>
      </c>
      <c r="G793" t="str" s="8" cm="1">
        <f t="array" ref="G793">IF(F793="","Check","okay")</f>
        <v>okay</v>
      </c>
      <c r="H793" s="3">
        <v>2</v>
      </c>
      <c r="I793" t="s" s="2">
        <v>21</v>
      </c>
      <c r="J793" t="s" s="2">
        <v>22</v>
      </c>
      <c r="K793" t="s" s="2">
        <v>20</v>
      </c>
      <c r="L793" s="3">
        <v>2</v>
      </c>
      <c r="M793" t="s" s="2">
        <v>18</v>
      </c>
      <c r="N793" t="s" s="2">
        <v>19</v>
      </c>
      <c r="O793" s="3">
        <v>42</v>
      </c>
      <c r="P793" t="str" s="8" cm="1">
        <f t="array" ref="P793">IF(O793="","check","Okay")</f>
        <v>Okay</v>
      </c>
      <c r="Q793" t="str" s="8" cm="1">
        <f t="array" ref="Q793">IF(O793&lt;30,"UNDER 30",IF(O793&lt;=50,"30-50","Over 50"))</f>
        <v>30-50</v>
      </c>
      <c r="R793" t="s" s="2">
        <v>20</v>
      </c>
      <c r="S793" s="3" cm="1">
        <f t="array" ref="S793">COUNTIF(A2:A1001,A793)</f>
        <v>1</v>
      </c>
      <c r="T793" t="str" s="8" cm="1">
        <f t="array" ref="T793">IF(ISNUMBER(F793),"Ok","check")</f>
        <v>Ok</v>
      </c>
      <c r="U793" t="str" s="8" cm="1">
        <f t="array" ref="U793">IF(ISNUMBER(O793),"ok","check")</f>
        <v>ok</v>
      </c>
    </row>
    <row r="794" ht="13.55" customHeight="1">
      <c r="A794" s="3">
        <v>19491</v>
      </c>
      <c r="B794" t="s" s="2">
        <v>25</v>
      </c>
      <c r="C794" t="str" s="8" cm="1">
        <f t="array" ref="C794">IF(B794="M","Married","Single")</f>
        <v>Single</v>
      </c>
      <c r="D794" t="s" s="2">
        <v>13</v>
      </c>
      <c r="E794" t="str" s="8" cm="1">
        <f t="array" ref="E794">IF(D794="M","Male",IF(D794="F","Female","Check"))</f>
        <v>Male</v>
      </c>
      <c r="F794" s="4">
        <v>30000</v>
      </c>
      <c r="G794" t="str" s="8" cm="1">
        <f t="array" ref="G794">IF(F794="","Check","okay")</f>
        <v>okay</v>
      </c>
      <c r="H794" s="3">
        <v>2</v>
      </c>
      <c r="I794" t="s" s="2">
        <v>21</v>
      </c>
      <c r="J794" t="s" s="2">
        <v>22</v>
      </c>
      <c r="K794" t="s" s="2">
        <v>17</v>
      </c>
      <c r="L794" s="3">
        <v>2</v>
      </c>
      <c r="M794" t="s" s="2">
        <v>18</v>
      </c>
      <c r="N794" t="s" s="2">
        <v>19</v>
      </c>
      <c r="O794" s="3">
        <v>42</v>
      </c>
      <c r="P794" t="str" s="8" cm="1">
        <f t="array" ref="P794">IF(O794="","check","Okay")</f>
        <v>Okay</v>
      </c>
      <c r="Q794" t="str" s="8" cm="1">
        <f t="array" ref="Q794">IF(O794&lt;30,"UNDER 30",IF(O794&lt;=50,"30-50","Over 50"))</f>
        <v>30-50</v>
      </c>
      <c r="R794" t="s" s="2">
        <v>20</v>
      </c>
      <c r="S794" s="3" cm="1">
        <f t="array" ref="S794">COUNTIF(A2:A1001,A794)</f>
        <v>1</v>
      </c>
      <c r="T794" t="str" s="8" cm="1">
        <f t="array" ref="T794">IF(ISNUMBER(F794),"Ok","check")</f>
        <v>Ok</v>
      </c>
      <c r="U794" t="str" s="8" cm="1">
        <f t="array" ref="U794">IF(ISNUMBER(O794),"ok","check")</f>
        <v>ok</v>
      </c>
    </row>
    <row r="795" ht="13.55" customHeight="1">
      <c r="A795" s="3">
        <v>22672</v>
      </c>
      <c r="B795" t="s" s="2">
        <v>25</v>
      </c>
      <c r="C795" t="str" s="8" cm="1">
        <f t="array" ref="C795">IF(B795="M","Married","Single")</f>
        <v>Single</v>
      </c>
      <c r="D795" t="s" s="2">
        <v>14</v>
      </c>
      <c r="E795" t="str" s="8" cm="1">
        <f t="array" ref="E795">IF(D795="M","Male",IF(D795="F","Female","Check"))</f>
        <v>Female</v>
      </c>
      <c r="F795" s="4">
        <v>30000</v>
      </c>
      <c r="G795" t="str" s="8" cm="1">
        <f t="array" ref="G795">IF(F795="","Check","okay")</f>
        <v>okay</v>
      </c>
      <c r="H795" s="3">
        <v>2</v>
      </c>
      <c r="I795" t="s" s="2">
        <v>21</v>
      </c>
      <c r="J795" t="s" s="2">
        <v>22</v>
      </c>
      <c r="K795" t="s" s="2">
        <v>17</v>
      </c>
      <c r="L795" s="3">
        <v>0</v>
      </c>
      <c r="M795" t="s" s="2">
        <v>18</v>
      </c>
      <c r="N795" t="s" s="2">
        <v>19</v>
      </c>
      <c r="O795" s="3">
        <v>43</v>
      </c>
      <c r="P795" t="str" s="8" cm="1">
        <f t="array" ref="P795">IF(O795="","check","Okay")</f>
        <v>Okay</v>
      </c>
      <c r="Q795" t="str" s="8" cm="1">
        <f t="array" ref="Q795">IF(O795&lt;30,"UNDER 30",IF(O795&lt;=50,"30-50","Over 50"))</f>
        <v>30-50</v>
      </c>
      <c r="R795" t="s" s="2">
        <v>20</v>
      </c>
      <c r="S795" s="3" cm="1">
        <f t="array" ref="S795">COUNTIF(A2:A1001,A795)</f>
        <v>1</v>
      </c>
      <c r="T795" t="str" s="8" cm="1">
        <f t="array" ref="T795">IF(ISNUMBER(F795),"Ok","check")</f>
        <v>Ok</v>
      </c>
      <c r="U795" t="str" s="8" cm="1">
        <f t="array" ref="U795">IF(ISNUMBER(O795),"ok","check")</f>
        <v>ok</v>
      </c>
    </row>
    <row r="796" ht="13.55" customHeight="1">
      <c r="A796" s="3">
        <v>27803</v>
      </c>
      <c r="B796" t="s" s="2">
        <v>25</v>
      </c>
      <c r="C796" t="str" s="8" cm="1">
        <f t="array" ref="C796">IF(B796="M","Married","Single")</f>
        <v>Single</v>
      </c>
      <c r="D796" t="s" s="2">
        <v>14</v>
      </c>
      <c r="E796" t="str" s="8" cm="1">
        <f t="array" ref="E796">IF(D796="M","Male",IF(D796="F","Female","Check"))</f>
        <v>Female</v>
      </c>
      <c r="F796" s="4">
        <v>30000</v>
      </c>
      <c r="G796" t="str" s="8" cm="1">
        <f t="array" ref="G796">IF(F796="","Check","okay")</f>
        <v>okay</v>
      </c>
      <c r="H796" s="3">
        <v>2</v>
      </c>
      <c r="I796" t="s" s="2">
        <v>21</v>
      </c>
      <c r="J796" t="s" s="2">
        <v>22</v>
      </c>
      <c r="K796" t="s" s="2">
        <v>20</v>
      </c>
      <c r="L796" s="3">
        <v>0</v>
      </c>
      <c r="M796" t="s" s="2">
        <v>18</v>
      </c>
      <c r="N796" t="s" s="2">
        <v>19</v>
      </c>
      <c r="O796" s="3">
        <v>43</v>
      </c>
      <c r="P796" t="str" s="8" cm="1">
        <f t="array" ref="P796">IF(O796="","check","Okay")</f>
        <v>Okay</v>
      </c>
      <c r="Q796" t="str" s="8" cm="1">
        <f t="array" ref="Q796">IF(O796&lt;30,"UNDER 30",IF(O796&lt;=50,"30-50","Over 50"))</f>
        <v>30-50</v>
      </c>
      <c r="R796" t="s" s="2">
        <v>20</v>
      </c>
      <c r="S796" s="3" cm="1">
        <f t="array" ref="S796">COUNTIF(A2:A1001,A796)</f>
        <v>1</v>
      </c>
      <c r="T796" t="str" s="8" cm="1">
        <f t="array" ref="T796">IF(ISNUMBER(F796),"Ok","check")</f>
        <v>Ok</v>
      </c>
      <c r="U796" t="str" s="8" cm="1">
        <f t="array" ref="U796">IF(ISNUMBER(O796),"ok","check")</f>
        <v>ok</v>
      </c>
    </row>
    <row r="797" ht="13.55" customHeight="1">
      <c r="A797" s="3">
        <v>12507</v>
      </c>
      <c r="B797" t="s" s="2">
        <v>13</v>
      </c>
      <c r="C797" t="str" s="8" cm="1">
        <f t="array" ref="C797">IF(B797="M","Married","Single")</f>
        <v>Married</v>
      </c>
      <c r="D797" t="s" s="2">
        <v>13</v>
      </c>
      <c r="E797" t="str" s="8" cm="1">
        <f t="array" ref="E797">IF(D797="M","Male",IF(D797="F","Female","Check"))</f>
        <v>Male</v>
      </c>
      <c r="F797" s="4">
        <v>30000</v>
      </c>
      <c r="G797" t="str" s="8" cm="1">
        <f t="array" ref="G797">IF(F797="","Check","okay")</f>
        <v>okay</v>
      </c>
      <c r="H797" s="3">
        <v>1</v>
      </c>
      <c r="I797" t="s" s="2">
        <v>21</v>
      </c>
      <c r="J797" t="s" s="2">
        <v>22</v>
      </c>
      <c r="K797" t="s" s="2">
        <v>17</v>
      </c>
      <c r="L797" s="3">
        <v>1</v>
      </c>
      <c r="M797" t="s" s="2">
        <v>18</v>
      </c>
      <c r="N797" t="s" s="2">
        <v>19</v>
      </c>
      <c r="O797" s="3">
        <v>43</v>
      </c>
      <c r="P797" t="str" s="8" cm="1">
        <f t="array" ref="P797">IF(O797="","check","Okay")</f>
        <v>Okay</v>
      </c>
      <c r="Q797" t="str" s="8" cm="1">
        <f t="array" ref="Q797">IF(O797&lt;30,"UNDER 30",IF(O797&lt;=50,"30-50","Over 50"))</f>
        <v>30-50</v>
      </c>
      <c r="R797" t="s" s="2">
        <v>20</v>
      </c>
      <c r="S797" s="3" cm="1">
        <f t="array" ref="S797">COUNTIF(A2:A1001,A797)</f>
        <v>1</v>
      </c>
      <c r="T797" t="str" s="8" cm="1">
        <f t="array" ref="T797">IF(ISNUMBER(F797),"Ok","check")</f>
        <v>Ok</v>
      </c>
      <c r="U797" t="str" s="8" cm="1">
        <f t="array" ref="U797">IF(ISNUMBER(O797),"ok","check")</f>
        <v>ok</v>
      </c>
    </row>
    <row r="798" ht="13.55" customHeight="1">
      <c r="A798" s="3">
        <v>24107</v>
      </c>
      <c r="B798" t="s" s="2">
        <v>13</v>
      </c>
      <c r="C798" t="str" s="8" cm="1">
        <f t="array" ref="C798">IF(B798="M","Married","Single")</f>
        <v>Married</v>
      </c>
      <c r="D798" t="s" s="2">
        <v>13</v>
      </c>
      <c r="E798" t="str" s="8" cm="1">
        <f t="array" ref="E798">IF(D798="M","Male",IF(D798="F","Female","Check"))</f>
        <v>Male</v>
      </c>
      <c r="F798" s="4">
        <v>30000</v>
      </c>
      <c r="G798" t="str" s="8" cm="1">
        <f t="array" ref="G798">IF(F798="","Check","okay")</f>
        <v>okay</v>
      </c>
      <c r="H798" s="3">
        <v>3</v>
      </c>
      <c r="I798" t="s" s="2">
        <v>21</v>
      </c>
      <c r="J798" t="s" s="2">
        <v>22</v>
      </c>
      <c r="K798" t="s" s="2">
        <v>17</v>
      </c>
      <c r="L798" s="3">
        <v>1</v>
      </c>
      <c r="M798" t="s" s="2">
        <v>18</v>
      </c>
      <c r="N798" t="s" s="2">
        <v>19</v>
      </c>
      <c r="O798" s="3">
        <v>43</v>
      </c>
      <c r="P798" t="str" s="8" cm="1">
        <f t="array" ref="P798">IF(O798="","check","Okay")</f>
        <v>Okay</v>
      </c>
      <c r="Q798" t="str" s="8" cm="1">
        <f t="array" ref="Q798">IF(O798&lt;30,"UNDER 30",IF(O798&lt;=50,"30-50","Over 50"))</f>
        <v>30-50</v>
      </c>
      <c r="R798" t="s" s="2">
        <v>20</v>
      </c>
      <c r="S798" s="3" cm="1">
        <f t="array" ref="S798">COUNTIF(A2:A1001,A798)</f>
        <v>1</v>
      </c>
      <c r="T798" t="str" s="8" cm="1">
        <f t="array" ref="T798">IF(ISNUMBER(F798),"Ok","check")</f>
        <v>Ok</v>
      </c>
      <c r="U798" t="str" s="8" cm="1">
        <f t="array" ref="U798">IF(ISNUMBER(O798),"ok","check")</f>
        <v>ok</v>
      </c>
    </row>
    <row r="799" ht="13.55" customHeight="1">
      <c r="A799" s="3">
        <v>18018</v>
      </c>
      <c r="B799" t="s" s="2">
        <v>25</v>
      </c>
      <c r="C799" t="str" s="8" cm="1">
        <f t="array" ref="C799">IF(B799="M","Married","Single")</f>
        <v>Single</v>
      </c>
      <c r="D799" t="s" s="2">
        <v>13</v>
      </c>
      <c r="E799" t="str" s="8" cm="1">
        <f t="array" ref="E799">IF(D799="M","Male",IF(D799="F","Female","Check"))</f>
        <v>Male</v>
      </c>
      <c r="F799" s="4">
        <v>30000</v>
      </c>
      <c r="G799" t="str" s="8" cm="1">
        <f t="array" ref="G799">IF(F799="","Check","okay")</f>
        <v>okay</v>
      </c>
      <c r="H799" s="3">
        <v>3</v>
      </c>
      <c r="I799" t="s" s="2">
        <v>21</v>
      </c>
      <c r="J799" t="s" s="2">
        <v>22</v>
      </c>
      <c r="K799" t="s" s="2">
        <v>17</v>
      </c>
      <c r="L799" s="3">
        <v>0</v>
      </c>
      <c r="M799" t="s" s="2">
        <v>18</v>
      </c>
      <c r="N799" t="s" s="2">
        <v>19</v>
      </c>
      <c r="O799" s="3">
        <v>43</v>
      </c>
      <c r="P799" t="str" s="8" cm="1">
        <f t="array" ref="P799">IF(O799="","check","Okay")</f>
        <v>Okay</v>
      </c>
      <c r="Q799" t="str" s="8" cm="1">
        <f t="array" ref="Q799">IF(O799&lt;30,"UNDER 30",IF(O799&lt;=50,"30-50","Over 50"))</f>
        <v>30-50</v>
      </c>
      <c r="R799" t="s" s="2">
        <v>20</v>
      </c>
      <c r="S799" s="3" cm="1">
        <f t="array" ref="S799">COUNTIF(A2:A1001,A799)</f>
        <v>1</v>
      </c>
      <c r="T799" t="str" s="8" cm="1">
        <f t="array" ref="T799">IF(ISNUMBER(F799),"Ok","check")</f>
        <v>Ok</v>
      </c>
      <c r="U799" t="str" s="8" cm="1">
        <f t="array" ref="U799">IF(ISNUMBER(O799),"ok","check")</f>
        <v>ok</v>
      </c>
    </row>
    <row r="800" ht="13.55" customHeight="1">
      <c r="A800" s="3">
        <v>25693</v>
      </c>
      <c r="B800" t="s" s="2">
        <v>25</v>
      </c>
      <c r="C800" t="str" s="8" cm="1">
        <f t="array" ref="C800">IF(B800="M","Married","Single")</f>
        <v>Single</v>
      </c>
      <c r="D800" t="s" s="2">
        <v>14</v>
      </c>
      <c r="E800" t="str" s="8" cm="1">
        <f t="array" ref="E800">IF(D800="M","Male",IF(D800="F","Female","Check"))</f>
        <v>Female</v>
      </c>
      <c r="F800" s="4">
        <v>30000</v>
      </c>
      <c r="G800" t="str" s="8" cm="1">
        <f t="array" ref="G800">IF(F800="","Check","okay")</f>
        <v>okay</v>
      </c>
      <c r="H800" s="3">
        <v>5</v>
      </c>
      <c r="I800" t="s" s="2">
        <v>34</v>
      </c>
      <c r="J800" t="s" s="2">
        <v>22</v>
      </c>
      <c r="K800" t="s" s="2">
        <v>17</v>
      </c>
      <c r="L800" s="3">
        <v>0</v>
      </c>
      <c r="M800" t="s" s="2">
        <v>18</v>
      </c>
      <c r="N800" t="s" s="2">
        <v>19</v>
      </c>
      <c r="O800" s="3">
        <v>44</v>
      </c>
      <c r="P800" t="str" s="8" cm="1">
        <f t="array" ref="P800">IF(O800="","check","Okay")</f>
        <v>Okay</v>
      </c>
      <c r="Q800" t="str" s="8" cm="1">
        <f t="array" ref="Q800">IF(O800&lt;30,"UNDER 30",IF(O800&lt;=50,"30-50","Over 50"))</f>
        <v>30-50</v>
      </c>
      <c r="R800" t="s" s="2">
        <v>17</v>
      </c>
      <c r="S800" s="3" cm="1">
        <f t="array" ref="S800">COUNTIF(A2:A1001,A800)</f>
        <v>1</v>
      </c>
      <c r="T800" t="str" s="8" cm="1">
        <f t="array" ref="T800">IF(ISNUMBER(F800),"Ok","check")</f>
        <v>Ok</v>
      </c>
      <c r="U800" t="str" s="8" cm="1">
        <f t="array" ref="U800">IF(ISNUMBER(O800),"ok","check")</f>
        <v>ok</v>
      </c>
    </row>
    <row r="801" ht="13.55" customHeight="1">
      <c r="A801" s="3">
        <v>19482</v>
      </c>
      <c r="B801" t="s" s="2">
        <v>13</v>
      </c>
      <c r="C801" t="str" s="8" cm="1">
        <f t="array" ref="C801">IF(B801="M","Married","Single")</f>
        <v>Married</v>
      </c>
      <c r="D801" t="s" s="2">
        <v>13</v>
      </c>
      <c r="E801" t="str" s="8" cm="1">
        <f t="array" ref="E801">IF(D801="M","Male",IF(D801="F","Female","Check"))</f>
        <v>Male</v>
      </c>
      <c r="F801" s="4">
        <v>30000</v>
      </c>
      <c r="G801" t="str" s="8" cm="1">
        <f t="array" ref="G801">IF(F801="","Check","okay")</f>
        <v>okay</v>
      </c>
      <c r="H801" s="3">
        <v>1</v>
      </c>
      <c r="I801" t="s" s="2">
        <v>21</v>
      </c>
      <c r="J801" t="s" s="2">
        <v>22</v>
      </c>
      <c r="K801" t="s" s="2">
        <v>17</v>
      </c>
      <c r="L801" s="3">
        <v>1</v>
      </c>
      <c r="M801" t="s" s="2">
        <v>18</v>
      </c>
      <c r="N801" t="s" s="2">
        <v>19</v>
      </c>
      <c r="O801" s="3">
        <v>44</v>
      </c>
      <c r="P801" t="str" s="8" cm="1">
        <f t="array" ref="P801">IF(O801="","check","Okay")</f>
        <v>Okay</v>
      </c>
      <c r="Q801" t="str" s="8" cm="1">
        <f t="array" ref="Q801">IF(O801&lt;30,"UNDER 30",IF(O801&lt;=50,"30-50","Over 50"))</f>
        <v>30-50</v>
      </c>
      <c r="R801" t="s" s="2">
        <v>17</v>
      </c>
      <c r="S801" s="3" cm="1">
        <f t="array" ref="S801">COUNTIF(A2:A1001,A801)</f>
        <v>1</v>
      </c>
      <c r="T801" t="str" s="8" cm="1">
        <f t="array" ref="T801">IF(ISNUMBER(F801),"Ok","check")</f>
        <v>Ok</v>
      </c>
      <c r="U801" t="str" s="8" cm="1">
        <f t="array" ref="U801">IF(ISNUMBER(O801),"ok","check")</f>
        <v>ok</v>
      </c>
    </row>
    <row r="802" ht="13.55" customHeight="1">
      <c r="A802" s="3">
        <v>11386</v>
      </c>
      <c r="B802" t="s" s="2">
        <v>13</v>
      </c>
      <c r="C802" t="str" s="8" cm="1">
        <f t="array" ref="C802">IF(B802="M","Married","Single")</f>
        <v>Married</v>
      </c>
      <c r="D802" t="s" s="2">
        <v>14</v>
      </c>
      <c r="E802" t="str" s="8" cm="1">
        <f t="array" ref="E802">IF(D802="M","Male",IF(D802="F","Female","Check"))</f>
        <v>Female</v>
      </c>
      <c r="F802" s="4">
        <v>30000</v>
      </c>
      <c r="G802" t="str" s="8" cm="1">
        <f t="array" ref="G802">IF(F802="","Check","okay")</f>
        <v>okay</v>
      </c>
      <c r="H802" s="3">
        <v>3</v>
      </c>
      <c r="I802" t="s" s="2">
        <v>15</v>
      </c>
      <c r="J802" t="s" s="2">
        <v>22</v>
      </c>
      <c r="K802" t="s" s="2">
        <v>17</v>
      </c>
      <c r="L802" s="3">
        <v>0</v>
      </c>
      <c r="M802" t="s" s="2">
        <v>18</v>
      </c>
      <c r="N802" t="s" s="2">
        <v>19</v>
      </c>
      <c r="O802" s="3">
        <v>45</v>
      </c>
      <c r="P802" t="str" s="8" cm="1">
        <f t="array" ref="P802">IF(O802="","check","Okay")</f>
        <v>Okay</v>
      </c>
      <c r="Q802" t="str" s="8" cm="1">
        <f t="array" ref="Q802">IF(O802&lt;30,"UNDER 30",IF(O802&lt;=50,"30-50","Over 50"))</f>
        <v>30-50</v>
      </c>
      <c r="R802" t="s" s="2">
        <v>20</v>
      </c>
      <c r="S802" s="3" cm="1">
        <f t="array" ref="S802">COUNTIF(A2:A1001,A802)</f>
        <v>1</v>
      </c>
      <c r="T802" t="str" s="8" cm="1">
        <f t="array" ref="T802">IF(ISNUMBER(F802),"Ok","check")</f>
        <v>Ok</v>
      </c>
      <c r="U802" t="str" s="8" cm="1">
        <f t="array" ref="U802">IF(ISNUMBER(O802),"ok","check")</f>
        <v>ok</v>
      </c>
    </row>
    <row r="803" ht="13.55" customHeight="1">
      <c r="A803" s="3">
        <v>12591</v>
      </c>
      <c r="B803" t="s" s="2">
        <v>13</v>
      </c>
      <c r="C803" t="str" s="8" cm="1">
        <f t="array" ref="C803">IF(B803="M","Married","Single")</f>
        <v>Married</v>
      </c>
      <c r="D803" t="s" s="2">
        <v>14</v>
      </c>
      <c r="E803" t="str" s="8" cm="1">
        <f t="array" ref="E803">IF(D803="M","Male",IF(D803="F","Female","Check"))</f>
        <v>Female</v>
      </c>
      <c r="F803" s="4">
        <v>30000</v>
      </c>
      <c r="G803" t="str" s="8" cm="1">
        <f t="array" ref="G803">IF(F803="","Check","okay")</f>
        <v>okay</v>
      </c>
      <c r="H803" s="3">
        <v>4</v>
      </c>
      <c r="I803" t="s" s="2">
        <v>34</v>
      </c>
      <c r="J803" t="s" s="2">
        <v>22</v>
      </c>
      <c r="K803" t="s" s="2">
        <v>17</v>
      </c>
      <c r="L803" s="3">
        <v>0</v>
      </c>
      <c r="M803" t="s" s="2">
        <v>18</v>
      </c>
      <c r="N803" t="s" s="2">
        <v>19</v>
      </c>
      <c r="O803" s="3">
        <v>45</v>
      </c>
      <c r="P803" t="str" s="8" cm="1">
        <f t="array" ref="P803">IF(O803="","check","Okay")</f>
        <v>Okay</v>
      </c>
      <c r="Q803" t="str" s="8" cm="1">
        <f t="array" ref="Q803">IF(O803&lt;30,"UNDER 30",IF(O803&lt;=50,"30-50","Over 50"))</f>
        <v>30-50</v>
      </c>
      <c r="R803" t="s" s="2">
        <v>20</v>
      </c>
      <c r="S803" s="3" cm="1">
        <f t="array" ref="S803">COUNTIF(A2:A1001,A803)</f>
        <v>1</v>
      </c>
      <c r="T803" t="str" s="8" cm="1">
        <f t="array" ref="T803">IF(ISNUMBER(F803),"Ok","check")</f>
        <v>Ok</v>
      </c>
      <c r="U803" t="str" s="8" cm="1">
        <f t="array" ref="U803">IF(ISNUMBER(O803),"ok","check")</f>
        <v>ok</v>
      </c>
    </row>
    <row r="804" ht="13.55" customHeight="1">
      <c r="A804" s="3">
        <v>20828</v>
      </c>
      <c r="B804" t="s" s="2">
        <v>13</v>
      </c>
      <c r="C804" t="str" s="8" cm="1">
        <f t="array" ref="C804">IF(B804="M","Married","Single")</f>
        <v>Married</v>
      </c>
      <c r="D804" t="s" s="2">
        <v>14</v>
      </c>
      <c r="E804" t="str" s="8" cm="1">
        <f t="array" ref="E804">IF(D804="M","Male",IF(D804="F","Female","Check"))</f>
        <v>Female</v>
      </c>
      <c r="F804" s="4">
        <v>30000</v>
      </c>
      <c r="G804" t="str" s="8" cm="1">
        <f t="array" ref="G804">IF(F804="","Check","okay")</f>
        <v>okay</v>
      </c>
      <c r="H804" s="3">
        <v>4</v>
      </c>
      <c r="I804" t="s" s="2">
        <v>34</v>
      </c>
      <c r="J804" t="s" s="2">
        <v>22</v>
      </c>
      <c r="K804" t="s" s="2">
        <v>17</v>
      </c>
      <c r="L804" s="3">
        <v>0</v>
      </c>
      <c r="M804" t="s" s="2">
        <v>18</v>
      </c>
      <c r="N804" t="s" s="2">
        <v>19</v>
      </c>
      <c r="O804" s="3">
        <v>45</v>
      </c>
      <c r="P804" t="str" s="8" cm="1">
        <f t="array" ref="P804">IF(O804="","check","Okay")</f>
        <v>Okay</v>
      </c>
      <c r="Q804" t="str" s="8" cm="1">
        <f t="array" ref="Q804">IF(O804&lt;30,"UNDER 30",IF(O804&lt;=50,"30-50","Over 50"))</f>
        <v>30-50</v>
      </c>
      <c r="R804" t="s" s="2">
        <v>17</v>
      </c>
      <c r="S804" s="3" cm="1">
        <f t="array" ref="S804">COUNTIF(A2:A1001,A804)</f>
        <v>1</v>
      </c>
      <c r="T804" t="str" s="8" cm="1">
        <f t="array" ref="T804">IF(ISNUMBER(F804),"Ok","check")</f>
        <v>Ok</v>
      </c>
      <c r="U804" t="str" s="8" cm="1">
        <f t="array" ref="U804">IF(ISNUMBER(O804),"ok","check")</f>
        <v>ok</v>
      </c>
    </row>
    <row r="805" ht="13.55" customHeight="1">
      <c r="A805" s="3">
        <v>11383</v>
      </c>
      <c r="B805" t="s" s="2">
        <v>13</v>
      </c>
      <c r="C805" t="str" s="8" cm="1">
        <f t="array" ref="C805">IF(B805="M","Married","Single")</f>
        <v>Married</v>
      </c>
      <c r="D805" t="s" s="2">
        <v>14</v>
      </c>
      <c r="E805" t="str" s="8" cm="1">
        <f t="array" ref="E805">IF(D805="M","Male",IF(D805="F","Female","Check"))</f>
        <v>Female</v>
      </c>
      <c r="F805" s="4">
        <v>30000</v>
      </c>
      <c r="G805" t="str" s="8" cm="1">
        <f t="array" ref="G805">IF(F805="","Check","okay")</f>
        <v>okay</v>
      </c>
      <c r="H805" s="3">
        <v>3</v>
      </c>
      <c r="I805" t="s" s="2">
        <v>34</v>
      </c>
      <c r="J805" t="s" s="2">
        <v>22</v>
      </c>
      <c r="K805" t="s" s="2">
        <v>17</v>
      </c>
      <c r="L805" s="3">
        <v>0</v>
      </c>
      <c r="M805" t="s" s="2">
        <v>18</v>
      </c>
      <c r="N805" t="s" s="2">
        <v>19</v>
      </c>
      <c r="O805" s="3">
        <v>46</v>
      </c>
      <c r="P805" t="str" s="8" cm="1">
        <f t="array" ref="P805">IF(O805="","check","Okay")</f>
        <v>Okay</v>
      </c>
      <c r="Q805" t="str" s="8" cm="1">
        <f t="array" ref="Q805">IF(O805&lt;30,"UNDER 30",IF(O805&lt;=50,"30-50","Over 50"))</f>
        <v>30-50</v>
      </c>
      <c r="R805" t="s" s="2">
        <v>20</v>
      </c>
      <c r="S805" s="3" cm="1">
        <f t="array" ref="S805">COUNTIF(A2:A1001,A805)</f>
        <v>1</v>
      </c>
      <c r="T805" t="str" s="8" cm="1">
        <f t="array" ref="T805">IF(ISNUMBER(F805),"Ok","check")</f>
        <v>Ok</v>
      </c>
      <c r="U805" t="str" s="8" cm="1">
        <f t="array" ref="U805">IF(ISNUMBER(O805),"ok","check")</f>
        <v>ok</v>
      </c>
    </row>
    <row r="806" ht="13.55" customHeight="1">
      <c r="A806" s="3">
        <v>17754</v>
      </c>
      <c r="B806" t="s" s="2">
        <v>25</v>
      </c>
      <c r="C806" t="str" s="8" cm="1">
        <f t="array" ref="C806">IF(B806="M","Married","Single")</f>
        <v>Single</v>
      </c>
      <c r="D806" t="s" s="2">
        <v>14</v>
      </c>
      <c r="E806" t="str" s="8" cm="1">
        <f t="array" ref="E806">IF(D806="M","Male",IF(D806="F","Female","Check"))</f>
        <v>Female</v>
      </c>
      <c r="F806" s="4">
        <v>30000</v>
      </c>
      <c r="G806" t="str" s="8" cm="1">
        <f t="array" ref="G806">IF(F806="","Check","okay")</f>
        <v>okay</v>
      </c>
      <c r="H806" s="3">
        <v>3</v>
      </c>
      <c r="I806" t="s" s="2">
        <v>15</v>
      </c>
      <c r="J806" t="s" s="2">
        <v>22</v>
      </c>
      <c r="K806" t="s" s="2">
        <v>17</v>
      </c>
      <c r="L806" s="3">
        <v>0</v>
      </c>
      <c r="M806" t="s" s="2">
        <v>18</v>
      </c>
      <c r="N806" t="s" s="2">
        <v>19</v>
      </c>
      <c r="O806" s="3">
        <v>46</v>
      </c>
      <c r="P806" t="str" s="8" cm="1">
        <f t="array" ref="P806">IF(O806="","check","Okay")</f>
        <v>Okay</v>
      </c>
      <c r="Q806" t="str" s="8" cm="1">
        <f t="array" ref="Q806">IF(O806&lt;30,"UNDER 30",IF(O806&lt;=50,"30-50","Over 50"))</f>
        <v>30-50</v>
      </c>
      <c r="R806" t="s" s="2">
        <v>17</v>
      </c>
      <c r="S806" s="3" cm="1">
        <f t="array" ref="S806">COUNTIF(A2:A1001,A806)</f>
        <v>1</v>
      </c>
      <c r="T806" t="str" s="8" cm="1">
        <f t="array" ref="T806">IF(ISNUMBER(F806),"Ok","check")</f>
        <v>Ok</v>
      </c>
      <c r="U806" t="str" s="8" cm="1">
        <f t="array" ref="U806">IF(ISNUMBER(O806),"ok","check")</f>
        <v>ok</v>
      </c>
    </row>
    <row r="807" ht="13.55" customHeight="1">
      <c r="A807" s="3">
        <v>21006</v>
      </c>
      <c r="B807" t="s" s="2">
        <v>25</v>
      </c>
      <c r="C807" t="str" s="8" cm="1">
        <f t="array" ref="C807">IF(B807="M","Married","Single")</f>
        <v>Single</v>
      </c>
      <c r="D807" t="s" s="2">
        <v>14</v>
      </c>
      <c r="E807" t="str" s="8" cm="1">
        <f t="array" ref="E807">IF(D807="M","Male",IF(D807="F","Female","Check"))</f>
        <v>Female</v>
      </c>
      <c r="F807" s="4">
        <v>30000</v>
      </c>
      <c r="G807" t="str" s="8" cm="1">
        <f t="array" ref="G807">IF(F807="","Check","okay")</f>
        <v>okay</v>
      </c>
      <c r="H807" s="3">
        <v>1</v>
      </c>
      <c r="I807" t="s" s="2">
        <v>21</v>
      </c>
      <c r="J807" t="s" s="2">
        <v>28</v>
      </c>
      <c r="K807" t="s" s="2">
        <v>20</v>
      </c>
      <c r="L807" s="3">
        <v>0</v>
      </c>
      <c r="M807" t="s" s="2">
        <v>18</v>
      </c>
      <c r="N807" t="s" s="2">
        <v>19</v>
      </c>
      <c r="O807" s="3">
        <v>46</v>
      </c>
      <c r="P807" t="str" s="8" cm="1">
        <f t="array" ref="P807">IF(O807="","check","Okay")</f>
        <v>Okay</v>
      </c>
      <c r="Q807" t="str" s="8" cm="1">
        <f t="array" ref="Q807">IF(O807&lt;30,"UNDER 30",IF(O807&lt;=50,"30-50","Over 50"))</f>
        <v>30-50</v>
      </c>
      <c r="R807" t="s" s="2">
        <v>17</v>
      </c>
      <c r="S807" s="3" cm="1">
        <f t="array" ref="S807">COUNTIF(A2:A1001,A807)</f>
        <v>1</v>
      </c>
      <c r="T807" t="str" s="8" cm="1">
        <f t="array" ref="T807">IF(ISNUMBER(F807),"Ok","check")</f>
        <v>Ok</v>
      </c>
      <c r="U807" t="str" s="8" cm="1">
        <f t="array" ref="U807">IF(ISNUMBER(O807),"ok","check")</f>
        <v>ok</v>
      </c>
    </row>
    <row r="808" ht="13.55" customHeight="1">
      <c r="A808" s="3">
        <v>24187</v>
      </c>
      <c r="B808" t="s" s="2">
        <v>25</v>
      </c>
      <c r="C808" t="str" s="8" cm="1">
        <f t="array" ref="C808">IF(B808="M","Married","Single")</f>
        <v>Single</v>
      </c>
      <c r="D808" t="s" s="2">
        <v>14</v>
      </c>
      <c r="E808" t="str" s="8" cm="1">
        <f t="array" ref="E808">IF(D808="M","Male",IF(D808="F","Female","Check"))</f>
        <v>Female</v>
      </c>
      <c r="F808" s="4">
        <v>30000</v>
      </c>
      <c r="G808" t="str" s="8" cm="1">
        <f t="array" ref="G808">IF(F808="","Check","okay")</f>
        <v>okay</v>
      </c>
      <c r="H808" s="3">
        <v>3</v>
      </c>
      <c r="I808" t="s" s="2">
        <v>34</v>
      </c>
      <c r="J808" t="s" s="2">
        <v>22</v>
      </c>
      <c r="K808" t="s" s="2">
        <v>20</v>
      </c>
      <c r="L808" s="3">
        <v>0</v>
      </c>
      <c r="M808" t="s" s="2">
        <v>18</v>
      </c>
      <c r="N808" t="s" s="2">
        <v>19</v>
      </c>
      <c r="O808" s="3">
        <v>46</v>
      </c>
      <c r="P808" t="str" s="8" cm="1">
        <f t="array" ref="P808">IF(O808="","check","Okay")</f>
        <v>Okay</v>
      </c>
      <c r="Q808" t="str" s="8" cm="1">
        <f t="array" ref="Q808">IF(O808&lt;30,"UNDER 30",IF(O808&lt;=50,"30-50","Over 50"))</f>
        <v>30-50</v>
      </c>
      <c r="R808" t="s" s="2">
        <v>17</v>
      </c>
      <c r="S808" s="3" cm="1">
        <f t="array" ref="S808">COUNTIF(A2:A1001,A808)</f>
        <v>1</v>
      </c>
      <c r="T808" t="str" s="8" cm="1">
        <f t="array" ref="T808">IF(ISNUMBER(F808),"Ok","check")</f>
        <v>Ok</v>
      </c>
      <c r="U808" t="str" s="8" cm="1">
        <f t="array" ref="U808">IF(ISNUMBER(O808),"ok","check")</f>
        <v>ok</v>
      </c>
    </row>
    <row r="809" ht="13.55" customHeight="1">
      <c r="A809" s="3">
        <v>15657</v>
      </c>
      <c r="B809" t="s" s="2">
        <v>13</v>
      </c>
      <c r="C809" t="str" s="8" cm="1">
        <f t="array" ref="C809">IF(B809="M","Married","Single")</f>
        <v>Married</v>
      </c>
      <c r="D809" t="s" s="2">
        <v>13</v>
      </c>
      <c r="E809" t="str" s="8" cm="1">
        <f t="array" ref="E809">IF(D809="M","Male",IF(D809="F","Female","Check"))</f>
        <v>Male</v>
      </c>
      <c r="F809" s="4">
        <v>30000</v>
      </c>
      <c r="G809" t="str" s="8" cm="1">
        <f t="array" ref="G809">IF(F809="","Check","okay")</f>
        <v>okay</v>
      </c>
      <c r="H809" s="3">
        <v>3</v>
      </c>
      <c r="I809" t="s" s="2">
        <v>34</v>
      </c>
      <c r="J809" t="s" s="2">
        <v>22</v>
      </c>
      <c r="K809" t="s" s="2">
        <v>17</v>
      </c>
      <c r="L809" s="3">
        <v>0</v>
      </c>
      <c r="M809" t="s" s="2">
        <v>18</v>
      </c>
      <c r="N809" t="s" s="2">
        <v>19</v>
      </c>
      <c r="O809" s="3">
        <v>46</v>
      </c>
      <c r="P809" t="str" s="8" cm="1">
        <f t="array" ref="P809">IF(O809="","check","Okay")</f>
        <v>Okay</v>
      </c>
      <c r="Q809" t="str" s="8" cm="1">
        <f t="array" ref="Q809">IF(O809&lt;30,"UNDER 30",IF(O809&lt;=50,"30-50","Over 50"))</f>
        <v>30-50</v>
      </c>
      <c r="R809" t="s" s="2">
        <v>17</v>
      </c>
      <c r="S809" s="3" cm="1">
        <f t="array" ref="S809">COUNTIF(A2:A1001,A809)</f>
        <v>1</v>
      </c>
      <c r="T809" t="str" s="8" cm="1">
        <f t="array" ref="T809">IF(ISNUMBER(F809),"Ok","check")</f>
        <v>Ok</v>
      </c>
      <c r="U809" t="str" s="8" cm="1">
        <f t="array" ref="U809">IF(ISNUMBER(O809),"ok","check")</f>
        <v>ok</v>
      </c>
    </row>
    <row r="810" ht="13.55" customHeight="1">
      <c r="A810" s="3">
        <v>12610</v>
      </c>
      <c r="B810" t="s" s="2">
        <v>13</v>
      </c>
      <c r="C810" t="str" s="8" cm="1">
        <f t="array" ref="C810">IF(B810="M","Married","Single")</f>
        <v>Married</v>
      </c>
      <c r="D810" t="s" s="2">
        <v>14</v>
      </c>
      <c r="E810" t="str" s="8" cm="1">
        <f t="array" ref="E810">IF(D810="M","Male",IF(D810="F","Female","Check"))</f>
        <v>Female</v>
      </c>
      <c r="F810" s="4">
        <v>30000</v>
      </c>
      <c r="G810" t="str" s="8" cm="1">
        <f t="array" ref="G810">IF(F810="","Check","okay")</f>
        <v>okay</v>
      </c>
      <c r="H810" s="3">
        <v>1</v>
      </c>
      <c r="I810" t="s" s="2">
        <v>15</v>
      </c>
      <c r="J810" t="s" s="2">
        <v>22</v>
      </c>
      <c r="K810" t="s" s="2">
        <v>17</v>
      </c>
      <c r="L810" s="3">
        <v>0</v>
      </c>
      <c r="M810" t="s" s="2">
        <v>18</v>
      </c>
      <c r="N810" t="s" s="2">
        <v>19</v>
      </c>
      <c r="O810" s="3">
        <v>47</v>
      </c>
      <c r="P810" t="str" s="8" cm="1">
        <f t="array" ref="P810">IF(O810="","check","Okay")</f>
        <v>Okay</v>
      </c>
      <c r="Q810" t="str" s="8" cm="1">
        <f t="array" ref="Q810">IF(O810&lt;30,"UNDER 30",IF(O810&lt;=50,"30-50","Over 50"))</f>
        <v>30-50</v>
      </c>
      <c r="R810" t="s" s="2">
        <v>20</v>
      </c>
      <c r="S810" s="3" cm="1">
        <f t="array" ref="S810">COUNTIF(A2:A1001,A810)</f>
        <v>1</v>
      </c>
      <c r="T810" t="str" s="8" cm="1">
        <f t="array" ref="T810">IF(ISNUMBER(F810),"Ok","check")</f>
        <v>Ok</v>
      </c>
      <c r="U810" t="str" s="8" cm="1">
        <f t="array" ref="U810">IF(ISNUMBER(O810),"ok","check")</f>
        <v>ok</v>
      </c>
    </row>
    <row r="811" ht="13.55" customHeight="1">
      <c r="A811" s="3">
        <v>15665</v>
      </c>
      <c r="B811" t="s" s="2">
        <v>13</v>
      </c>
      <c r="C811" t="str" s="8" cm="1">
        <f t="array" ref="C811">IF(B811="M","Married","Single")</f>
        <v>Married</v>
      </c>
      <c r="D811" t="s" s="2">
        <v>14</v>
      </c>
      <c r="E811" t="str" s="8" cm="1">
        <f t="array" ref="E811">IF(D811="M","Male",IF(D811="F","Female","Check"))</f>
        <v>Female</v>
      </c>
      <c r="F811" s="4">
        <v>30000</v>
      </c>
      <c r="G811" t="str" s="8" cm="1">
        <f t="array" ref="G811">IF(F811="","Check","okay")</f>
        <v>okay</v>
      </c>
      <c r="H811" s="3">
        <v>0</v>
      </c>
      <c r="I811" t="s" s="2">
        <v>15</v>
      </c>
      <c r="J811" t="s" s="2">
        <v>22</v>
      </c>
      <c r="K811" t="s" s="2">
        <v>17</v>
      </c>
      <c r="L811" s="3">
        <v>0</v>
      </c>
      <c r="M811" t="s" s="2">
        <v>18</v>
      </c>
      <c r="N811" t="s" s="2">
        <v>19</v>
      </c>
      <c r="O811" s="3">
        <v>47</v>
      </c>
      <c r="P811" t="str" s="8" cm="1">
        <f t="array" ref="P811">IF(O811="","check","Okay")</f>
        <v>Okay</v>
      </c>
      <c r="Q811" t="str" s="8" cm="1">
        <f t="array" ref="Q811">IF(O811&lt;30,"UNDER 30",IF(O811&lt;=50,"30-50","Over 50"))</f>
        <v>30-50</v>
      </c>
      <c r="R811" t="s" s="2">
        <v>17</v>
      </c>
      <c r="S811" s="3" cm="1">
        <f t="array" ref="S811">COUNTIF(A2:A1001,A811)</f>
        <v>1</v>
      </c>
      <c r="T811" t="str" s="8" cm="1">
        <f t="array" ref="T811">IF(ISNUMBER(F811),"Ok","check")</f>
        <v>Ok</v>
      </c>
      <c r="U811" t="str" s="8" cm="1">
        <f t="array" ref="U811">IF(ISNUMBER(O811),"ok","check")</f>
        <v>ok</v>
      </c>
    </row>
    <row r="812" ht="13.55" customHeight="1">
      <c r="A812" s="3">
        <v>16549</v>
      </c>
      <c r="B812" t="s" s="2">
        <v>25</v>
      </c>
      <c r="C812" t="str" s="8" cm="1">
        <f t="array" ref="C812">IF(B812="M","Married","Single")</f>
        <v>Single</v>
      </c>
      <c r="D812" t="s" s="2">
        <v>14</v>
      </c>
      <c r="E812" t="str" s="8" cm="1">
        <f t="array" ref="E812">IF(D812="M","Male",IF(D812="F","Female","Check"))</f>
        <v>Female</v>
      </c>
      <c r="F812" s="4">
        <v>30000</v>
      </c>
      <c r="G812" t="str" s="8" cm="1">
        <f t="array" ref="G812">IF(F812="","Check","okay")</f>
        <v>okay</v>
      </c>
      <c r="H812" s="3">
        <v>3</v>
      </c>
      <c r="I812" t="s" s="2">
        <v>15</v>
      </c>
      <c r="J812" t="s" s="2">
        <v>22</v>
      </c>
      <c r="K812" t="s" s="2">
        <v>17</v>
      </c>
      <c r="L812" s="3">
        <v>0</v>
      </c>
      <c r="M812" t="s" s="2">
        <v>18</v>
      </c>
      <c r="N812" t="s" s="2">
        <v>19</v>
      </c>
      <c r="O812" s="3">
        <v>47</v>
      </c>
      <c r="P812" t="str" s="8" cm="1">
        <f t="array" ref="P812">IF(O812="","check","Okay")</f>
        <v>Okay</v>
      </c>
      <c r="Q812" t="str" s="8" cm="1">
        <f t="array" ref="Q812">IF(O812&lt;30,"UNDER 30",IF(O812&lt;=50,"30-50","Over 50"))</f>
        <v>30-50</v>
      </c>
      <c r="R812" t="s" s="2">
        <v>17</v>
      </c>
      <c r="S812" s="3" cm="1">
        <f t="array" ref="S812">COUNTIF(A2:A1001,A812)</f>
        <v>1</v>
      </c>
      <c r="T812" t="str" s="8" cm="1">
        <f t="array" ref="T812">IF(ISNUMBER(F812),"Ok","check")</f>
        <v>Ok</v>
      </c>
      <c r="U812" t="str" s="8" cm="1">
        <f t="array" ref="U812">IF(ISNUMBER(O812),"ok","check")</f>
        <v>ok</v>
      </c>
    </row>
    <row r="813" ht="13.55" customHeight="1">
      <c r="A813" s="3">
        <v>20839</v>
      </c>
      <c r="B813" t="s" s="2">
        <v>25</v>
      </c>
      <c r="C813" t="str" s="8" cm="1">
        <f t="array" ref="C813">IF(B813="M","Married","Single")</f>
        <v>Single</v>
      </c>
      <c r="D813" t="s" s="2">
        <v>14</v>
      </c>
      <c r="E813" t="str" s="8" cm="1">
        <f t="array" ref="E813">IF(D813="M","Male",IF(D813="F","Female","Check"))</f>
        <v>Female</v>
      </c>
      <c r="F813" s="4">
        <v>30000</v>
      </c>
      <c r="G813" t="str" s="8" cm="1">
        <f t="array" ref="G813">IF(F813="","Check","okay")</f>
        <v>okay</v>
      </c>
      <c r="H813" s="3">
        <v>3</v>
      </c>
      <c r="I813" t="s" s="2">
        <v>34</v>
      </c>
      <c r="J813" t="s" s="2">
        <v>22</v>
      </c>
      <c r="K813" t="s" s="2">
        <v>17</v>
      </c>
      <c r="L813" s="3">
        <v>0</v>
      </c>
      <c r="M813" t="s" s="2">
        <v>18</v>
      </c>
      <c r="N813" t="s" s="2">
        <v>19</v>
      </c>
      <c r="O813" s="3">
        <v>47</v>
      </c>
      <c r="P813" t="str" s="8" cm="1">
        <f t="array" ref="P813">IF(O813="","check","Okay")</f>
        <v>Okay</v>
      </c>
      <c r="Q813" t="str" s="8" cm="1">
        <f t="array" ref="Q813">IF(O813&lt;30,"UNDER 30",IF(O813&lt;=50,"30-50","Over 50"))</f>
        <v>30-50</v>
      </c>
      <c r="R813" t="s" s="2">
        <v>17</v>
      </c>
      <c r="S813" s="3" cm="1">
        <f t="array" ref="S813">COUNTIF(A2:A1001,A813)</f>
        <v>1</v>
      </c>
      <c r="T813" t="str" s="8" cm="1">
        <f t="array" ref="T813">IF(ISNUMBER(F813),"Ok","check")</f>
        <v>Ok</v>
      </c>
      <c r="U813" t="str" s="8" cm="1">
        <f t="array" ref="U813">IF(ISNUMBER(O813),"ok","check")</f>
        <v>ok</v>
      </c>
    </row>
    <row r="814" ht="13.55" customHeight="1">
      <c r="A814" s="3">
        <v>12273</v>
      </c>
      <c r="B814" t="s" s="2">
        <v>13</v>
      </c>
      <c r="C814" t="str" s="8" cm="1">
        <f t="array" ref="C814">IF(B814="M","Married","Single")</f>
        <v>Married</v>
      </c>
      <c r="D814" t="s" s="2">
        <v>13</v>
      </c>
      <c r="E814" t="str" s="8" cm="1">
        <f t="array" ref="E814">IF(D814="M","Male",IF(D814="F","Female","Check"))</f>
        <v>Male</v>
      </c>
      <c r="F814" s="4">
        <v>30000</v>
      </c>
      <c r="G814" t="str" s="8" cm="1">
        <f t="array" ref="G814">IF(F814="","Check","okay")</f>
        <v>okay</v>
      </c>
      <c r="H814" s="3">
        <v>1</v>
      </c>
      <c r="I814" t="s" s="2">
        <v>15</v>
      </c>
      <c r="J814" t="s" s="2">
        <v>22</v>
      </c>
      <c r="K814" t="s" s="2">
        <v>17</v>
      </c>
      <c r="L814" s="3">
        <v>0</v>
      </c>
      <c r="M814" t="s" s="2">
        <v>18</v>
      </c>
      <c r="N814" t="s" s="2">
        <v>19</v>
      </c>
      <c r="O814" s="3">
        <v>47</v>
      </c>
      <c r="P814" t="str" s="8" cm="1">
        <f t="array" ref="P814">IF(O814="","check","Okay")</f>
        <v>Okay</v>
      </c>
      <c r="Q814" t="str" s="8" cm="1">
        <f t="array" ref="Q814">IF(O814&lt;30,"UNDER 30",IF(O814&lt;=50,"30-50","Over 50"))</f>
        <v>30-50</v>
      </c>
      <c r="R814" t="s" s="2">
        <v>20</v>
      </c>
      <c r="S814" s="3" cm="1">
        <f t="array" ref="S814">COUNTIF(A2:A1001,A814)</f>
        <v>1</v>
      </c>
      <c r="T814" t="str" s="8" cm="1">
        <f t="array" ref="T814">IF(ISNUMBER(F814),"Ok","check")</f>
        <v>Ok</v>
      </c>
      <c r="U814" t="str" s="8" cm="1">
        <f t="array" ref="U814">IF(ISNUMBER(O814),"ok","check")</f>
        <v>ok</v>
      </c>
    </row>
    <row r="815" ht="13.55" customHeight="1">
      <c r="A815" s="3">
        <v>26941</v>
      </c>
      <c r="B815" t="s" s="2">
        <v>13</v>
      </c>
      <c r="C815" t="str" s="8" cm="1">
        <f t="array" ref="C815">IF(B815="M","Married","Single")</f>
        <v>Married</v>
      </c>
      <c r="D815" t="s" s="2">
        <v>13</v>
      </c>
      <c r="E815" t="str" s="8" cm="1">
        <f t="array" ref="E815">IF(D815="M","Male",IF(D815="F","Female","Check"))</f>
        <v>Male</v>
      </c>
      <c r="F815" s="4">
        <v>30000</v>
      </c>
      <c r="G815" t="str" s="8" cm="1">
        <f t="array" ref="G815">IF(F815="","Check","okay")</f>
        <v>okay</v>
      </c>
      <c r="H815" s="3">
        <v>0</v>
      </c>
      <c r="I815" t="s" s="2">
        <v>15</v>
      </c>
      <c r="J815" t="s" s="2">
        <v>22</v>
      </c>
      <c r="K815" t="s" s="2">
        <v>17</v>
      </c>
      <c r="L815" s="3">
        <v>0</v>
      </c>
      <c r="M815" t="s" s="2">
        <v>18</v>
      </c>
      <c r="N815" t="s" s="2">
        <v>19</v>
      </c>
      <c r="O815" s="3">
        <v>47</v>
      </c>
      <c r="P815" t="str" s="8" cm="1">
        <f t="array" ref="P815">IF(O815="","check","Okay")</f>
        <v>Okay</v>
      </c>
      <c r="Q815" t="str" s="8" cm="1">
        <f t="array" ref="Q815">IF(O815&lt;30,"UNDER 30",IF(O815&lt;=50,"30-50","Over 50"))</f>
        <v>30-50</v>
      </c>
      <c r="R815" t="s" s="2">
        <v>17</v>
      </c>
      <c r="S815" s="3" cm="1">
        <f t="array" ref="S815">COUNTIF(A2:A1001,A815)</f>
        <v>1</v>
      </c>
      <c r="T815" t="str" s="8" cm="1">
        <f t="array" ref="T815">IF(ISNUMBER(F815),"Ok","check")</f>
        <v>Ok</v>
      </c>
      <c r="U815" t="str" s="8" cm="1">
        <f t="array" ref="U815">IF(ISNUMBER(O815),"ok","check")</f>
        <v>ok</v>
      </c>
    </row>
    <row r="816" ht="13.55" customHeight="1">
      <c r="A816" s="3">
        <v>19223</v>
      </c>
      <c r="B816" t="s" s="2">
        <v>13</v>
      </c>
      <c r="C816" t="str" s="8" cm="1">
        <f t="array" ref="C816">IF(B816="M","Married","Single")</f>
        <v>Married</v>
      </c>
      <c r="D816" t="s" s="2">
        <v>14</v>
      </c>
      <c r="E816" t="str" s="8" cm="1">
        <f t="array" ref="E816">IF(D816="M","Male",IF(D816="F","Female","Check"))</f>
        <v>Female</v>
      </c>
      <c r="F816" s="4">
        <v>30000</v>
      </c>
      <c r="G816" t="str" s="8" cm="1">
        <f t="array" ref="G816">IF(F816="","Check","okay")</f>
        <v>okay</v>
      </c>
      <c r="H816" s="3">
        <v>2</v>
      </c>
      <c r="I816" t="s" s="2">
        <v>30</v>
      </c>
      <c r="J816" t="s" s="2">
        <v>16</v>
      </c>
      <c r="K816" t="s" s="2">
        <v>17</v>
      </c>
      <c r="L816" s="3">
        <v>2</v>
      </c>
      <c r="M816" t="s" s="2">
        <v>29</v>
      </c>
      <c r="N816" t="s" s="2">
        <v>35</v>
      </c>
      <c r="O816" s="3">
        <v>48</v>
      </c>
      <c r="P816" t="str" s="8" cm="1">
        <f t="array" ref="P816">IF(O816="","check","Okay")</f>
        <v>Okay</v>
      </c>
      <c r="Q816" t="str" s="8" cm="1">
        <f t="array" ref="Q816">IF(O816&lt;30,"UNDER 30",IF(O816&lt;=50,"30-50","Over 50"))</f>
        <v>30-50</v>
      </c>
      <c r="R816" t="s" s="2">
        <v>20</v>
      </c>
      <c r="S816" s="3" cm="1">
        <f t="array" ref="S816">COUNTIF(A2:A1001,A816)</f>
        <v>1</v>
      </c>
      <c r="T816" t="str" s="8" cm="1">
        <f t="array" ref="T816">IF(ISNUMBER(F816),"Ok","check")</f>
        <v>Ok</v>
      </c>
      <c r="U816" t="str" s="8" cm="1">
        <f t="array" ref="U816">IF(ISNUMBER(O816),"ok","check")</f>
        <v>ok</v>
      </c>
    </row>
    <row r="817" ht="13.55" customHeight="1">
      <c r="A817" s="3">
        <v>24745</v>
      </c>
      <c r="B817" t="s" s="2">
        <v>25</v>
      </c>
      <c r="C817" t="str" s="8" cm="1">
        <f t="array" ref="C817">IF(B817="M","Married","Single")</f>
        <v>Single</v>
      </c>
      <c r="D817" t="s" s="2">
        <v>14</v>
      </c>
      <c r="E817" t="str" s="8" cm="1">
        <f t="array" ref="E817">IF(D817="M","Male",IF(D817="F","Female","Check"))</f>
        <v>Female</v>
      </c>
      <c r="F817" s="4">
        <v>30000</v>
      </c>
      <c r="G817" t="str" s="8" cm="1">
        <f t="array" ref="G817">IF(F817="","Check","okay")</f>
        <v>okay</v>
      </c>
      <c r="H817" s="3">
        <v>2</v>
      </c>
      <c r="I817" t="s" s="2">
        <v>30</v>
      </c>
      <c r="J817" t="s" s="2">
        <v>16</v>
      </c>
      <c r="K817" t="s" s="2">
        <v>20</v>
      </c>
      <c r="L817" s="3">
        <v>2</v>
      </c>
      <c r="M817" t="s" s="2">
        <v>18</v>
      </c>
      <c r="N817" t="s" s="2">
        <v>35</v>
      </c>
      <c r="O817" s="3">
        <v>49</v>
      </c>
      <c r="P817" t="str" s="8" cm="1">
        <f t="array" ref="P817">IF(O817="","check","Okay")</f>
        <v>Okay</v>
      </c>
      <c r="Q817" t="str" s="8" cm="1">
        <f t="array" ref="Q817">IF(O817&lt;30,"UNDER 30",IF(O817&lt;=50,"30-50","Over 50"))</f>
        <v>30-50</v>
      </c>
      <c r="R817" t="s" s="2">
        <v>20</v>
      </c>
      <c r="S817" s="3" cm="1">
        <f t="array" ref="S817">COUNTIF(A2:A1001,A817)</f>
        <v>1</v>
      </c>
      <c r="T817" t="str" s="8" cm="1">
        <f t="array" ref="T817">IF(ISNUMBER(F817),"Ok","check")</f>
        <v>Ok</v>
      </c>
      <c r="U817" t="str" s="8" cm="1">
        <f t="array" ref="U817">IF(ISNUMBER(O817),"ok","check")</f>
        <v>ok</v>
      </c>
    </row>
    <row r="818" ht="13.55" customHeight="1">
      <c r="A818" s="3">
        <v>19217</v>
      </c>
      <c r="B818" t="s" s="2">
        <v>13</v>
      </c>
      <c r="C818" t="str" s="8" cm="1">
        <f t="array" ref="C818">IF(B818="M","Married","Single")</f>
        <v>Married</v>
      </c>
      <c r="D818" t="s" s="2">
        <v>13</v>
      </c>
      <c r="E818" t="str" s="8" cm="1">
        <f t="array" ref="E818">IF(D818="M","Male",IF(D818="F","Female","Check"))</f>
        <v>Male</v>
      </c>
      <c r="F818" s="4">
        <v>30000</v>
      </c>
      <c r="G818" t="str" s="8" cm="1">
        <f t="array" ref="G818">IF(F818="","Check","okay")</f>
        <v>okay</v>
      </c>
      <c r="H818" s="3">
        <v>2</v>
      </c>
      <c r="I818" t="s" s="2">
        <v>30</v>
      </c>
      <c r="J818" t="s" s="2">
        <v>16</v>
      </c>
      <c r="K818" t="s" s="2">
        <v>17</v>
      </c>
      <c r="L818" s="3">
        <v>2</v>
      </c>
      <c r="M818" t="s" s="2">
        <v>29</v>
      </c>
      <c r="N818" t="s" s="2">
        <v>35</v>
      </c>
      <c r="O818" s="3">
        <v>49</v>
      </c>
      <c r="P818" t="str" s="8" cm="1">
        <f t="array" ref="P818">IF(O818="","check","Okay")</f>
        <v>Okay</v>
      </c>
      <c r="Q818" t="str" s="8" cm="1">
        <f t="array" ref="Q818">IF(O818&lt;30,"UNDER 30",IF(O818&lt;=50,"30-50","Over 50"))</f>
        <v>30-50</v>
      </c>
      <c r="R818" t="s" s="2">
        <v>20</v>
      </c>
      <c r="S818" s="3" cm="1">
        <f t="array" ref="S818">COUNTIF(A2:A1001,A818)</f>
        <v>1</v>
      </c>
      <c r="T818" t="str" s="8" cm="1">
        <f t="array" ref="T818">IF(ISNUMBER(F818),"Ok","check")</f>
        <v>Ok</v>
      </c>
      <c r="U818" t="str" s="8" cm="1">
        <f t="array" ref="U818">IF(ISNUMBER(O818),"ok","check")</f>
        <v>ok</v>
      </c>
    </row>
    <row r="819" ht="13.55" customHeight="1">
      <c r="A819" s="3">
        <v>23275</v>
      </c>
      <c r="B819" t="s" s="2">
        <v>13</v>
      </c>
      <c r="C819" t="str" s="8" cm="1">
        <f t="array" ref="C819">IF(B819="M","Married","Single")</f>
        <v>Married</v>
      </c>
      <c r="D819" t="s" s="2">
        <v>13</v>
      </c>
      <c r="E819" t="str" s="8" cm="1">
        <f t="array" ref="E819">IF(D819="M","Male",IF(D819="F","Female","Check"))</f>
        <v>Male</v>
      </c>
      <c r="F819" s="4">
        <v>30000</v>
      </c>
      <c r="G819" t="str" s="8" cm="1">
        <f t="array" ref="G819">IF(F819="","Check","okay")</f>
        <v>okay</v>
      </c>
      <c r="H819" s="3">
        <v>2</v>
      </c>
      <c r="I819" t="s" s="2">
        <v>30</v>
      </c>
      <c r="J819" t="s" s="2">
        <v>16</v>
      </c>
      <c r="K819" t="s" s="2">
        <v>17</v>
      </c>
      <c r="L819" s="3">
        <v>2</v>
      </c>
      <c r="M819" t="s" s="2">
        <v>29</v>
      </c>
      <c r="N819" t="s" s="2">
        <v>35</v>
      </c>
      <c r="O819" s="3">
        <v>49</v>
      </c>
      <c r="P819" t="str" s="8" cm="1">
        <f t="array" ref="P819">IF(O819="","check","Okay")</f>
        <v>Okay</v>
      </c>
      <c r="Q819" t="str" s="8" cm="1">
        <f t="array" ref="Q819">IF(O819&lt;30,"UNDER 30",IF(O819&lt;=50,"30-50","Over 50"))</f>
        <v>30-50</v>
      </c>
      <c r="R819" t="s" s="2">
        <v>20</v>
      </c>
      <c r="S819" s="3" cm="1">
        <f t="array" ref="S819">COUNTIF(A2:A1001,A819)</f>
        <v>1</v>
      </c>
      <c r="T819" t="str" s="8" cm="1">
        <f t="array" ref="T819">IF(ISNUMBER(F819),"Ok","check")</f>
        <v>Ok</v>
      </c>
      <c r="U819" t="str" s="8" cm="1">
        <f t="array" ref="U819">IF(ISNUMBER(O819),"ok","check")</f>
        <v>ok</v>
      </c>
    </row>
    <row r="820" ht="13.55" customHeight="1">
      <c r="A820" s="3">
        <v>28609</v>
      </c>
      <c r="B820" t="s" s="2">
        <v>13</v>
      </c>
      <c r="C820" t="str" s="8" cm="1">
        <f t="array" ref="C820">IF(B820="M","Married","Single")</f>
        <v>Married</v>
      </c>
      <c r="D820" t="s" s="2">
        <v>13</v>
      </c>
      <c r="E820" t="str" s="8" cm="1">
        <f t="array" ref="E820">IF(D820="M","Male",IF(D820="F","Female","Check"))</f>
        <v>Male</v>
      </c>
      <c r="F820" s="4">
        <v>30000</v>
      </c>
      <c r="G820" t="str" s="8" cm="1">
        <f t="array" ref="G820">IF(F820="","Check","okay")</f>
        <v>okay</v>
      </c>
      <c r="H820" s="3">
        <v>2</v>
      </c>
      <c r="I820" t="s" s="2">
        <v>30</v>
      </c>
      <c r="J820" t="s" s="2">
        <v>16</v>
      </c>
      <c r="K820" t="s" s="2">
        <v>20</v>
      </c>
      <c r="L820" s="3">
        <v>2</v>
      </c>
      <c r="M820" t="s" s="2">
        <v>18</v>
      </c>
      <c r="N820" t="s" s="2">
        <v>35</v>
      </c>
      <c r="O820" s="3">
        <v>49</v>
      </c>
      <c r="P820" t="str" s="8" cm="1">
        <f t="array" ref="P820">IF(O820="","check","Okay")</f>
        <v>Okay</v>
      </c>
      <c r="Q820" t="str" s="8" cm="1">
        <f t="array" ref="Q820">IF(O820&lt;30,"UNDER 30",IF(O820&lt;=50,"30-50","Over 50"))</f>
        <v>30-50</v>
      </c>
      <c r="R820" t="s" s="2">
        <v>20</v>
      </c>
      <c r="S820" s="3" cm="1">
        <f t="array" ref="S820">COUNTIF(A2:A1001,A820)</f>
        <v>1</v>
      </c>
      <c r="T820" t="str" s="8" cm="1">
        <f t="array" ref="T820">IF(ISNUMBER(F820),"Ok","check")</f>
        <v>Ok</v>
      </c>
      <c r="U820" t="str" s="8" cm="1">
        <f t="array" ref="U820">IF(ISNUMBER(O820),"ok","check")</f>
        <v>ok</v>
      </c>
    </row>
    <row r="821" ht="13.55" customHeight="1">
      <c r="A821" s="3">
        <v>20758</v>
      </c>
      <c r="B821" t="s" s="2">
        <v>13</v>
      </c>
      <c r="C821" t="str" s="8" cm="1">
        <f t="array" ref="C821">IF(B821="M","Married","Single")</f>
        <v>Married</v>
      </c>
      <c r="D821" t="s" s="2">
        <v>13</v>
      </c>
      <c r="E821" t="str" s="8" cm="1">
        <f t="array" ref="E821">IF(D821="M","Male",IF(D821="F","Female","Check"))</f>
        <v>Male</v>
      </c>
      <c r="F821" s="4">
        <v>30000</v>
      </c>
      <c r="G821" t="str" s="8" cm="1">
        <f t="array" ref="G821">IF(F821="","Check","okay")</f>
        <v>okay</v>
      </c>
      <c r="H821" s="3">
        <v>2</v>
      </c>
      <c r="I821" t="s" s="2">
        <v>30</v>
      </c>
      <c r="J821" t="s" s="2">
        <v>16</v>
      </c>
      <c r="K821" t="s" s="2">
        <v>17</v>
      </c>
      <c r="L821" s="3">
        <v>2</v>
      </c>
      <c r="M821" t="s" s="2">
        <v>29</v>
      </c>
      <c r="N821" t="s" s="2">
        <v>35</v>
      </c>
      <c r="O821" s="3">
        <v>50</v>
      </c>
      <c r="P821" t="str" s="8" cm="1">
        <f t="array" ref="P821">IF(O821="","check","Okay")</f>
        <v>Okay</v>
      </c>
      <c r="Q821" t="str" s="8" cm="1">
        <f t="array" ref="Q821">IF(O821&lt;30,"UNDER 30",IF(O821&lt;=50,"30-50","Over 50"))</f>
        <v>30-50</v>
      </c>
      <c r="R821" t="s" s="2">
        <v>20</v>
      </c>
      <c r="S821" s="3" cm="1">
        <f t="array" ref="S821">COUNTIF(A2:A1001,A821)</f>
        <v>1</v>
      </c>
      <c r="T821" t="str" s="8" cm="1">
        <f t="array" ref="T821">IF(ISNUMBER(F821),"Ok","check")</f>
        <v>Ok</v>
      </c>
      <c r="U821" t="str" s="8" cm="1">
        <f t="array" ref="U821">IF(ISNUMBER(O821),"ok","check")</f>
        <v>ok</v>
      </c>
    </row>
    <row r="822" ht="13.55" customHeight="1">
      <c r="A822" s="3">
        <v>17668</v>
      </c>
      <c r="B822" t="s" s="2">
        <v>25</v>
      </c>
      <c r="C822" t="str" s="8" cm="1">
        <f t="array" ref="C822">IF(B822="M","Married","Single")</f>
        <v>Single</v>
      </c>
      <c r="D822" t="s" s="2">
        <v>13</v>
      </c>
      <c r="E822" t="str" s="8" cm="1">
        <f t="array" ref="E822">IF(D822="M","Male",IF(D822="F","Female","Check"))</f>
        <v>Male</v>
      </c>
      <c r="F822" s="4">
        <v>30000</v>
      </c>
      <c r="G822" t="str" s="8" cm="1">
        <f t="array" ref="G822">IF(F822="","Check","okay")</f>
        <v>okay</v>
      </c>
      <c r="H822" s="3">
        <v>2</v>
      </c>
      <c r="I822" t="s" s="2">
        <v>30</v>
      </c>
      <c r="J822" t="s" s="2">
        <v>16</v>
      </c>
      <c r="K822" t="s" s="2">
        <v>17</v>
      </c>
      <c r="L822" s="3">
        <v>2</v>
      </c>
      <c r="M822" t="s" s="2">
        <v>29</v>
      </c>
      <c r="N822" t="s" s="2">
        <v>35</v>
      </c>
      <c r="O822" s="3">
        <v>50</v>
      </c>
      <c r="P822" t="str" s="8" cm="1">
        <f t="array" ref="P822">IF(O822="","check","Okay")</f>
        <v>Okay</v>
      </c>
      <c r="Q822" t="str" s="8" cm="1">
        <f t="array" ref="Q822">IF(O822&lt;30,"UNDER 30",IF(O822&lt;=50,"30-50","Over 50"))</f>
        <v>30-50</v>
      </c>
      <c r="R822" t="s" s="2">
        <v>17</v>
      </c>
      <c r="S822" s="3" cm="1">
        <f t="array" ref="S822">COUNTIF(A2:A1001,A822)</f>
        <v>1</v>
      </c>
      <c r="T822" t="str" s="8" cm="1">
        <f t="array" ref="T822">IF(ISNUMBER(F822),"Ok","check")</f>
        <v>Ok</v>
      </c>
      <c r="U822" t="str" s="8" cm="1">
        <f t="array" ref="U822">IF(ISNUMBER(O822),"ok","check")</f>
        <v>ok</v>
      </c>
    </row>
    <row r="823" ht="13.55" customHeight="1">
      <c r="A823" s="3">
        <v>20754</v>
      </c>
      <c r="B823" t="s" s="2">
        <v>13</v>
      </c>
      <c r="C823" t="str" s="8" cm="1">
        <f t="array" ref="C823">IF(B823="M","Married","Single")</f>
        <v>Married</v>
      </c>
      <c r="D823" t="s" s="2">
        <v>13</v>
      </c>
      <c r="E823" t="str" s="8" cm="1">
        <f t="array" ref="E823">IF(D823="M","Male",IF(D823="F","Female","Check"))</f>
        <v>Male</v>
      </c>
      <c r="F823" s="4">
        <v>30000</v>
      </c>
      <c r="G823" t="str" s="8" cm="1">
        <f t="array" ref="G823">IF(F823="","Check","okay")</f>
        <v>okay</v>
      </c>
      <c r="H823" s="3">
        <v>2</v>
      </c>
      <c r="I823" t="s" s="2">
        <v>30</v>
      </c>
      <c r="J823" t="s" s="2">
        <v>16</v>
      </c>
      <c r="K823" t="s" s="2">
        <v>17</v>
      </c>
      <c r="L823" s="3">
        <v>2</v>
      </c>
      <c r="M823" t="s" s="2">
        <v>29</v>
      </c>
      <c r="N823" t="s" s="2">
        <v>35</v>
      </c>
      <c r="O823" s="3">
        <v>51</v>
      </c>
      <c r="P823" t="str" s="8" cm="1">
        <f t="array" ref="P823">IF(O823="","check","Okay")</f>
        <v>Okay</v>
      </c>
      <c r="Q823" t="str" s="8" cm="1">
        <f t="array" ref="Q823">IF(O823&lt;30,"UNDER 30",IF(O823&lt;=50,"30-50","Over 50"))</f>
        <v>Over 50</v>
      </c>
      <c r="R823" t="s" s="2">
        <v>20</v>
      </c>
      <c r="S823" s="3" cm="1">
        <f t="array" ref="S823">COUNTIF(A2:A1001,A823)</f>
        <v>1</v>
      </c>
      <c r="T823" t="str" s="8" cm="1">
        <f t="array" ref="T823">IF(ISNUMBER(F823),"Ok","check")</f>
        <v>Ok</v>
      </c>
      <c r="U823" t="str" s="8" cm="1">
        <f t="array" ref="U823">IF(ISNUMBER(O823),"ok","check")</f>
        <v>ok</v>
      </c>
    </row>
    <row r="824" ht="13.55" customHeight="1">
      <c r="A824" s="3">
        <v>18649</v>
      </c>
      <c r="B824" t="s" s="2">
        <v>25</v>
      </c>
      <c r="C824" t="str" s="8" cm="1">
        <f t="array" ref="C824">IF(B824="M","Married","Single")</f>
        <v>Single</v>
      </c>
      <c r="D824" t="s" s="2">
        <v>13</v>
      </c>
      <c r="E824" t="str" s="8" cm="1">
        <f t="array" ref="E824">IF(D824="M","Male",IF(D824="F","Female","Check"))</f>
        <v>Male</v>
      </c>
      <c r="F824" s="4">
        <v>30000</v>
      </c>
      <c r="G824" t="str" s="8" cm="1">
        <f t="array" ref="G824">IF(F824="","Check","okay")</f>
        <v>okay</v>
      </c>
      <c r="H824" s="3">
        <v>1</v>
      </c>
      <c r="I824" t="s" s="2">
        <v>30</v>
      </c>
      <c r="J824" t="s" s="2">
        <v>22</v>
      </c>
      <c r="K824" t="s" s="2">
        <v>17</v>
      </c>
      <c r="L824" s="3">
        <v>2</v>
      </c>
      <c r="M824" t="s" s="2">
        <v>29</v>
      </c>
      <c r="N824" t="s" s="2">
        <v>35</v>
      </c>
      <c r="O824" s="3">
        <v>51</v>
      </c>
      <c r="P824" t="str" s="8" cm="1">
        <f t="array" ref="P824">IF(O824="","check","Okay")</f>
        <v>Okay</v>
      </c>
      <c r="Q824" t="str" s="8" cm="1">
        <f t="array" ref="Q824">IF(O824&lt;30,"UNDER 30",IF(O824&lt;=50,"30-50","Over 50"))</f>
        <v>Over 50</v>
      </c>
      <c r="R824" t="s" s="2">
        <v>17</v>
      </c>
      <c r="S824" s="3" cm="1">
        <f t="array" ref="S824">COUNTIF(A2:A1001,A824)</f>
        <v>1</v>
      </c>
      <c r="T824" t="str" s="8" cm="1">
        <f t="array" ref="T824">IF(ISNUMBER(F824),"Ok","check")</f>
        <v>Ok</v>
      </c>
      <c r="U824" t="str" s="8" cm="1">
        <f t="array" ref="U824">IF(ISNUMBER(O824),"ok","check")</f>
        <v>ok</v>
      </c>
    </row>
    <row r="825" ht="13.55" customHeight="1">
      <c r="A825" s="3">
        <v>14887</v>
      </c>
      <c r="B825" t="s" s="2">
        <v>13</v>
      </c>
      <c r="C825" t="str" s="8" cm="1">
        <f t="array" ref="C825">IF(B825="M","Married","Single")</f>
        <v>Married</v>
      </c>
      <c r="D825" t="s" s="2">
        <v>14</v>
      </c>
      <c r="E825" t="str" s="8" cm="1">
        <f t="array" ref="E825">IF(D825="M","Male",IF(D825="F","Female","Check"))</f>
        <v>Female</v>
      </c>
      <c r="F825" s="4">
        <v>30000</v>
      </c>
      <c r="G825" t="str" s="8" cm="1">
        <f t="array" ref="G825">IF(F825="","Check","okay")</f>
        <v>okay</v>
      </c>
      <c r="H825" s="3">
        <v>1</v>
      </c>
      <c r="I825" t="s" s="2">
        <v>30</v>
      </c>
      <c r="J825" t="s" s="2">
        <v>22</v>
      </c>
      <c r="K825" t="s" s="2">
        <v>17</v>
      </c>
      <c r="L825" s="3">
        <v>1</v>
      </c>
      <c r="M825" t="s" s="2">
        <v>26</v>
      </c>
      <c r="N825" t="s" s="2">
        <v>35</v>
      </c>
      <c r="O825" s="3">
        <v>52</v>
      </c>
      <c r="P825" t="str" s="8" cm="1">
        <f t="array" ref="P825">IF(O825="","check","Okay")</f>
        <v>Okay</v>
      </c>
      <c r="Q825" t="str" s="8" cm="1">
        <f t="array" ref="Q825">IF(O825&lt;30,"UNDER 30",IF(O825&lt;=50,"30-50","Over 50"))</f>
        <v>Over 50</v>
      </c>
      <c r="R825" t="s" s="2">
        <v>20</v>
      </c>
      <c r="S825" s="3" cm="1">
        <f t="array" ref="S825">COUNTIF(A2:A1001,A825)</f>
        <v>1</v>
      </c>
      <c r="T825" t="str" s="8" cm="1">
        <f t="array" ref="T825">IF(ISNUMBER(F825),"Ok","check")</f>
        <v>Ok</v>
      </c>
      <c r="U825" t="str" s="8" cm="1">
        <f t="array" ref="U825">IF(ISNUMBER(O825),"ok","check")</f>
        <v>ok</v>
      </c>
    </row>
    <row r="826" ht="13.55" customHeight="1">
      <c r="A826" s="3">
        <v>12768</v>
      </c>
      <c r="B826" t="s" s="2">
        <v>13</v>
      </c>
      <c r="C826" t="str" s="8" cm="1">
        <f t="array" ref="C826">IF(B826="M","Married","Single")</f>
        <v>Married</v>
      </c>
      <c r="D826" t="s" s="2">
        <v>13</v>
      </c>
      <c r="E826" t="str" s="8" cm="1">
        <f t="array" ref="E826">IF(D826="M","Male",IF(D826="F","Female","Check"))</f>
        <v>Male</v>
      </c>
      <c r="F826" s="4">
        <v>30000</v>
      </c>
      <c r="G826" t="str" s="8" cm="1">
        <f t="array" ref="G826">IF(F826="","Check","okay")</f>
        <v>okay</v>
      </c>
      <c r="H826" s="3">
        <v>1</v>
      </c>
      <c r="I826" t="s" s="2">
        <v>30</v>
      </c>
      <c r="J826" t="s" s="2">
        <v>22</v>
      </c>
      <c r="K826" t="s" s="2">
        <v>17</v>
      </c>
      <c r="L826" s="3">
        <v>1</v>
      </c>
      <c r="M826" t="s" s="2">
        <v>24</v>
      </c>
      <c r="N826" t="s" s="2">
        <v>35</v>
      </c>
      <c r="O826" s="3">
        <v>52</v>
      </c>
      <c r="P826" t="str" s="8" cm="1">
        <f t="array" ref="P826">IF(O826="","check","Okay")</f>
        <v>Okay</v>
      </c>
      <c r="Q826" t="str" s="8" cm="1">
        <f t="array" ref="Q826">IF(O826&lt;30,"UNDER 30",IF(O826&lt;=50,"30-50","Over 50"))</f>
        <v>Over 50</v>
      </c>
      <c r="R826" t="s" s="2">
        <v>17</v>
      </c>
      <c r="S826" s="3" cm="1">
        <f t="array" ref="S826">COUNTIF(A2:A1001,A826)</f>
        <v>1</v>
      </c>
      <c r="T826" t="str" s="8" cm="1">
        <f t="array" ref="T826">IF(ISNUMBER(F826),"Ok","check")</f>
        <v>Ok</v>
      </c>
      <c r="U826" t="str" s="8" cm="1">
        <f t="array" ref="U826">IF(ISNUMBER(O826),"ok","check")</f>
        <v>ok</v>
      </c>
    </row>
    <row r="827" ht="13.55" customHeight="1">
      <c r="A827" s="3">
        <v>23256</v>
      </c>
      <c r="B827" t="s" s="2">
        <v>25</v>
      </c>
      <c r="C827" t="str" s="8" cm="1">
        <f t="array" ref="C827">IF(B827="M","Married","Single")</f>
        <v>Single</v>
      </c>
      <c r="D827" t="s" s="2">
        <v>13</v>
      </c>
      <c r="E827" t="str" s="8" cm="1">
        <f t="array" ref="E827">IF(D827="M","Male",IF(D827="F","Female","Check"))</f>
        <v>Male</v>
      </c>
      <c r="F827" s="4">
        <v>30000</v>
      </c>
      <c r="G827" t="str" s="8" cm="1">
        <f t="array" ref="G827">IF(F827="","Check","okay")</f>
        <v>okay</v>
      </c>
      <c r="H827" s="3">
        <v>1</v>
      </c>
      <c r="I827" t="s" s="2">
        <v>30</v>
      </c>
      <c r="J827" t="s" s="2">
        <v>22</v>
      </c>
      <c r="K827" t="s" s="2">
        <v>20</v>
      </c>
      <c r="L827" s="3">
        <v>1</v>
      </c>
      <c r="M827" t="s" s="2">
        <v>26</v>
      </c>
      <c r="N827" t="s" s="2">
        <v>35</v>
      </c>
      <c r="O827" s="3">
        <v>52</v>
      </c>
      <c r="P827" t="str" s="8" cm="1">
        <f t="array" ref="P827">IF(O827="","check","Okay")</f>
        <v>Okay</v>
      </c>
      <c r="Q827" t="str" s="8" cm="1">
        <f t="array" ref="Q827">IF(O827&lt;30,"UNDER 30",IF(O827&lt;=50,"30-50","Over 50"))</f>
        <v>Over 50</v>
      </c>
      <c r="R827" t="s" s="2">
        <v>20</v>
      </c>
      <c r="S827" s="3" cm="1">
        <f t="array" ref="S827">COUNTIF(A2:A1001,A827)</f>
        <v>1</v>
      </c>
      <c r="T827" t="str" s="8" cm="1">
        <f t="array" ref="T827">IF(ISNUMBER(F827),"Ok","check")</f>
        <v>Ok</v>
      </c>
      <c r="U827" t="str" s="8" cm="1">
        <f t="array" ref="U827">IF(ISNUMBER(O827),"ok","check")</f>
        <v>ok</v>
      </c>
    </row>
    <row r="828" ht="13.55" customHeight="1">
      <c r="A828" s="3">
        <v>14883</v>
      </c>
      <c r="B828" t="s" s="2">
        <v>13</v>
      </c>
      <c r="C828" t="str" s="8" cm="1">
        <f t="array" ref="C828">IF(B828="M","Married","Single")</f>
        <v>Married</v>
      </c>
      <c r="D828" t="s" s="2">
        <v>14</v>
      </c>
      <c r="E828" t="str" s="8" cm="1">
        <f t="array" ref="E828">IF(D828="M","Male",IF(D828="F","Female","Check"))</f>
        <v>Female</v>
      </c>
      <c r="F828" s="4">
        <v>30000</v>
      </c>
      <c r="G828" t="str" s="8" cm="1">
        <f t="array" ref="G828">IF(F828="","Check","okay")</f>
        <v>okay</v>
      </c>
      <c r="H828" s="3">
        <v>1</v>
      </c>
      <c r="I828" t="s" s="2">
        <v>15</v>
      </c>
      <c r="J828" t="s" s="2">
        <v>16</v>
      </c>
      <c r="K828" t="s" s="2">
        <v>17</v>
      </c>
      <c r="L828" s="3">
        <v>1</v>
      </c>
      <c r="M828" t="s" s="2">
        <v>26</v>
      </c>
      <c r="N828" t="s" s="2">
        <v>35</v>
      </c>
      <c r="O828" s="3">
        <v>53</v>
      </c>
      <c r="P828" t="str" s="8" cm="1">
        <f t="array" ref="P828">IF(O828="","check","Okay")</f>
        <v>Okay</v>
      </c>
      <c r="Q828" t="str" s="8" cm="1">
        <f t="array" ref="Q828">IF(O828&lt;30,"UNDER 30",IF(O828&lt;=50,"30-50","Over 50"))</f>
        <v>Over 50</v>
      </c>
      <c r="R828" t="s" s="2">
        <v>17</v>
      </c>
      <c r="S828" s="3" cm="1">
        <f t="array" ref="S828">COUNTIF(A2:A1001,A828)</f>
        <v>1</v>
      </c>
      <c r="T828" t="str" s="8" cm="1">
        <f t="array" ref="T828">IF(ISNUMBER(F828),"Ok","check")</f>
        <v>Ok</v>
      </c>
      <c r="U828" t="str" s="8" cm="1">
        <f t="array" ref="U828">IF(ISNUMBER(O828),"ok","check")</f>
        <v>ok</v>
      </c>
    </row>
    <row r="829" ht="13.55" customHeight="1">
      <c r="A829" s="3">
        <v>22175</v>
      </c>
      <c r="B829" t="s" s="2">
        <v>13</v>
      </c>
      <c r="C829" t="str" s="8" cm="1">
        <f t="array" ref="C829">IF(B829="M","Married","Single")</f>
        <v>Married</v>
      </c>
      <c r="D829" t="s" s="2">
        <v>14</v>
      </c>
      <c r="E829" t="str" s="8" cm="1">
        <f t="array" ref="E829">IF(D829="M","Male",IF(D829="F","Female","Check"))</f>
        <v>Female</v>
      </c>
      <c r="F829" s="4">
        <v>30000</v>
      </c>
      <c r="G829" t="str" s="8" cm="1">
        <f t="array" ref="G829">IF(F829="","Check","okay")</f>
        <v>okay</v>
      </c>
      <c r="H829" s="3">
        <v>3</v>
      </c>
      <c r="I829" t="s" s="2">
        <v>30</v>
      </c>
      <c r="J829" t="s" s="2">
        <v>16</v>
      </c>
      <c r="K829" t="s" s="2">
        <v>17</v>
      </c>
      <c r="L829" s="3">
        <v>2</v>
      </c>
      <c r="M829" t="s" s="2">
        <v>26</v>
      </c>
      <c r="N829" t="s" s="2">
        <v>27</v>
      </c>
      <c r="O829" s="3">
        <v>53</v>
      </c>
      <c r="P829" t="str" s="8" cm="1">
        <f t="array" ref="P829">IF(O829="","check","Okay")</f>
        <v>Okay</v>
      </c>
      <c r="Q829" t="str" s="8" cm="1">
        <f t="array" ref="Q829">IF(O829&lt;30,"UNDER 30",IF(O829&lt;=50,"30-50","Over 50"))</f>
        <v>Over 50</v>
      </c>
      <c r="R829" t="s" s="2">
        <v>17</v>
      </c>
      <c r="S829" s="3" cm="1">
        <f t="array" ref="S829">COUNTIF(A2:A1001,A829)</f>
        <v>1</v>
      </c>
      <c r="T829" t="str" s="8" cm="1">
        <f t="array" ref="T829">IF(ISNUMBER(F829),"Ok","check")</f>
        <v>Ok</v>
      </c>
      <c r="U829" t="str" s="8" cm="1">
        <f t="array" ref="U829">IF(ISNUMBER(O829),"ok","check")</f>
        <v>ok</v>
      </c>
    </row>
    <row r="830" ht="13.55" customHeight="1">
      <c r="A830" s="3">
        <v>22173</v>
      </c>
      <c r="B830" t="s" s="2">
        <v>13</v>
      </c>
      <c r="C830" t="str" s="8" cm="1">
        <f t="array" ref="C830">IF(B830="M","Married","Single")</f>
        <v>Married</v>
      </c>
      <c r="D830" t="s" s="2">
        <v>14</v>
      </c>
      <c r="E830" t="str" s="8" cm="1">
        <f t="array" ref="E830">IF(D830="M","Male",IF(D830="F","Female","Check"))</f>
        <v>Female</v>
      </c>
      <c r="F830" s="4">
        <v>30000</v>
      </c>
      <c r="G830" t="str" s="8" cm="1">
        <f t="array" ref="G830">IF(F830="","Check","okay")</f>
        <v>okay</v>
      </c>
      <c r="H830" s="3">
        <v>3</v>
      </c>
      <c r="I830" t="s" s="2">
        <v>30</v>
      </c>
      <c r="J830" t="s" s="2">
        <v>16</v>
      </c>
      <c r="K830" t="s" s="2">
        <v>20</v>
      </c>
      <c r="L830" s="3">
        <v>2</v>
      </c>
      <c r="M830" t="s" s="2">
        <v>29</v>
      </c>
      <c r="N830" t="s" s="2">
        <v>27</v>
      </c>
      <c r="O830" s="3">
        <v>54</v>
      </c>
      <c r="P830" t="str" s="8" cm="1">
        <f t="array" ref="P830">IF(O830="","check","Okay")</f>
        <v>Okay</v>
      </c>
      <c r="Q830" t="str" s="8" cm="1">
        <f t="array" ref="Q830">IF(O830&lt;30,"UNDER 30",IF(O830&lt;=50,"30-50","Over 50"))</f>
        <v>Over 50</v>
      </c>
      <c r="R830" t="s" s="2">
        <v>17</v>
      </c>
      <c r="S830" s="3" cm="1">
        <f t="array" ref="S830">COUNTIF(A2:A1001,A830)</f>
        <v>1</v>
      </c>
      <c r="T830" t="str" s="8" cm="1">
        <f t="array" ref="T830">IF(ISNUMBER(F830),"Ok","check")</f>
        <v>Ok</v>
      </c>
      <c r="U830" t="str" s="8" cm="1">
        <f t="array" ref="U830">IF(ISNUMBER(O830),"ok","check")</f>
        <v>ok</v>
      </c>
    </row>
    <row r="831" ht="13.55" customHeight="1">
      <c r="A831" s="3">
        <v>22174</v>
      </c>
      <c r="B831" t="s" s="2">
        <v>13</v>
      </c>
      <c r="C831" t="str" s="8" cm="1">
        <f t="array" ref="C831">IF(B831="M","Married","Single")</f>
        <v>Married</v>
      </c>
      <c r="D831" t="s" s="2">
        <v>13</v>
      </c>
      <c r="E831" t="str" s="8" cm="1">
        <f t="array" ref="E831">IF(D831="M","Male",IF(D831="F","Female","Check"))</f>
        <v>Male</v>
      </c>
      <c r="F831" s="4">
        <v>30000</v>
      </c>
      <c r="G831" t="str" s="8" cm="1">
        <f t="array" ref="G831">IF(F831="","Check","okay")</f>
        <v>okay</v>
      </c>
      <c r="H831" s="3">
        <v>3</v>
      </c>
      <c r="I831" t="s" s="2">
        <v>30</v>
      </c>
      <c r="J831" t="s" s="2">
        <v>16</v>
      </c>
      <c r="K831" t="s" s="2">
        <v>17</v>
      </c>
      <c r="L831" s="3">
        <v>2</v>
      </c>
      <c r="M831" t="s" s="2">
        <v>26</v>
      </c>
      <c r="N831" t="s" s="2">
        <v>27</v>
      </c>
      <c r="O831" s="3">
        <v>54</v>
      </c>
      <c r="P831" t="str" s="8" cm="1">
        <f t="array" ref="P831">IF(O831="","check","Okay")</f>
        <v>Okay</v>
      </c>
      <c r="Q831" t="str" s="8" cm="1">
        <f t="array" ref="Q831">IF(O831&lt;30,"UNDER 30",IF(O831&lt;=50,"30-50","Over 50"))</f>
        <v>Over 50</v>
      </c>
      <c r="R831" t="s" s="2">
        <v>17</v>
      </c>
      <c r="S831" s="3" cm="1">
        <f t="array" ref="S831">COUNTIF(A2:A1001,A831)</f>
        <v>1</v>
      </c>
      <c r="T831" t="str" s="8" cm="1">
        <f t="array" ref="T831">IF(ISNUMBER(F831),"Ok","check")</f>
        <v>Ok</v>
      </c>
      <c r="U831" t="str" s="8" cm="1">
        <f t="array" ref="U831">IF(ISNUMBER(O831),"ok","check")</f>
        <v>ok</v>
      </c>
    </row>
    <row r="832" ht="13.55" customHeight="1">
      <c r="A832" s="3">
        <v>29094</v>
      </c>
      <c r="B832" t="s" s="2">
        <v>13</v>
      </c>
      <c r="C832" t="str" s="8" cm="1">
        <f t="array" ref="C832">IF(B832="M","Married","Single")</f>
        <v>Married</v>
      </c>
      <c r="D832" t="s" s="2">
        <v>13</v>
      </c>
      <c r="E832" t="str" s="8" cm="1">
        <f t="array" ref="E832">IF(D832="M","Male",IF(D832="F","Female","Check"))</f>
        <v>Male</v>
      </c>
      <c r="F832" s="4">
        <v>30000</v>
      </c>
      <c r="G832" t="str" s="8" cm="1">
        <f t="array" ref="G832">IF(F832="","Check","okay")</f>
        <v>okay</v>
      </c>
      <c r="H832" s="3">
        <v>3</v>
      </c>
      <c r="I832" t="s" s="2">
        <v>30</v>
      </c>
      <c r="J832" t="s" s="2">
        <v>16</v>
      </c>
      <c r="K832" t="s" s="2">
        <v>17</v>
      </c>
      <c r="L832" s="3">
        <v>2</v>
      </c>
      <c r="M832" t="s" s="2">
        <v>26</v>
      </c>
      <c r="N832" t="s" s="2">
        <v>27</v>
      </c>
      <c r="O832" s="3">
        <v>54</v>
      </c>
      <c r="P832" t="str" s="8" cm="1">
        <f t="array" ref="P832">IF(O832="","check","Okay")</f>
        <v>Okay</v>
      </c>
      <c r="Q832" t="str" s="8" cm="1">
        <f t="array" ref="Q832">IF(O832&lt;30,"UNDER 30",IF(O832&lt;=50,"30-50","Over 50"))</f>
        <v>Over 50</v>
      </c>
      <c r="R832" t="s" s="2">
        <v>17</v>
      </c>
      <c r="S832" s="3" cm="1">
        <f t="array" ref="S832">COUNTIF(A2:A1001,A832)</f>
        <v>1</v>
      </c>
      <c r="T832" t="str" s="8" cm="1">
        <f t="array" ref="T832">IF(ISNUMBER(F832),"Ok","check")</f>
        <v>Ok</v>
      </c>
      <c r="U832" t="str" s="8" cm="1">
        <f t="array" ref="U832">IF(ISNUMBER(O832),"ok","check")</f>
        <v>ok</v>
      </c>
    </row>
    <row r="833" ht="13.55" customHeight="1">
      <c r="A833" s="3">
        <v>22170</v>
      </c>
      <c r="B833" t="s" s="2">
        <v>13</v>
      </c>
      <c r="C833" t="str" s="8" cm="1">
        <f t="array" ref="C833">IF(B833="M","Married","Single")</f>
        <v>Married</v>
      </c>
      <c r="D833" t="s" s="2">
        <v>14</v>
      </c>
      <c r="E833" t="str" s="8" cm="1">
        <f t="array" ref="E833">IF(D833="M","Male",IF(D833="F","Female","Check"))</f>
        <v>Female</v>
      </c>
      <c r="F833" s="4">
        <v>30000</v>
      </c>
      <c r="G833" t="str" s="8" cm="1">
        <f t="array" ref="G833">IF(F833="","Check","okay")</f>
        <v>okay</v>
      </c>
      <c r="H833" s="3">
        <v>3</v>
      </c>
      <c r="I833" t="s" s="2">
        <v>21</v>
      </c>
      <c r="J833" t="s" s="2">
        <v>22</v>
      </c>
      <c r="K833" t="s" s="2">
        <v>20</v>
      </c>
      <c r="L833" s="3">
        <v>2</v>
      </c>
      <c r="M833" t="s" s="2">
        <v>29</v>
      </c>
      <c r="N833" t="s" s="2">
        <v>27</v>
      </c>
      <c r="O833" s="3">
        <v>55</v>
      </c>
      <c r="P833" t="str" s="8" cm="1">
        <f t="array" ref="P833">IF(O833="","check","Okay")</f>
        <v>Okay</v>
      </c>
      <c r="Q833" t="str" s="8" cm="1">
        <f t="array" ref="Q833">IF(O833&lt;30,"UNDER 30",IF(O833&lt;=50,"30-50","Over 50"))</f>
        <v>Over 50</v>
      </c>
      <c r="R833" t="s" s="2">
        <v>17</v>
      </c>
      <c r="S833" s="3" cm="1">
        <f t="array" ref="S833">COUNTIF(A2:A1001,A833)</f>
        <v>1</v>
      </c>
      <c r="T833" t="str" s="8" cm="1">
        <f t="array" ref="T833">IF(ISNUMBER(F833),"Ok","check")</f>
        <v>Ok</v>
      </c>
      <c r="U833" t="str" s="8" cm="1">
        <f t="array" ref="U833">IF(ISNUMBER(O833),"ok","check")</f>
        <v>ok</v>
      </c>
    </row>
    <row r="834" ht="13.55" customHeight="1">
      <c r="A834" s="3">
        <v>15019</v>
      </c>
      <c r="B834" t="s" s="2">
        <v>25</v>
      </c>
      <c r="C834" t="str" s="8" cm="1">
        <f t="array" ref="C834">IF(B834="M","Married","Single")</f>
        <v>Single</v>
      </c>
      <c r="D834" t="s" s="2">
        <v>14</v>
      </c>
      <c r="E834" t="str" s="8" cm="1">
        <f t="array" ref="E834">IF(D834="M","Male",IF(D834="F","Female","Check"))</f>
        <v>Female</v>
      </c>
      <c r="F834" s="4">
        <v>30000</v>
      </c>
      <c r="G834" t="str" s="8" cm="1">
        <f t="array" ref="G834">IF(F834="","Check","okay")</f>
        <v>okay</v>
      </c>
      <c r="H834" s="3">
        <v>3</v>
      </c>
      <c r="I834" t="s" s="2">
        <v>30</v>
      </c>
      <c r="J834" t="s" s="2">
        <v>16</v>
      </c>
      <c r="K834" t="s" s="2">
        <v>17</v>
      </c>
      <c r="L834" s="3">
        <v>2</v>
      </c>
      <c r="M834" t="s" s="2">
        <v>26</v>
      </c>
      <c r="N834" t="s" s="2">
        <v>27</v>
      </c>
      <c r="O834" s="3">
        <v>55</v>
      </c>
      <c r="P834" t="str" s="8" cm="1">
        <f t="array" ref="P834">IF(O834="","check","Okay")</f>
        <v>Okay</v>
      </c>
      <c r="Q834" t="str" s="8" cm="1">
        <f t="array" ref="Q834">IF(O834&lt;30,"UNDER 30",IF(O834&lt;=50,"30-50","Over 50"))</f>
        <v>Over 50</v>
      </c>
      <c r="R834" t="s" s="2">
        <v>20</v>
      </c>
      <c r="S834" s="3" cm="1">
        <f t="array" ref="S834">COUNTIF(A2:A1001,A834)</f>
        <v>1</v>
      </c>
      <c r="T834" t="str" s="8" cm="1">
        <f t="array" ref="T834">IF(ISNUMBER(F834),"Ok","check")</f>
        <v>Ok</v>
      </c>
      <c r="U834" t="str" s="8" cm="1">
        <f t="array" ref="U834">IF(ISNUMBER(O834),"ok","check")</f>
        <v>ok</v>
      </c>
    </row>
    <row r="835" ht="13.55" customHeight="1">
      <c r="A835" s="3">
        <v>16487</v>
      </c>
      <c r="B835" t="s" s="2">
        <v>25</v>
      </c>
      <c r="C835" t="str" s="8" cm="1">
        <f t="array" ref="C835">IF(B835="M","Married","Single")</f>
        <v>Single</v>
      </c>
      <c r="D835" t="s" s="2">
        <v>14</v>
      </c>
      <c r="E835" t="str" s="8" cm="1">
        <f t="array" ref="E835">IF(D835="M","Male",IF(D835="F","Female","Check"))</f>
        <v>Female</v>
      </c>
      <c r="F835" s="4">
        <v>30000</v>
      </c>
      <c r="G835" t="str" s="8" cm="1">
        <f t="array" ref="G835">IF(F835="","Check","okay")</f>
        <v>okay</v>
      </c>
      <c r="H835" s="3">
        <v>3</v>
      </c>
      <c r="I835" t="s" s="2">
        <v>30</v>
      </c>
      <c r="J835" t="s" s="2">
        <v>16</v>
      </c>
      <c r="K835" t="s" s="2">
        <v>17</v>
      </c>
      <c r="L835" s="3">
        <v>2</v>
      </c>
      <c r="M835" t="s" s="2">
        <v>26</v>
      </c>
      <c r="N835" t="s" s="2">
        <v>27</v>
      </c>
      <c r="O835" s="3">
        <v>55</v>
      </c>
      <c r="P835" t="str" s="8" cm="1">
        <f t="array" ref="P835">IF(O835="","check","Okay")</f>
        <v>Okay</v>
      </c>
      <c r="Q835" t="str" s="8" cm="1">
        <f t="array" ref="Q835">IF(O835&lt;30,"UNDER 30",IF(O835&lt;=50,"30-50","Over 50"))</f>
        <v>Over 50</v>
      </c>
      <c r="R835" t="s" s="2">
        <v>20</v>
      </c>
      <c r="S835" s="3" cm="1">
        <f t="array" ref="S835">COUNTIF(A2:A1001,A835)</f>
        <v>1</v>
      </c>
      <c r="T835" t="str" s="8" cm="1">
        <f t="array" ref="T835">IF(ISNUMBER(F835),"Ok","check")</f>
        <v>Ok</v>
      </c>
      <c r="U835" t="str" s="8" cm="1">
        <f t="array" ref="U835">IF(ISNUMBER(O835),"ok","check")</f>
        <v>ok</v>
      </c>
    </row>
    <row r="836" ht="13.55" customHeight="1">
      <c r="A836" s="3">
        <v>16489</v>
      </c>
      <c r="B836" t="s" s="2">
        <v>13</v>
      </c>
      <c r="C836" t="str" s="8" cm="1">
        <f t="array" ref="C836">IF(B836="M","Married","Single")</f>
        <v>Married</v>
      </c>
      <c r="D836" t="s" s="2">
        <v>13</v>
      </c>
      <c r="E836" t="str" s="8" cm="1">
        <f t="array" ref="E836">IF(D836="M","Male",IF(D836="F","Female","Check"))</f>
        <v>Male</v>
      </c>
      <c r="F836" s="4">
        <v>30000</v>
      </c>
      <c r="G836" t="str" s="8" cm="1">
        <f t="array" ref="G836">IF(F836="","Check","okay")</f>
        <v>okay</v>
      </c>
      <c r="H836" s="3">
        <v>3</v>
      </c>
      <c r="I836" t="s" s="2">
        <v>30</v>
      </c>
      <c r="J836" t="s" s="2">
        <v>16</v>
      </c>
      <c r="K836" t="s" s="2">
        <v>17</v>
      </c>
      <c r="L836" s="3">
        <v>2</v>
      </c>
      <c r="M836" t="s" s="2">
        <v>26</v>
      </c>
      <c r="N836" t="s" s="2">
        <v>27</v>
      </c>
      <c r="O836" s="3">
        <v>55</v>
      </c>
      <c r="P836" t="str" s="8" cm="1">
        <f t="array" ref="P836">IF(O836="","check","Okay")</f>
        <v>Okay</v>
      </c>
      <c r="Q836" t="str" s="8" cm="1">
        <f t="array" ref="Q836">IF(O836&lt;30,"UNDER 30",IF(O836&lt;=50,"30-50","Over 50"))</f>
        <v>Over 50</v>
      </c>
      <c r="R836" t="s" s="2">
        <v>20</v>
      </c>
      <c r="S836" s="3" cm="1">
        <f t="array" ref="S836">COUNTIF(A2:A1001,A836)</f>
        <v>1</v>
      </c>
      <c r="T836" t="str" s="8" cm="1">
        <f t="array" ref="T836">IF(ISNUMBER(F836),"Ok","check")</f>
        <v>Ok</v>
      </c>
      <c r="U836" t="str" s="8" cm="1">
        <f t="array" ref="U836">IF(ISNUMBER(O836),"ok","check")</f>
        <v>ok</v>
      </c>
    </row>
    <row r="837" ht="13.55" customHeight="1">
      <c r="A837" s="3">
        <v>11047</v>
      </c>
      <c r="B837" t="s" s="2">
        <v>13</v>
      </c>
      <c r="C837" t="str" s="8" cm="1">
        <f t="array" ref="C837">IF(B837="M","Married","Single")</f>
        <v>Married</v>
      </c>
      <c r="D837" t="s" s="2">
        <v>14</v>
      </c>
      <c r="E837" t="str" s="8" cm="1">
        <f t="array" ref="E837">IF(D837="M","Male",IF(D837="F","Female","Check"))</f>
        <v>Female</v>
      </c>
      <c r="F837" s="4">
        <v>30000</v>
      </c>
      <c r="G837" t="str" s="8" cm="1">
        <f t="array" ref="G837">IF(F837="","Check","okay")</f>
        <v>okay</v>
      </c>
      <c r="H837" s="3">
        <v>3</v>
      </c>
      <c r="I837" t="s" s="2">
        <v>30</v>
      </c>
      <c r="J837" t="s" s="2">
        <v>16</v>
      </c>
      <c r="K837" t="s" s="2">
        <v>20</v>
      </c>
      <c r="L837" s="3">
        <v>2</v>
      </c>
      <c r="M837" t="s" s="2">
        <v>29</v>
      </c>
      <c r="N837" t="s" s="2">
        <v>27</v>
      </c>
      <c r="O837" s="3">
        <v>56</v>
      </c>
      <c r="P837" t="str" s="8" cm="1">
        <f t="array" ref="P837">IF(O837="","check","Okay")</f>
        <v>Okay</v>
      </c>
      <c r="Q837" t="str" s="8" cm="1">
        <f t="array" ref="Q837">IF(O837&lt;30,"UNDER 30",IF(O837&lt;=50,"30-50","Over 50"))</f>
        <v>Over 50</v>
      </c>
      <c r="R837" t="s" s="2">
        <v>17</v>
      </c>
      <c r="S837" s="3" cm="1">
        <f t="array" ref="S837">COUNTIF(A2:A1001,A837)</f>
        <v>1</v>
      </c>
      <c r="T837" t="str" s="8" cm="1">
        <f t="array" ref="T837">IF(ISNUMBER(F837),"Ok","check")</f>
        <v>Ok</v>
      </c>
      <c r="U837" t="str" s="8" cm="1">
        <f t="array" ref="U837">IF(ISNUMBER(O837),"ok","check")</f>
        <v>ok</v>
      </c>
    </row>
    <row r="838" ht="13.55" customHeight="1">
      <c r="A838" s="3">
        <v>20417</v>
      </c>
      <c r="B838" t="s" s="2">
        <v>13</v>
      </c>
      <c r="C838" t="str" s="8" cm="1">
        <f t="array" ref="C838">IF(B838="M","Married","Single")</f>
        <v>Married</v>
      </c>
      <c r="D838" t="s" s="2">
        <v>13</v>
      </c>
      <c r="E838" t="str" s="8" cm="1">
        <f t="array" ref="E838">IF(D838="M","Male",IF(D838="F","Female","Check"))</f>
        <v>Male</v>
      </c>
      <c r="F838" s="4">
        <v>30000</v>
      </c>
      <c r="G838" t="str" s="8" cm="1">
        <f t="array" ref="G838">IF(F838="","Check","okay")</f>
        <v>okay</v>
      </c>
      <c r="H838" s="3">
        <v>3</v>
      </c>
      <c r="I838" t="s" s="2">
        <v>21</v>
      </c>
      <c r="J838" t="s" s="2">
        <v>22</v>
      </c>
      <c r="K838" t="s" s="2">
        <v>20</v>
      </c>
      <c r="L838" s="3">
        <v>2</v>
      </c>
      <c r="M838" t="s" s="2">
        <v>26</v>
      </c>
      <c r="N838" t="s" s="2">
        <v>27</v>
      </c>
      <c r="O838" s="3">
        <v>56</v>
      </c>
      <c r="P838" t="str" s="8" cm="1">
        <f t="array" ref="P838">IF(O838="","check","Okay")</f>
        <v>Okay</v>
      </c>
      <c r="Q838" t="str" s="8" cm="1">
        <f t="array" ref="Q838">IF(O838&lt;30,"UNDER 30",IF(O838&lt;=50,"30-50","Over 50"))</f>
        <v>Over 50</v>
      </c>
      <c r="R838" t="s" s="2">
        <v>20</v>
      </c>
      <c r="S838" s="3" cm="1">
        <f t="array" ref="S838">COUNTIF(A2:A1001,A838)</f>
        <v>1</v>
      </c>
      <c r="T838" t="str" s="8" cm="1">
        <f t="array" ref="T838">IF(ISNUMBER(F838),"Ok","check")</f>
        <v>Ok</v>
      </c>
      <c r="U838" t="str" s="8" cm="1">
        <f t="array" ref="U838">IF(ISNUMBER(O838),"ok","check")</f>
        <v>ok</v>
      </c>
    </row>
    <row r="839" ht="13.55" customHeight="1">
      <c r="A839" s="3">
        <v>23316</v>
      </c>
      <c r="B839" t="s" s="2">
        <v>25</v>
      </c>
      <c r="C839" t="str" s="8" cm="1">
        <f t="array" ref="C839">IF(B839="M","Married","Single")</f>
        <v>Single</v>
      </c>
      <c r="D839" t="s" s="2">
        <v>13</v>
      </c>
      <c r="E839" t="str" s="8" cm="1">
        <f t="array" ref="E839">IF(D839="M","Male",IF(D839="F","Female","Check"))</f>
        <v>Male</v>
      </c>
      <c r="F839" s="4">
        <v>30000</v>
      </c>
      <c r="G839" t="str" s="8" cm="1">
        <f t="array" ref="G839">IF(F839="","Check","okay")</f>
        <v>okay</v>
      </c>
      <c r="H839" s="3">
        <v>3</v>
      </c>
      <c r="I839" t="s" s="2">
        <v>21</v>
      </c>
      <c r="J839" t="s" s="2">
        <v>22</v>
      </c>
      <c r="K839" t="s" s="2">
        <v>20</v>
      </c>
      <c r="L839" s="3">
        <v>2</v>
      </c>
      <c r="M839" t="s" s="2">
        <v>29</v>
      </c>
      <c r="N839" t="s" s="2">
        <v>27</v>
      </c>
      <c r="O839" s="3">
        <v>59</v>
      </c>
      <c r="P839" t="str" s="8" cm="1">
        <f t="array" ref="P839">IF(O839="","check","Okay")</f>
        <v>Okay</v>
      </c>
      <c r="Q839" t="str" s="8" cm="1">
        <f t="array" ref="Q839">IF(O839&lt;30,"UNDER 30",IF(O839&lt;=50,"30-50","Over 50"))</f>
        <v>Over 50</v>
      </c>
      <c r="R839" t="s" s="2">
        <v>17</v>
      </c>
      <c r="S839" s="3" cm="1">
        <f t="array" ref="S839">COUNTIF(A2:A1001,A839)</f>
        <v>1</v>
      </c>
      <c r="T839" t="str" s="8" cm="1">
        <f t="array" ref="T839">IF(ISNUMBER(F839),"Ok","check")</f>
        <v>Ok</v>
      </c>
      <c r="U839" t="str" s="8" cm="1">
        <f t="array" ref="U839">IF(ISNUMBER(O839),"ok","check")</f>
        <v>ok</v>
      </c>
    </row>
    <row r="840" ht="13.55" customHeight="1">
      <c r="A840" s="3">
        <v>25918</v>
      </c>
      <c r="B840" t="s" s="2">
        <v>25</v>
      </c>
      <c r="C840" t="str" s="8" cm="1">
        <f t="array" ref="C840">IF(B840="M","Married","Single")</f>
        <v>Single</v>
      </c>
      <c r="D840" t="s" s="2">
        <v>14</v>
      </c>
      <c r="E840" t="str" s="8" cm="1">
        <f t="array" ref="E840">IF(D840="M","Male",IF(D840="F","Female","Check"))</f>
        <v>Female</v>
      </c>
      <c r="F840" s="4">
        <v>30000</v>
      </c>
      <c r="G840" t="str" s="8" cm="1">
        <f t="array" ref="G840">IF(F840="","Check","okay")</f>
        <v>okay</v>
      </c>
      <c r="H840" s="3">
        <v>2</v>
      </c>
      <c r="I840" t="s" s="2">
        <v>21</v>
      </c>
      <c r="J840" t="s" s="2">
        <v>22</v>
      </c>
      <c r="K840" t="s" s="2">
        <v>20</v>
      </c>
      <c r="L840" s="3">
        <v>2</v>
      </c>
      <c r="M840" t="s" s="2">
        <v>26</v>
      </c>
      <c r="N840" t="s" s="2">
        <v>27</v>
      </c>
      <c r="O840" s="3">
        <v>60</v>
      </c>
      <c r="P840" t="str" s="8" cm="1">
        <f t="array" ref="P840">IF(O840="","check","Okay")</f>
        <v>Okay</v>
      </c>
      <c r="Q840" t="str" s="8" cm="1">
        <f t="array" ref="Q840">IF(O840&lt;30,"UNDER 30",IF(O840&lt;=50,"30-50","Over 50"))</f>
        <v>Over 50</v>
      </c>
      <c r="R840" t="s" s="2">
        <v>17</v>
      </c>
      <c r="S840" s="3" cm="1">
        <f t="array" ref="S840">COUNTIF(A2:A1001,A840)</f>
        <v>1</v>
      </c>
      <c r="T840" t="str" s="8" cm="1">
        <f t="array" ref="T840">IF(ISNUMBER(F840),"Ok","check")</f>
        <v>Ok</v>
      </c>
      <c r="U840" t="str" s="8" cm="1">
        <f t="array" ref="U840">IF(ISNUMBER(O840),"ok","check")</f>
        <v>ok</v>
      </c>
    </row>
    <row r="841" ht="13.55" customHeight="1">
      <c r="A841" s="3">
        <v>26547</v>
      </c>
      <c r="B841" t="s" s="2">
        <v>25</v>
      </c>
      <c r="C841" t="str" s="8" cm="1">
        <f t="array" ref="C841">IF(B841="M","Married","Single")</f>
        <v>Single</v>
      </c>
      <c r="D841" t="s" s="2">
        <v>14</v>
      </c>
      <c r="E841" t="str" s="8" cm="1">
        <f t="array" ref="E841">IF(D841="M","Male",IF(D841="F","Female","Check"))</f>
        <v>Female</v>
      </c>
      <c r="F841" s="4">
        <v>30000</v>
      </c>
      <c r="G841" t="str" s="8" cm="1">
        <f t="array" ref="G841">IF(F841="","Check","okay")</f>
        <v>okay</v>
      </c>
      <c r="H841" s="3">
        <v>2</v>
      </c>
      <c r="I841" t="s" s="2">
        <v>21</v>
      </c>
      <c r="J841" t="s" s="2">
        <v>22</v>
      </c>
      <c r="K841" t="s" s="2">
        <v>20</v>
      </c>
      <c r="L841" s="3">
        <v>2</v>
      </c>
      <c r="M841" t="s" s="2">
        <v>26</v>
      </c>
      <c r="N841" t="s" s="2">
        <v>27</v>
      </c>
      <c r="O841" s="3">
        <v>60</v>
      </c>
      <c r="P841" t="str" s="8" cm="1">
        <f t="array" ref="P841">IF(O841="","check","Okay")</f>
        <v>Okay</v>
      </c>
      <c r="Q841" t="str" s="8" cm="1">
        <f t="array" ref="Q841">IF(O841&lt;30,"UNDER 30",IF(O841&lt;=50,"30-50","Over 50"))</f>
        <v>Over 50</v>
      </c>
      <c r="R841" t="s" s="2">
        <v>17</v>
      </c>
      <c r="S841" s="3" cm="1">
        <f t="array" ref="S841">COUNTIF(A2:A1001,A841)</f>
        <v>1</v>
      </c>
      <c r="T841" t="str" s="8" cm="1">
        <f t="array" ref="T841">IF(ISNUMBER(F841),"Ok","check")</f>
        <v>Ok</v>
      </c>
      <c r="U841" t="str" s="8" cm="1">
        <f t="array" ref="U841">IF(ISNUMBER(O841),"ok","check")</f>
        <v>ok</v>
      </c>
    </row>
    <row r="842" ht="13.55" customHeight="1">
      <c r="A842" s="3">
        <v>24955</v>
      </c>
      <c r="B842" t="s" s="2">
        <v>25</v>
      </c>
      <c r="C842" t="str" s="8" cm="1">
        <f t="array" ref="C842">IF(B842="M","Married","Single")</f>
        <v>Single</v>
      </c>
      <c r="D842" t="s" s="2">
        <v>13</v>
      </c>
      <c r="E842" t="str" s="8" cm="1">
        <f t="array" ref="E842">IF(D842="M","Male",IF(D842="F","Female","Check"))</f>
        <v>Male</v>
      </c>
      <c r="F842" s="4">
        <v>30000</v>
      </c>
      <c r="G842" t="str" s="8" cm="1">
        <f t="array" ref="G842">IF(F842="","Check","okay")</f>
        <v>okay</v>
      </c>
      <c r="H842" s="3">
        <v>5</v>
      </c>
      <c r="I842" t="s" s="2">
        <v>32</v>
      </c>
      <c r="J842" t="s" s="2">
        <v>16</v>
      </c>
      <c r="K842" t="s" s="2">
        <v>17</v>
      </c>
      <c r="L842" s="3">
        <v>3</v>
      </c>
      <c r="M842" t="s" s="2">
        <v>33</v>
      </c>
      <c r="N842" t="s" s="2">
        <v>35</v>
      </c>
      <c r="O842" s="3">
        <v>60</v>
      </c>
      <c r="P842" t="str" s="8" cm="1">
        <f t="array" ref="P842">IF(O842="","check","Okay")</f>
        <v>Okay</v>
      </c>
      <c r="Q842" t="str" s="8" cm="1">
        <f t="array" ref="Q842">IF(O842&lt;30,"UNDER 30",IF(O842&lt;=50,"30-50","Over 50"))</f>
        <v>Over 50</v>
      </c>
      <c r="R842" t="s" s="2">
        <v>17</v>
      </c>
      <c r="S842" s="3" cm="1">
        <f t="array" ref="S842">COUNTIF(A2:A1001,A842)</f>
        <v>1</v>
      </c>
      <c r="T842" t="str" s="8" cm="1">
        <f t="array" ref="T842">IF(ISNUMBER(F842),"Ok","check")</f>
        <v>Ok</v>
      </c>
      <c r="U842" t="str" s="8" cm="1">
        <f t="array" ref="U842">IF(ISNUMBER(O842),"ok","check")</f>
        <v>ok</v>
      </c>
    </row>
    <row r="843" ht="13.55" customHeight="1">
      <c r="A843" s="3">
        <v>26928</v>
      </c>
      <c r="B843" t="s" s="2">
        <v>25</v>
      </c>
      <c r="C843" t="str" s="8" cm="1">
        <f t="array" ref="C843">IF(B843="M","Married","Single")</f>
        <v>Single</v>
      </c>
      <c r="D843" t="s" s="2">
        <v>13</v>
      </c>
      <c r="E843" t="str" s="8" cm="1">
        <f t="array" ref="E843">IF(D843="M","Male",IF(D843="F","Female","Check"))</f>
        <v>Male</v>
      </c>
      <c r="F843" s="4">
        <v>30000</v>
      </c>
      <c r="G843" t="str" s="8" cm="1">
        <f t="array" ref="G843">IF(F843="","Check","okay")</f>
        <v>okay</v>
      </c>
      <c r="H843" s="3">
        <v>1</v>
      </c>
      <c r="I843" t="s" s="2">
        <v>15</v>
      </c>
      <c r="J843" t="s" s="2">
        <v>22</v>
      </c>
      <c r="K843" t="s" s="2">
        <v>17</v>
      </c>
      <c r="L843" s="3">
        <v>0</v>
      </c>
      <c r="M843" t="s" s="2">
        <v>18</v>
      </c>
      <c r="N843" t="s" s="2">
        <v>19</v>
      </c>
      <c r="O843" s="3">
        <v>62</v>
      </c>
      <c r="P843" t="str" s="8" cm="1">
        <f t="array" ref="P843">IF(O843="","check","Okay")</f>
        <v>Okay</v>
      </c>
      <c r="Q843" t="str" s="8" cm="1">
        <f t="array" ref="Q843">IF(O843&lt;30,"UNDER 30",IF(O843&lt;=50,"30-50","Over 50"))</f>
        <v>Over 50</v>
      </c>
      <c r="R843" t="s" s="2">
        <v>17</v>
      </c>
      <c r="S843" s="3" cm="1">
        <f t="array" ref="S843">COUNTIF(A2:A1001,A843)</f>
        <v>1</v>
      </c>
      <c r="T843" t="str" s="8" cm="1">
        <f t="array" ref="T843">IF(ISNUMBER(F843),"Ok","check")</f>
        <v>Ok</v>
      </c>
      <c r="U843" t="str" s="8" cm="1">
        <f t="array" ref="U843">IF(ISNUMBER(O843),"ok","check")</f>
        <v>ok</v>
      </c>
    </row>
    <row r="844" ht="13.55" customHeight="1">
      <c r="A844" s="3">
        <v>12590</v>
      </c>
      <c r="B844" t="s" s="2">
        <v>25</v>
      </c>
      <c r="C844" t="str" s="8" cm="1">
        <f t="array" ref="C844">IF(B844="M","Married","Single")</f>
        <v>Single</v>
      </c>
      <c r="D844" t="s" s="2">
        <v>13</v>
      </c>
      <c r="E844" t="str" s="8" cm="1">
        <f t="array" ref="E844">IF(D844="M","Male",IF(D844="F","Female","Check"))</f>
        <v>Male</v>
      </c>
      <c r="F844" s="4">
        <v>30000</v>
      </c>
      <c r="G844" t="str" s="8" cm="1">
        <f t="array" ref="G844">IF(F844="","Check","okay")</f>
        <v>okay</v>
      </c>
      <c r="H844" s="3">
        <v>1</v>
      </c>
      <c r="I844" t="s" s="2">
        <v>15</v>
      </c>
      <c r="J844" t="s" s="2">
        <v>22</v>
      </c>
      <c r="K844" t="s" s="2">
        <v>17</v>
      </c>
      <c r="L844" s="3">
        <v>0</v>
      </c>
      <c r="M844" t="s" s="2">
        <v>18</v>
      </c>
      <c r="N844" t="s" s="2">
        <v>19</v>
      </c>
      <c r="O844" s="3">
        <v>63</v>
      </c>
      <c r="P844" t="str" s="8" cm="1">
        <f t="array" ref="P844">IF(O844="","check","Okay")</f>
        <v>Okay</v>
      </c>
      <c r="Q844" t="str" s="8" cm="1">
        <f t="array" ref="Q844">IF(O844&lt;30,"UNDER 30",IF(O844&lt;=50,"30-50","Over 50"))</f>
        <v>Over 50</v>
      </c>
      <c r="R844" t="s" s="2">
        <v>20</v>
      </c>
      <c r="S844" s="3" cm="1">
        <f t="array" ref="S844">COUNTIF(A2:A1001,A844)</f>
        <v>1</v>
      </c>
      <c r="T844" t="str" s="8" cm="1">
        <f t="array" ref="T844">IF(ISNUMBER(F844),"Ok","check")</f>
        <v>Ok</v>
      </c>
      <c r="U844" t="str" s="8" cm="1">
        <f t="array" ref="U844">IF(ISNUMBER(O844),"ok","check")</f>
        <v>ok</v>
      </c>
    </row>
    <row r="845" ht="13.55" customHeight="1">
      <c r="A845" s="3">
        <v>12568</v>
      </c>
      <c r="B845" t="s" s="2">
        <v>13</v>
      </c>
      <c r="C845" t="str" s="8" cm="1">
        <f t="array" ref="C845">IF(B845="M","Married","Single")</f>
        <v>Married</v>
      </c>
      <c r="D845" t="s" s="2">
        <v>14</v>
      </c>
      <c r="E845" t="str" s="8" cm="1">
        <f t="array" ref="E845">IF(D845="M","Male",IF(D845="F","Female","Check"))</f>
        <v>Female</v>
      </c>
      <c r="F845" s="4">
        <v>30000</v>
      </c>
      <c r="G845" t="str" s="8" cm="1">
        <f t="array" ref="G845">IF(F845="","Check","okay")</f>
        <v>okay</v>
      </c>
      <c r="H845" s="3">
        <v>1</v>
      </c>
      <c r="I845" t="s" s="2">
        <v>15</v>
      </c>
      <c r="J845" t="s" s="2">
        <v>22</v>
      </c>
      <c r="K845" t="s" s="2">
        <v>17</v>
      </c>
      <c r="L845" s="3">
        <v>0</v>
      </c>
      <c r="M845" t="s" s="2">
        <v>18</v>
      </c>
      <c r="N845" t="s" s="2">
        <v>19</v>
      </c>
      <c r="O845" s="3">
        <v>64</v>
      </c>
      <c r="P845" t="str" s="8" cm="1">
        <f t="array" ref="P845">IF(O845="","check","Okay")</f>
        <v>Okay</v>
      </c>
      <c r="Q845" t="str" s="8" cm="1">
        <f t="array" ref="Q845">IF(O845&lt;30,"UNDER 30",IF(O845&lt;=50,"30-50","Over 50"))</f>
        <v>Over 50</v>
      </c>
      <c r="R845" t="s" s="2">
        <v>20</v>
      </c>
      <c r="S845" s="3" cm="1">
        <f t="array" ref="S845">COUNTIF(A2:A1001,A845)</f>
        <v>1</v>
      </c>
      <c r="T845" t="str" s="8" cm="1">
        <f t="array" ref="T845">IF(ISNUMBER(F845),"Ok","check")</f>
        <v>Ok</v>
      </c>
      <c r="U845" t="str" s="8" cm="1">
        <f t="array" ref="U845">IF(ISNUMBER(O845),"ok","check")</f>
        <v>ok</v>
      </c>
    </row>
    <row r="846" ht="13.55" customHeight="1">
      <c r="A846" s="3">
        <v>20147</v>
      </c>
      <c r="B846" t="s" s="2">
        <v>13</v>
      </c>
      <c r="C846" t="str" s="8" cm="1">
        <f t="array" ref="C846">IF(B846="M","Married","Single")</f>
        <v>Married</v>
      </c>
      <c r="D846" t="s" s="2">
        <v>14</v>
      </c>
      <c r="E846" t="str" s="8" cm="1">
        <f t="array" ref="E846">IF(D846="M","Male",IF(D846="F","Female","Check"))</f>
        <v>Female</v>
      </c>
      <c r="F846" s="4">
        <v>30000</v>
      </c>
      <c r="G846" t="str" s="8" cm="1">
        <f t="array" ref="G846">IF(F846="","Check","okay")</f>
        <v>okay</v>
      </c>
      <c r="H846" s="3">
        <v>1</v>
      </c>
      <c r="I846" t="s" s="2">
        <v>15</v>
      </c>
      <c r="J846" t="s" s="2">
        <v>22</v>
      </c>
      <c r="K846" t="s" s="2">
        <v>17</v>
      </c>
      <c r="L846" s="3">
        <v>0</v>
      </c>
      <c r="M846" t="s" s="2">
        <v>18</v>
      </c>
      <c r="N846" t="s" s="2">
        <v>19</v>
      </c>
      <c r="O846" s="3">
        <v>65</v>
      </c>
      <c r="P846" t="str" s="8" cm="1">
        <f t="array" ref="P846">IF(O846="","check","Okay")</f>
        <v>Okay</v>
      </c>
      <c r="Q846" t="str" s="8" cm="1">
        <f t="array" ref="Q846">IF(O846&lt;30,"UNDER 30",IF(O846&lt;=50,"30-50","Over 50"))</f>
        <v>Over 50</v>
      </c>
      <c r="R846" t="s" s="2">
        <v>20</v>
      </c>
      <c r="S846" s="3" cm="1">
        <f t="array" ref="S846">COUNTIF(A2:A1001,A846)</f>
        <v>1</v>
      </c>
      <c r="T846" t="str" s="8" cm="1">
        <f t="array" ref="T846">IF(ISNUMBER(F846),"Ok","check")</f>
        <v>Ok</v>
      </c>
      <c r="U846" t="str" s="8" cm="1">
        <f t="array" ref="U846">IF(ISNUMBER(O846),"ok","check")</f>
        <v>ok</v>
      </c>
    </row>
    <row r="847" ht="13.55" customHeight="1">
      <c r="A847" s="3">
        <v>25553</v>
      </c>
      <c r="B847" t="s" s="2">
        <v>13</v>
      </c>
      <c r="C847" t="str" s="8" cm="1">
        <f t="array" ref="C847">IF(B847="M","Married","Single")</f>
        <v>Married</v>
      </c>
      <c r="D847" t="s" s="2">
        <v>13</v>
      </c>
      <c r="E847" t="str" s="8" cm="1">
        <f t="array" ref="E847">IF(D847="M","Male",IF(D847="F","Female","Check"))</f>
        <v>Male</v>
      </c>
      <c r="F847" s="4">
        <v>30000</v>
      </c>
      <c r="G847" t="str" s="8" cm="1">
        <f t="array" ref="G847">IF(F847="","Check","okay")</f>
        <v>okay</v>
      </c>
      <c r="H847" s="3">
        <v>1</v>
      </c>
      <c r="I847" t="s" s="2">
        <v>15</v>
      </c>
      <c r="J847" t="s" s="2">
        <v>22</v>
      </c>
      <c r="K847" t="s" s="2">
        <v>17</v>
      </c>
      <c r="L847" s="3">
        <v>0</v>
      </c>
      <c r="M847" t="s" s="2">
        <v>18</v>
      </c>
      <c r="N847" t="s" s="2">
        <v>19</v>
      </c>
      <c r="O847" s="3">
        <v>65</v>
      </c>
      <c r="P847" t="str" s="8" cm="1">
        <f t="array" ref="P847">IF(O847="","check","Okay")</f>
        <v>Okay</v>
      </c>
      <c r="Q847" t="str" s="8" cm="1">
        <f t="array" ref="Q847">IF(O847&lt;30,"UNDER 30",IF(O847&lt;=50,"30-50","Over 50"))</f>
        <v>Over 50</v>
      </c>
      <c r="R847" t="s" s="2">
        <v>17</v>
      </c>
      <c r="S847" s="3" cm="1">
        <f t="array" ref="S847">COUNTIF(A2:A1001,A847)</f>
        <v>1</v>
      </c>
      <c r="T847" t="str" s="8" cm="1">
        <f t="array" ref="T847">IF(ISNUMBER(F847),"Ok","check")</f>
        <v>Ok</v>
      </c>
      <c r="U847" t="str" s="8" cm="1">
        <f t="array" ref="U847">IF(ISNUMBER(O847),"ok","check")</f>
        <v>ok</v>
      </c>
    </row>
    <row r="848" ht="13.55" customHeight="1">
      <c r="A848" s="3">
        <v>19650</v>
      </c>
      <c r="B848" t="s" s="2">
        <v>13</v>
      </c>
      <c r="C848" t="str" s="8" cm="1">
        <f t="array" ref="C848">IF(B848="M","Married","Single")</f>
        <v>Married</v>
      </c>
      <c r="D848" t="s" s="2">
        <v>14</v>
      </c>
      <c r="E848" t="str" s="8" cm="1">
        <f t="array" ref="E848">IF(D848="M","Male",IF(D848="F","Female","Check"))</f>
        <v>Female</v>
      </c>
      <c r="F848" s="4">
        <v>30000</v>
      </c>
      <c r="G848" t="str" s="8" cm="1">
        <f t="array" ref="G848">IF(F848="","Check","okay")</f>
        <v>okay</v>
      </c>
      <c r="H848" s="3">
        <v>2</v>
      </c>
      <c r="I848" t="s" s="2">
        <v>21</v>
      </c>
      <c r="J848" t="s" s="2">
        <v>22</v>
      </c>
      <c r="K848" t="s" s="2">
        <v>20</v>
      </c>
      <c r="L848" s="3">
        <v>2</v>
      </c>
      <c r="M848" t="s" s="2">
        <v>18</v>
      </c>
      <c r="N848" t="s" s="2">
        <v>27</v>
      </c>
      <c r="O848" s="3">
        <v>67</v>
      </c>
      <c r="P848" t="str" s="8" cm="1">
        <f t="array" ref="P848">IF(O848="","check","Okay")</f>
        <v>Okay</v>
      </c>
      <c r="Q848" t="str" s="8" cm="1">
        <f t="array" ref="Q848">IF(O848&lt;30,"UNDER 30",IF(O848&lt;=50,"30-50","Over 50"))</f>
        <v>Over 50</v>
      </c>
      <c r="R848" t="s" s="2">
        <v>20</v>
      </c>
      <c r="S848" s="3" cm="1">
        <f t="array" ref="S848">COUNTIF(A2:A1001,A848)</f>
        <v>1</v>
      </c>
      <c r="T848" t="str" s="8" cm="1">
        <f t="array" ref="T848">IF(ISNUMBER(F848),"Ok","check")</f>
        <v>Ok</v>
      </c>
      <c r="U848" t="str" s="8" cm="1">
        <f t="array" ref="U848">IF(ISNUMBER(O848),"ok","check")</f>
        <v>ok</v>
      </c>
    </row>
    <row r="849" ht="13.55" customHeight="1">
      <c r="A849" s="3">
        <v>11139</v>
      </c>
      <c r="B849" t="s" s="2">
        <v>25</v>
      </c>
      <c r="C849" t="str" s="8" cm="1">
        <f t="array" ref="C849">IF(B849="M","Married","Single")</f>
        <v>Single</v>
      </c>
      <c r="D849" t="s" s="2">
        <v>14</v>
      </c>
      <c r="E849" t="str" s="8" cm="1">
        <f t="array" ref="E849">IF(D849="M","Male",IF(D849="F","Female","Check"))</f>
        <v>Female</v>
      </c>
      <c r="F849" s="4">
        <v>30000</v>
      </c>
      <c r="G849" t="str" s="8" cm="1">
        <f t="array" ref="G849">IF(F849="","Check","okay")</f>
        <v>okay</v>
      </c>
      <c r="H849" s="3">
        <v>2</v>
      </c>
      <c r="I849" t="s" s="2">
        <v>21</v>
      </c>
      <c r="J849" t="s" s="2">
        <v>22</v>
      </c>
      <c r="K849" t="s" s="2">
        <v>20</v>
      </c>
      <c r="L849" s="3">
        <v>2</v>
      </c>
      <c r="M849" t="s" s="2">
        <v>26</v>
      </c>
      <c r="N849" t="s" s="2">
        <v>27</v>
      </c>
      <c r="O849" s="3">
        <v>67</v>
      </c>
      <c r="P849" t="str" s="8" cm="1">
        <f t="array" ref="P849">IF(O849="","check","Okay")</f>
        <v>Okay</v>
      </c>
      <c r="Q849" t="str" s="8" cm="1">
        <f t="array" ref="Q849">IF(O849&lt;30,"UNDER 30",IF(O849&lt;=50,"30-50","Over 50"))</f>
        <v>Over 50</v>
      </c>
      <c r="R849" t="s" s="2">
        <v>20</v>
      </c>
      <c r="S849" s="3" cm="1">
        <f t="array" ref="S849">COUNTIF(A2:A1001,A849)</f>
        <v>1</v>
      </c>
      <c r="T849" t="str" s="8" cm="1">
        <f t="array" ref="T849">IF(ISNUMBER(F849),"Ok","check")</f>
        <v>Ok</v>
      </c>
      <c r="U849" t="str" s="8" cm="1">
        <f t="array" ref="U849">IF(ISNUMBER(O849),"ok","check")</f>
        <v>ok</v>
      </c>
    </row>
    <row r="850" ht="13.55" customHeight="1">
      <c r="A850" s="3">
        <v>25266</v>
      </c>
      <c r="B850" t="s" s="2">
        <v>25</v>
      </c>
      <c r="C850" t="str" s="8" cm="1">
        <f t="array" ref="C850">IF(B850="M","Married","Single")</f>
        <v>Single</v>
      </c>
      <c r="D850" t="s" s="2">
        <v>14</v>
      </c>
      <c r="E850" t="str" s="8" cm="1">
        <f t="array" ref="E850">IF(D850="M","Male",IF(D850="F","Female","Check"))</f>
        <v>Female</v>
      </c>
      <c r="F850" s="4">
        <v>30000</v>
      </c>
      <c r="G850" t="str" s="8" cm="1">
        <f t="array" ref="G850">IF(F850="","Check","okay")</f>
        <v>okay</v>
      </c>
      <c r="H850" s="3">
        <v>2</v>
      </c>
      <c r="I850" t="s" s="2">
        <v>21</v>
      </c>
      <c r="J850" t="s" s="2">
        <v>22</v>
      </c>
      <c r="K850" t="s" s="2">
        <v>20</v>
      </c>
      <c r="L850" s="3">
        <v>2</v>
      </c>
      <c r="M850" t="s" s="2">
        <v>26</v>
      </c>
      <c r="N850" t="s" s="2">
        <v>27</v>
      </c>
      <c r="O850" s="3">
        <v>67</v>
      </c>
      <c r="P850" t="str" s="8" cm="1">
        <f t="array" ref="P850">IF(O850="","check","Okay")</f>
        <v>Okay</v>
      </c>
      <c r="Q850" t="str" s="8" cm="1">
        <f t="array" ref="Q850">IF(O850&lt;30,"UNDER 30",IF(O850&lt;=50,"30-50","Over 50"))</f>
        <v>Over 50</v>
      </c>
      <c r="R850" t="s" s="2">
        <v>20</v>
      </c>
      <c r="S850" s="3" cm="1">
        <f t="array" ref="S850">COUNTIF(A2:A1001,A850)</f>
        <v>1</v>
      </c>
      <c r="T850" t="str" s="8" cm="1">
        <f t="array" ref="T850">IF(ISNUMBER(F850),"Ok","check")</f>
        <v>Ok</v>
      </c>
      <c r="U850" t="str" s="8" cm="1">
        <f t="array" ref="U850">IF(ISNUMBER(O850),"ok","check")</f>
        <v>ok</v>
      </c>
    </row>
    <row r="851" ht="13.55" customHeight="1">
      <c r="A851" s="3">
        <v>29337</v>
      </c>
      <c r="B851" t="s" s="2">
        <v>25</v>
      </c>
      <c r="C851" t="str" s="8" cm="1">
        <f t="array" ref="C851">IF(B851="M","Married","Single")</f>
        <v>Single</v>
      </c>
      <c r="D851" t="s" s="2">
        <v>13</v>
      </c>
      <c r="E851" t="str" s="8" cm="1">
        <f t="array" ref="E851">IF(D851="M","Male",IF(D851="F","Female","Check"))</f>
        <v>Male</v>
      </c>
      <c r="F851" s="4">
        <v>30000</v>
      </c>
      <c r="G851" t="str" s="8" cm="1">
        <f t="array" ref="G851">IF(F851="","Check","okay")</f>
        <v>okay</v>
      </c>
      <c r="H851" s="3">
        <v>2</v>
      </c>
      <c r="I851" t="s" s="2">
        <v>21</v>
      </c>
      <c r="J851" t="s" s="2">
        <v>22</v>
      </c>
      <c r="K851" t="s" s="2">
        <v>17</v>
      </c>
      <c r="L851" s="3">
        <v>2</v>
      </c>
      <c r="M851" t="s" s="2">
        <v>26</v>
      </c>
      <c r="N851" t="s" s="2">
        <v>27</v>
      </c>
      <c r="O851" s="3">
        <v>68</v>
      </c>
      <c r="P851" t="str" s="8" cm="1">
        <f t="array" ref="P851">IF(O851="","check","Okay")</f>
        <v>Okay</v>
      </c>
      <c r="Q851" t="str" s="8" cm="1">
        <f t="array" ref="Q851">IF(O851&lt;30,"UNDER 30",IF(O851&lt;=50,"30-50","Over 50"))</f>
        <v>Over 50</v>
      </c>
      <c r="R851" t="s" s="2">
        <v>20</v>
      </c>
      <c r="S851" s="3" cm="1">
        <f t="array" ref="S851">COUNTIF(A2:A1001,A851)</f>
        <v>1</v>
      </c>
      <c r="T851" t="str" s="8" cm="1">
        <f t="array" ref="T851">IF(ISNUMBER(F851),"Ok","check")</f>
        <v>Ok</v>
      </c>
      <c r="U851" t="str" s="8" cm="1">
        <f t="array" ref="U851">IF(ISNUMBER(O851),"ok","check")</f>
        <v>ok</v>
      </c>
    </row>
    <row r="852" ht="13.55" customHeight="1">
      <c r="A852" s="3">
        <v>13136</v>
      </c>
      <c r="B852" t="s" s="2">
        <v>13</v>
      </c>
      <c r="C852" t="str" s="8" cm="1">
        <f t="array" ref="C852">IF(B852="M","Married","Single")</f>
        <v>Married</v>
      </c>
      <c r="D852" t="s" s="2">
        <v>14</v>
      </c>
      <c r="E852" t="str" s="8" cm="1">
        <f t="array" ref="E852">IF(D852="M","Male",IF(D852="F","Female","Check"))</f>
        <v>Female</v>
      </c>
      <c r="F852" s="4">
        <v>30000</v>
      </c>
      <c r="G852" t="str" s="8" cm="1">
        <f t="array" ref="G852">IF(F852="","Check","okay")</f>
        <v>okay</v>
      </c>
      <c r="H852" s="3">
        <v>2</v>
      </c>
      <c r="I852" t="s" s="2">
        <v>21</v>
      </c>
      <c r="J852" t="s" s="2">
        <v>22</v>
      </c>
      <c r="K852" t="s" s="2">
        <v>20</v>
      </c>
      <c r="L852" s="3">
        <v>2</v>
      </c>
      <c r="M852" t="s" s="2">
        <v>26</v>
      </c>
      <c r="N852" t="s" s="2">
        <v>27</v>
      </c>
      <c r="O852" s="3">
        <v>69</v>
      </c>
      <c r="P852" t="str" s="8" cm="1">
        <f t="array" ref="P852">IF(O852="","check","Okay")</f>
        <v>Okay</v>
      </c>
      <c r="Q852" t="str" s="8" cm="1">
        <f t="array" ref="Q852">IF(O852&lt;30,"UNDER 30",IF(O852&lt;=50,"30-50","Over 50"))</f>
        <v>Over 50</v>
      </c>
      <c r="R852" t="s" s="2">
        <v>20</v>
      </c>
      <c r="S852" s="3" cm="1">
        <f t="array" ref="S852">COUNTIF(A2:A1001,A852)</f>
        <v>1</v>
      </c>
      <c r="T852" t="str" s="8" cm="1">
        <f t="array" ref="T852">IF(ISNUMBER(F852),"Ok","check")</f>
        <v>Ok</v>
      </c>
      <c r="U852" t="str" s="8" cm="1">
        <f t="array" ref="U852">IF(ISNUMBER(O852),"ok","check")</f>
        <v>ok</v>
      </c>
    </row>
    <row r="853" ht="13.55" customHeight="1">
      <c r="A853" s="3">
        <v>20277</v>
      </c>
      <c r="B853" t="s" s="2">
        <v>13</v>
      </c>
      <c r="C853" t="str" s="8" cm="1">
        <f t="array" ref="C853">IF(B853="M","Married","Single")</f>
        <v>Married</v>
      </c>
      <c r="D853" t="s" s="2">
        <v>14</v>
      </c>
      <c r="E853" t="str" s="8" cm="1">
        <f t="array" ref="E853">IF(D853="M","Male",IF(D853="F","Female","Check"))</f>
        <v>Female</v>
      </c>
      <c r="F853" s="4">
        <v>30000</v>
      </c>
      <c r="G853" t="str" s="8" cm="1">
        <f t="array" ref="G853">IF(F853="","Check","okay")</f>
        <v>okay</v>
      </c>
      <c r="H853" s="3">
        <v>2</v>
      </c>
      <c r="I853" t="s" s="2">
        <v>21</v>
      </c>
      <c r="J853" t="s" s="2">
        <v>22</v>
      </c>
      <c r="K853" t="s" s="2">
        <v>20</v>
      </c>
      <c r="L853" s="3">
        <v>2</v>
      </c>
      <c r="M853" t="s" s="2">
        <v>18</v>
      </c>
      <c r="N853" t="s" s="2">
        <v>27</v>
      </c>
      <c r="O853" s="3">
        <v>69</v>
      </c>
      <c r="P853" t="str" s="8" cm="1">
        <f t="array" ref="P853">IF(O853="","check","Okay")</f>
        <v>Okay</v>
      </c>
      <c r="Q853" t="str" s="8" cm="1">
        <f t="array" ref="Q853">IF(O853&lt;30,"UNDER 30",IF(O853&lt;=50,"30-50","Over 50"))</f>
        <v>Over 50</v>
      </c>
      <c r="R853" t="s" s="2">
        <v>20</v>
      </c>
      <c r="S853" s="3" cm="1">
        <f t="array" ref="S853">COUNTIF(A2:A1001,A853)</f>
        <v>1</v>
      </c>
      <c r="T853" t="str" s="8" cm="1">
        <f t="array" ref="T853">IF(ISNUMBER(F853),"Ok","check")</f>
        <v>Ok</v>
      </c>
      <c r="U853" t="str" s="8" cm="1">
        <f t="array" ref="U853">IF(ISNUMBER(O853),"ok","check")</f>
        <v>ok</v>
      </c>
    </row>
    <row r="854" ht="13.55" customHeight="1">
      <c r="A854" s="3">
        <v>22974</v>
      </c>
      <c r="B854" t="s" s="2">
        <v>13</v>
      </c>
      <c r="C854" t="str" s="8" cm="1">
        <f t="array" ref="C854">IF(B854="M","Married","Single")</f>
        <v>Married</v>
      </c>
      <c r="D854" t="s" s="2">
        <v>14</v>
      </c>
      <c r="E854" t="str" s="8" cm="1">
        <f t="array" ref="E854">IF(D854="M","Male",IF(D854="F","Female","Check"))</f>
        <v>Female</v>
      </c>
      <c r="F854" s="4">
        <v>30000</v>
      </c>
      <c r="G854" t="str" s="8" cm="1">
        <f t="array" ref="G854">IF(F854="","Check","okay")</f>
        <v>okay</v>
      </c>
      <c r="H854" s="3">
        <v>2</v>
      </c>
      <c r="I854" t="s" s="2">
        <v>21</v>
      </c>
      <c r="J854" t="s" s="2">
        <v>22</v>
      </c>
      <c r="K854" t="s" s="2">
        <v>17</v>
      </c>
      <c r="L854" s="3">
        <v>2</v>
      </c>
      <c r="M854" t="s" s="2">
        <v>26</v>
      </c>
      <c r="N854" t="s" s="2">
        <v>27</v>
      </c>
      <c r="O854" s="3">
        <v>69</v>
      </c>
      <c r="P854" t="str" s="8" cm="1">
        <f t="array" ref="P854">IF(O854="","check","Okay")</f>
        <v>Okay</v>
      </c>
      <c r="Q854" t="str" s="8" cm="1">
        <f t="array" ref="Q854">IF(O854&lt;30,"UNDER 30",IF(O854&lt;=50,"30-50","Over 50"))</f>
        <v>Over 50</v>
      </c>
      <c r="R854" t="s" s="2">
        <v>20</v>
      </c>
      <c r="S854" s="3" cm="1">
        <f t="array" ref="S854">COUNTIF(A2:A1001,A854)</f>
        <v>1</v>
      </c>
      <c r="T854" t="str" s="8" cm="1">
        <f t="array" ref="T854">IF(ISNUMBER(F854),"Ok","check")</f>
        <v>Ok</v>
      </c>
      <c r="U854" t="str" s="8" cm="1">
        <f t="array" ref="U854">IF(ISNUMBER(O854),"ok","check")</f>
        <v>ok</v>
      </c>
    </row>
    <row r="855" ht="13.55" customHeight="1">
      <c r="A855" s="3">
        <v>13673</v>
      </c>
      <c r="B855" t="s" s="2">
        <v>25</v>
      </c>
      <c r="C855" t="str" s="8" cm="1">
        <f t="array" ref="C855">IF(B855="M","Married","Single")</f>
        <v>Single</v>
      </c>
      <c r="D855" t="s" s="2">
        <v>14</v>
      </c>
      <c r="E855" t="str" s="8" cm="1">
        <f t="array" ref="E855">IF(D855="M","Male",IF(D855="F","Female","Check"))</f>
        <v>Female</v>
      </c>
      <c r="F855" s="4">
        <v>20000</v>
      </c>
      <c r="G855" t="str" s="8" cm="1">
        <f t="array" ref="G855">IF(F855="","Check","okay")</f>
        <v>okay</v>
      </c>
      <c r="H855" s="3">
        <v>0</v>
      </c>
      <c r="I855" t="s" s="2">
        <v>32</v>
      </c>
      <c r="J855" t="s" s="2">
        <v>28</v>
      </c>
      <c r="K855" t="s" s="2">
        <v>20</v>
      </c>
      <c r="L855" s="3">
        <v>2</v>
      </c>
      <c r="M855" t="s" s="2">
        <v>18</v>
      </c>
      <c r="N855" t="s" s="2">
        <v>19</v>
      </c>
      <c r="O855" s="3">
        <v>25</v>
      </c>
      <c r="P855" t="str" s="8" cm="1">
        <f t="array" ref="P855">IF(O855="","check","Okay")</f>
        <v>Okay</v>
      </c>
      <c r="Q855" t="str" s="8" cm="1">
        <f t="array" ref="Q855">IF(O855&lt;30,"UNDER 30",IF(O855&lt;=50,"30-50","Over 50"))</f>
        <v>UNDER 30</v>
      </c>
      <c r="R855" t="s" s="2">
        <v>20</v>
      </c>
      <c r="S855" s="3" cm="1">
        <f t="array" ref="S855">COUNTIF(A2:A1001,A855)</f>
        <v>1</v>
      </c>
      <c r="T855" t="str" s="8" cm="1">
        <f t="array" ref="T855">IF(ISNUMBER(F855),"Ok","check")</f>
        <v>Ok</v>
      </c>
      <c r="U855" t="str" s="8" cm="1">
        <f t="array" ref="U855">IF(ISNUMBER(O855),"ok","check")</f>
        <v>ok</v>
      </c>
    </row>
    <row r="856" ht="13.55" customHeight="1">
      <c r="A856" s="3">
        <v>25559</v>
      </c>
      <c r="B856" t="s" s="2">
        <v>25</v>
      </c>
      <c r="C856" t="str" s="8" cm="1">
        <f t="array" ref="C856">IF(B856="M","Married","Single")</f>
        <v>Single</v>
      </c>
      <c r="D856" t="s" s="2">
        <v>13</v>
      </c>
      <c r="E856" t="str" s="8" cm="1">
        <f t="array" ref="E856">IF(D856="M","Male",IF(D856="F","Female","Check"))</f>
        <v>Male</v>
      </c>
      <c r="F856" s="4">
        <v>20000</v>
      </c>
      <c r="G856" t="str" s="8" cm="1">
        <f t="array" ref="G856">IF(F856="","Check","okay")</f>
        <v>okay</v>
      </c>
      <c r="H856" s="3">
        <v>0</v>
      </c>
      <c r="I856" t="s" s="2">
        <v>15</v>
      </c>
      <c r="J856" t="s" s="2">
        <v>22</v>
      </c>
      <c r="K856" t="s" s="2">
        <v>17</v>
      </c>
      <c r="L856" s="3">
        <v>0</v>
      </c>
      <c r="M856" t="s" s="2">
        <v>18</v>
      </c>
      <c r="N856" t="s" s="2">
        <v>27</v>
      </c>
      <c r="O856" s="3">
        <v>25</v>
      </c>
      <c r="P856" t="str" s="8" cm="1">
        <f t="array" ref="P856">IF(O856="","check","Okay")</f>
        <v>Okay</v>
      </c>
      <c r="Q856" t="str" s="8" cm="1">
        <f t="array" ref="Q856">IF(O856&lt;30,"UNDER 30",IF(O856&lt;=50,"30-50","Over 50"))</f>
        <v>UNDER 30</v>
      </c>
      <c r="R856" t="s" s="2">
        <v>17</v>
      </c>
      <c r="S856" s="3" cm="1">
        <f t="array" ref="S856">COUNTIF(A2:A1001,A856)</f>
        <v>1</v>
      </c>
      <c r="T856" t="str" s="8" cm="1">
        <f t="array" ref="T856">IF(ISNUMBER(F856),"Ok","check")</f>
        <v>Ok</v>
      </c>
      <c r="U856" t="str" s="8" cm="1">
        <f t="array" ref="U856">IF(ISNUMBER(O856),"ok","check")</f>
        <v>ok</v>
      </c>
    </row>
    <row r="857" ht="13.55" customHeight="1">
      <c r="A857" s="3">
        <v>20994</v>
      </c>
      <c r="B857" t="s" s="2">
        <v>13</v>
      </c>
      <c r="C857" t="str" s="8" cm="1">
        <f t="array" ref="C857">IF(B857="M","Married","Single")</f>
        <v>Married</v>
      </c>
      <c r="D857" t="s" s="2">
        <v>14</v>
      </c>
      <c r="E857" t="str" s="8" cm="1">
        <f t="array" ref="E857">IF(D857="M","Male",IF(D857="F","Female","Check"))</f>
        <v>Female</v>
      </c>
      <c r="F857" s="4">
        <v>20000</v>
      </c>
      <c r="G857" t="str" s="8" cm="1">
        <f t="array" ref="G857">IF(F857="","Check","okay")</f>
        <v>okay</v>
      </c>
      <c r="H857" s="3">
        <v>0</v>
      </c>
      <c r="I857" t="s" s="2">
        <v>15</v>
      </c>
      <c r="J857" t="s" s="2">
        <v>22</v>
      </c>
      <c r="K857" t="s" s="2">
        <v>20</v>
      </c>
      <c r="L857" s="3">
        <v>0</v>
      </c>
      <c r="M857" t="s" s="2">
        <v>18</v>
      </c>
      <c r="N857" t="s" s="2">
        <v>27</v>
      </c>
      <c r="O857" s="3">
        <v>26</v>
      </c>
      <c r="P857" t="str" s="8" cm="1">
        <f t="array" ref="P857">IF(O857="","check","Okay")</f>
        <v>Okay</v>
      </c>
      <c r="Q857" t="str" s="8" cm="1">
        <f t="array" ref="Q857">IF(O857&lt;30,"UNDER 30",IF(O857&lt;=50,"30-50","Over 50"))</f>
        <v>UNDER 30</v>
      </c>
      <c r="R857" t="s" s="2">
        <v>17</v>
      </c>
      <c r="S857" s="3" cm="1">
        <f t="array" ref="S857">COUNTIF(A2:A1001,A857)</f>
        <v>1</v>
      </c>
      <c r="T857" t="str" s="8" cm="1">
        <f t="array" ref="T857">IF(ISNUMBER(F857),"Ok","check")</f>
        <v>Ok</v>
      </c>
      <c r="U857" t="str" s="8" cm="1">
        <f t="array" ref="U857">IF(ISNUMBER(O857),"ok","check")</f>
        <v>ok</v>
      </c>
    </row>
    <row r="858" ht="13.55" customHeight="1">
      <c r="A858" s="3">
        <v>16188</v>
      </c>
      <c r="B858" t="s" s="2">
        <v>25</v>
      </c>
      <c r="C858" t="str" s="8" cm="1">
        <f t="array" ref="C858">IF(B858="M","Married","Single")</f>
        <v>Single</v>
      </c>
      <c r="D858" t="s" s="2">
        <v>14</v>
      </c>
      <c r="E858" t="str" s="8" cm="1">
        <f t="array" ref="E858">IF(D858="M","Male",IF(D858="F","Female","Check"))</f>
        <v>Female</v>
      </c>
      <c r="F858" s="4">
        <v>20000</v>
      </c>
      <c r="G858" t="str" s="8" cm="1">
        <f t="array" ref="G858">IF(F858="","Check","okay")</f>
        <v>okay</v>
      </c>
      <c r="H858" s="3">
        <v>0</v>
      </c>
      <c r="I858" t="s" s="2">
        <v>32</v>
      </c>
      <c r="J858" t="s" s="2">
        <v>28</v>
      </c>
      <c r="K858" t="s" s="2">
        <v>20</v>
      </c>
      <c r="L858" s="3">
        <v>2</v>
      </c>
      <c r="M858" t="s" s="2">
        <v>29</v>
      </c>
      <c r="N858" t="s" s="2">
        <v>19</v>
      </c>
      <c r="O858" s="3">
        <v>26</v>
      </c>
      <c r="P858" t="str" s="8" cm="1">
        <f t="array" ref="P858">IF(O858="","check","Okay")</f>
        <v>Okay</v>
      </c>
      <c r="Q858" t="str" s="8" cm="1">
        <f t="array" ref="Q858">IF(O858&lt;30,"UNDER 30",IF(O858&lt;=50,"30-50","Over 50"))</f>
        <v>UNDER 30</v>
      </c>
      <c r="R858" t="s" s="2">
        <v>20</v>
      </c>
      <c r="S858" s="3" cm="1">
        <f t="array" ref="S858">COUNTIF(A2:A1001,A858)</f>
        <v>1</v>
      </c>
      <c r="T858" t="str" s="8" cm="1">
        <f t="array" ref="T858">IF(ISNUMBER(F858),"Ok","check")</f>
        <v>Ok</v>
      </c>
      <c r="U858" t="str" s="8" cm="1">
        <f t="array" ref="U858">IF(ISNUMBER(O858),"ok","check")</f>
        <v>ok</v>
      </c>
    </row>
    <row r="859" ht="13.55" customHeight="1">
      <c r="A859" s="3">
        <v>28729</v>
      </c>
      <c r="B859" t="s" s="2">
        <v>25</v>
      </c>
      <c r="C859" t="str" s="8" cm="1">
        <f t="array" ref="C859">IF(B859="M","Married","Single")</f>
        <v>Single</v>
      </c>
      <c r="D859" t="s" s="2">
        <v>14</v>
      </c>
      <c r="E859" t="str" s="8" cm="1">
        <f t="array" ref="E859">IF(D859="M","Male",IF(D859="F","Female","Check"))</f>
        <v>Female</v>
      </c>
      <c r="F859" s="4">
        <v>20000</v>
      </c>
      <c r="G859" t="str" s="8" cm="1">
        <f t="array" ref="G859">IF(F859="","Check","okay")</f>
        <v>okay</v>
      </c>
      <c r="H859" s="3">
        <v>0</v>
      </c>
      <c r="I859" t="s" s="2">
        <v>32</v>
      </c>
      <c r="J859" t="s" s="2">
        <v>28</v>
      </c>
      <c r="K859" t="s" s="2">
        <v>17</v>
      </c>
      <c r="L859" s="3">
        <v>2</v>
      </c>
      <c r="M859" t="s" s="2">
        <v>29</v>
      </c>
      <c r="N859" t="s" s="2">
        <v>19</v>
      </c>
      <c r="O859" s="3">
        <v>26</v>
      </c>
      <c r="P859" t="str" s="8" cm="1">
        <f t="array" ref="P859">IF(O859="","check","Okay")</f>
        <v>Okay</v>
      </c>
      <c r="Q859" t="str" s="8" cm="1">
        <f t="array" ref="Q859">IF(O859&lt;30,"UNDER 30",IF(O859&lt;=50,"30-50","Over 50"))</f>
        <v>UNDER 30</v>
      </c>
      <c r="R859" t="s" s="2">
        <v>17</v>
      </c>
      <c r="S859" s="3" cm="1">
        <f t="array" ref="S859">COUNTIF(A2:A1001,A859)</f>
        <v>1</v>
      </c>
      <c r="T859" t="str" s="8" cm="1">
        <f t="array" ref="T859">IF(ISNUMBER(F859),"Ok","check")</f>
        <v>Ok</v>
      </c>
      <c r="U859" t="str" s="8" cm="1">
        <f t="array" ref="U859">IF(ISNUMBER(O859),"ok","check")</f>
        <v>ok</v>
      </c>
    </row>
    <row r="860" ht="13.55" customHeight="1">
      <c r="A860" s="3">
        <v>15030</v>
      </c>
      <c r="B860" t="s" s="2">
        <v>13</v>
      </c>
      <c r="C860" t="str" s="8" cm="1">
        <f t="array" ref="C860">IF(B860="M","Married","Single")</f>
        <v>Married</v>
      </c>
      <c r="D860" t="s" s="2">
        <v>13</v>
      </c>
      <c r="E860" t="str" s="8" cm="1">
        <f t="array" ref="E860">IF(D860="M","Male",IF(D860="F","Female","Check"))</f>
        <v>Male</v>
      </c>
      <c r="F860" s="4">
        <v>20000</v>
      </c>
      <c r="G860" t="str" s="8" cm="1">
        <f t="array" ref="G860">IF(F860="","Check","okay")</f>
        <v>okay</v>
      </c>
      <c r="H860" s="3">
        <v>0</v>
      </c>
      <c r="I860" t="s" s="2">
        <v>15</v>
      </c>
      <c r="J860" t="s" s="2">
        <v>22</v>
      </c>
      <c r="K860" t="s" s="2">
        <v>17</v>
      </c>
      <c r="L860" s="3">
        <v>0</v>
      </c>
      <c r="M860" t="s" s="2">
        <v>18</v>
      </c>
      <c r="N860" t="s" s="2">
        <v>27</v>
      </c>
      <c r="O860" s="3">
        <v>26</v>
      </c>
      <c r="P860" t="str" s="8" cm="1">
        <f t="array" ref="P860">IF(O860="","check","Okay")</f>
        <v>Okay</v>
      </c>
      <c r="Q860" t="str" s="8" cm="1">
        <f t="array" ref="Q860">IF(O860&lt;30,"UNDER 30",IF(O860&lt;=50,"30-50","Over 50"))</f>
        <v>UNDER 30</v>
      </c>
      <c r="R860" t="s" s="2">
        <v>17</v>
      </c>
      <c r="S860" s="3" cm="1">
        <f t="array" ref="S860">COUNTIF(A2:A1001,A860)</f>
        <v>1</v>
      </c>
      <c r="T860" t="str" s="8" cm="1">
        <f t="array" ref="T860">IF(ISNUMBER(F860),"Ok","check")</f>
        <v>Ok</v>
      </c>
      <c r="U860" t="str" s="8" cm="1">
        <f t="array" ref="U860">IF(ISNUMBER(O860),"ok","check")</f>
        <v>ok</v>
      </c>
    </row>
    <row r="861" ht="13.55" customHeight="1">
      <c r="A861" s="3">
        <v>20927</v>
      </c>
      <c r="B861" t="s" s="2">
        <v>25</v>
      </c>
      <c r="C861" t="str" s="8" cm="1">
        <f t="array" ref="C861">IF(B861="M","Married","Single")</f>
        <v>Single</v>
      </c>
      <c r="D861" t="s" s="2">
        <v>14</v>
      </c>
      <c r="E861" t="str" s="8" cm="1">
        <f t="array" ref="E861">IF(D861="M","Male",IF(D861="F","Female","Check"))</f>
        <v>Female</v>
      </c>
      <c r="F861" s="4">
        <v>20000</v>
      </c>
      <c r="G861" t="str" s="8" cm="1">
        <f t="array" ref="G861">IF(F861="","Check","okay")</f>
        <v>okay</v>
      </c>
      <c r="H861" s="3">
        <v>5</v>
      </c>
      <c r="I861" t="s" s="2">
        <v>30</v>
      </c>
      <c r="J861" t="s" s="2">
        <v>28</v>
      </c>
      <c r="K861" t="s" s="2">
        <v>17</v>
      </c>
      <c r="L861" s="3">
        <v>2</v>
      </c>
      <c r="M861" t="s" s="2">
        <v>18</v>
      </c>
      <c r="N861" t="s" s="2">
        <v>19</v>
      </c>
      <c r="O861" s="3">
        <v>27</v>
      </c>
      <c r="P861" t="str" s="8" cm="1">
        <f t="array" ref="P861">IF(O861="","check","Okay")</f>
        <v>Okay</v>
      </c>
      <c r="Q861" t="str" s="8" cm="1">
        <f t="array" ref="Q861">IF(O861&lt;30,"UNDER 30",IF(O861&lt;=50,"30-50","Over 50"))</f>
        <v>UNDER 30</v>
      </c>
      <c r="R861" t="s" s="2">
        <v>20</v>
      </c>
      <c r="S861" s="3" cm="1">
        <f t="array" ref="S861">COUNTIF(A2:A1001,A861)</f>
        <v>1</v>
      </c>
      <c r="T861" t="str" s="8" cm="1">
        <f t="array" ref="T861">IF(ISNUMBER(F861),"Ok","check")</f>
        <v>Ok</v>
      </c>
      <c r="U861" t="str" s="8" cm="1">
        <f t="array" ref="U861">IF(ISNUMBER(O861),"ok","check")</f>
        <v>ok</v>
      </c>
    </row>
    <row r="862" ht="13.55" customHeight="1">
      <c r="A862" s="3">
        <v>24174</v>
      </c>
      <c r="B862" t="s" s="2">
        <v>13</v>
      </c>
      <c r="C862" t="str" s="8" cm="1">
        <f t="array" ref="C862">IF(B862="M","Married","Single")</f>
        <v>Married</v>
      </c>
      <c r="D862" t="s" s="2">
        <v>13</v>
      </c>
      <c r="E862" t="str" s="8" cm="1">
        <f t="array" ref="E862">IF(D862="M","Male",IF(D862="F","Female","Check"))</f>
        <v>Male</v>
      </c>
      <c r="F862" s="4">
        <v>20000</v>
      </c>
      <c r="G862" t="str" s="8" cm="1">
        <f t="array" ref="G862">IF(F862="","Check","okay")</f>
        <v>okay</v>
      </c>
      <c r="H862" s="3">
        <v>0</v>
      </c>
      <c r="I862" t="s" s="2">
        <v>15</v>
      </c>
      <c r="J862" t="s" s="2">
        <v>22</v>
      </c>
      <c r="K862" t="s" s="2">
        <v>17</v>
      </c>
      <c r="L862" s="3">
        <v>0</v>
      </c>
      <c r="M862" t="s" s="2">
        <v>18</v>
      </c>
      <c r="N862" t="s" s="2">
        <v>27</v>
      </c>
      <c r="O862" s="3">
        <v>27</v>
      </c>
      <c r="P862" t="str" s="8" cm="1">
        <f t="array" ref="P862">IF(O862="","check","Okay")</f>
        <v>Okay</v>
      </c>
      <c r="Q862" t="str" s="8" cm="1">
        <f t="array" ref="Q862">IF(O862&lt;30,"UNDER 30",IF(O862&lt;=50,"30-50","Over 50"))</f>
        <v>UNDER 30</v>
      </c>
      <c r="R862" t="s" s="2">
        <v>17</v>
      </c>
      <c r="S862" s="3" cm="1">
        <f t="array" ref="S862">COUNTIF(A2:A1001,A862)</f>
        <v>1</v>
      </c>
      <c r="T862" t="str" s="8" cm="1">
        <f t="array" ref="T862">IF(ISNUMBER(F862),"Ok","check")</f>
        <v>Ok</v>
      </c>
      <c r="U862" t="str" s="8" cm="1">
        <f t="array" ref="U862">IF(ISNUMBER(O862),"ok","check")</f>
        <v>ok</v>
      </c>
    </row>
    <row r="863" ht="13.55" customHeight="1">
      <c r="A863" s="3">
        <v>25665</v>
      </c>
      <c r="B863" t="s" s="2">
        <v>25</v>
      </c>
      <c r="C863" t="str" s="8" cm="1">
        <f t="array" ref="C863">IF(B863="M","Married","Single")</f>
        <v>Single</v>
      </c>
      <c r="D863" t="s" s="2">
        <v>14</v>
      </c>
      <c r="E863" t="str" s="8" cm="1">
        <f t="array" ref="E863">IF(D863="M","Male",IF(D863="F","Female","Check"))</f>
        <v>Female</v>
      </c>
      <c r="F863" s="4">
        <v>20000</v>
      </c>
      <c r="G863" t="str" s="8" cm="1">
        <f t="array" ref="G863">IF(F863="","Check","okay")</f>
        <v>okay</v>
      </c>
      <c r="H863" s="3">
        <v>0</v>
      </c>
      <c r="I863" t="s" s="2">
        <v>30</v>
      </c>
      <c r="J863" t="s" s="2">
        <v>28</v>
      </c>
      <c r="K863" t="s" s="2">
        <v>20</v>
      </c>
      <c r="L863" s="3">
        <v>1</v>
      </c>
      <c r="M863" t="s" s="2">
        <v>29</v>
      </c>
      <c r="N863" t="s" s="2">
        <v>19</v>
      </c>
      <c r="O863" s="3">
        <v>28</v>
      </c>
      <c r="P863" t="str" s="8" cm="1">
        <f t="array" ref="P863">IF(O863="","check","Okay")</f>
        <v>Okay</v>
      </c>
      <c r="Q863" t="str" s="8" cm="1">
        <f t="array" ref="Q863">IF(O863&lt;30,"UNDER 30",IF(O863&lt;=50,"30-50","Over 50"))</f>
        <v>UNDER 30</v>
      </c>
      <c r="R863" t="s" s="2">
        <v>20</v>
      </c>
      <c r="S863" s="3" cm="1">
        <f t="array" ref="S863">COUNTIF(A2:A1001,A863)</f>
        <v>1</v>
      </c>
      <c r="T863" t="str" s="8" cm="1">
        <f t="array" ref="T863">IF(ISNUMBER(F863),"Ok","check")</f>
        <v>Ok</v>
      </c>
      <c r="U863" t="str" s="8" cm="1">
        <f t="array" ref="U863">IF(ISNUMBER(O863),"ok","check")</f>
        <v>ok</v>
      </c>
    </row>
    <row r="864" ht="13.55" customHeight="1">
      <c r="A864" s="3">
        <v>26863</v>
      </c>
      <c r="B864" t="s" s="2">
        <v>25</v>
      </c>
      <c r="C864" t="str" s="8" cm="1">
        <f t="array" ref="C864">IF(B864="M","Married","Single")</f>
        <v>Single</v>
      </c>
      <c r="D864" t="s" s="2">
        <v>13</v>
      </c>
      <c r="E864" t="str" s="8" cm="1">
        <f t="array" ref="E864">IF(D864="M","Male",IF(D864="F","Female","Check"))</f>
        <v>Male</v>
      </c>
      <c r="F864" s="4">
        <v>20000</v>
      </c>
      <c r="G864" t="str" s="8" cm="1">
        <f t="array" ref="G864">IF(F864="","Check","okay")</f>
        <v>okay</v>
      </c>
      <c r="H864" s="3">
        <v>0</v>
      </c>
      <c r="I864" t="s" s="2">
        <v>30</v>
      </c>
      <c r="J864" t="s" s="2">
        <v>28</v>
      </c>
      <c r="K864" t="s" s="2">
        <v>20</v>
      </c>
      <c r="L864" s="3">
        <v>1</v>
      </c>
      <c r="M864" t="s" s="2">
        <v>24</v>
      </c>
      <c r="N864" t="s" s="2">
        <v>19</v>
      </c>
      <c r="O864" s="3">
        <v>28</v>
      </c>
      <c r="P864" t="str" s="8" cm="1">
        <f t="array" ref="P864">IF(O864="","check","Okay")</f>
        <v>Okay</v>
      </c>
      <c r="Q864" t="str" s="8" cm="1">
        <f t="array" ref="Q864">IF(O864&lt;30,"UNDER 30",IF(O864&lt;=50,"30-50","Over 50"))</f>
        <v>UNDER 30</v>
      </c>
      <c r="R864" t="s" s="2">
        <v>20</v>
      </c>
      <c r="S864" s="3" cm="1">
        <f t="array" ref="S864">COUNTIF(A2:A1001,A864)</f>
        <v>1</v>
      </c>
      <c r="T864" t="str" s="8" cm="1">
        <f t="array" ref="T864">IF(ISNUMBER(F864),"Ok","check")</f>
        <v>Ok</v>
      </c>
      <c r="U864" t="str" s="8" cm="1">
        <f t="array" ref="U864">IF(ISNUMBER(O864),"ok","check")</f>
        <v>ok</v>
      </c>
    </row>
    <row r="865" ht="13.55" customHeight="1">
      <c r="A865" s="3">
        <v>27878</v>
      </c>
      <c r="B865" t="s" s="2">
        <v>25</v>
      </c>
      <c r="C865" t="str" s="8" cm="1">
        <f t="array" ref="C865">IF(B865="M","Married","Single")</f>
        <v>Single</v>
      </c>
      <c r="D865" t="s" s="2">
        <v>13</v>
      </c>
      <c r="E865" t="str" s="8" cm="1">
        <f t="array" ref="E865">IF(D865="M","Male",IF(D865="F","Female","Check"))</f>
        <v>Male</v>
      </c>
      <c r="F865" s="4">
        <v>20000</v>
      </c>
      <c r="G865" t="str" s="8" cm="1">
        <f t="array" ref="G865">IF(F865="","Check","okay")</f>
        <v>okay</v>
      </c>
      <c r="H865" s="3">
        <v>0</v>
      </c>
      <c r="I865" t="s" s="2">
        <v>21</v>
      </c>
      <c r="J865" t="s" s="2">
        <v>28</v>
      </c>
      <c r="K865" t="s" s="2">
        <v>20</v>
      </c>
      <c r="L865" s="3">
        <v>0</v>
      </c>
      <c r="M865" t="s" s="2">
        <v>18</v>
      </c>
      <c r="N865" t="s" s="2">
        <v>27</v>
      </c>
      <c r="O865" s="3">
        <v>28</v>
      </c>
      <c r="P865" t="str" s="8" cm="1">
        <f t="array" ref="P865">IF(O865="","check","Okay")</f>
        <v>Okay</v>
      </c>
      <c r="Q865" t="str" s="8" cm="1">
        <f t="array" ref="Q865">IF(O865&lt;30,"UNDER 30",IF(O865&lt;=50,"30-50","Over 50"))</f>
        <v>UNDER 30</v>
      </c>
      <c r="R865" t="s" s="2">
        <v>17</v>
      </c>
      <c r="S865" s="3" cm="1">
        <f t="array" ref="S865">COUNTIF(A2:A1001,A865)</f>
        <v>1</v>
      </c>
      <c r="T865" t="str" s="8" cm="1">
        <f t="array" ref="T865">IF(ISNUMBER(F865),"Ok","check")</f>
        <v>Ok</v>
      </c>
      <c r="U865" t="str" s="8" cm="1">
        <f t="array" ref="U865">IF(ISNUMBER(O865),"ok","check")</f>
        <v>ok</v>
      </c>
    </row>
    <row r="866" ht="13.55" customHeight="1">
      <c r="A866" s="3">
        <v>28488</v>
      </c>
      <c r="B866" t="s" s="2">
        <v>25</v>
      </c>
      <c r="C866" t="str" s="8" cm="1">
        <f t="array" ref="C866">IF(B866="M","Married","Single")</f>
        <v>Single</v>
      </c>
      <c r="D866" t="s" s="2">
        <v>13</v>
      </c>
      <c r="E866" t="str" s="8" cm="1">
        <f t="array" ref="E866">IF(D866="M","Male",IF(D866="F","Female","Check"))</f>
        <v>Male</v>
      </c>
      <c r="F866" s="4">
        <v>20000</v>
      </c>
      <c r="G866" t="str" s="8" cm="1">
        <f t="array" ref="G866">IF(F866="","Check","okay")</f>
        <v>okay</v>
      </c>
      <c r="H866" s="3">
        <v>0</v>
      </c>
      <c r="I866" t="s" s="2">
        <v>21</v>
      </c>
      <c r="J866" t="s" s="2">
        <v>28</v>
      </c>
      <c r="K866" t="s" s="2">
        <v>17</v>
      </c>
      <c r="L866" s="3">
        <v>0</v>
      </c>
      <c r="M866" t="s" s="2">
        <v>18</v>
      </c>
      <c r="N866" t="s" s="2">
        <v>27</v>
      </c>
      <c r="O866" s="3">
        <v>28</v>
      </c>
      <c r="P866" t="str" s="8" cm="1">
        <f t="array" ref="P866">IF(O866="","check","Okay")</f>
        <v>Okay</v>
      </c>
      <c r="Q866" t="str" s="8" cm="1">
        <f t="array" ref="Q866">IF(O866&lt;30,"UNDER 30",IF(O866&lt;=50,"30-50","Over 50"))</f>
        <v>UNDER 30</v>
      </c>
      <c r="R866" t="s" s="2">
        <v>17</v>
      </c>
      <c r="S866" s="3" cm="1">
        <f t="array" ref="S866">COUNTIF(A2:A1001,A866)</f>
        <v>1</v>
      </c>
      <c r="T866" t="str" s="8" cm="1">
        <f t="array" ref="T866">IF(ISNUMBER(F866),"Ok","check")</f>
        <v>Ok</v>
      </c>
      <c r="U866" t="str" s="8" cm="1">
        <f t="array" ref="U866">IF(ISNUMBER(O866),"ok","check")</f>
        <v>ok</v>
      </c>
    </row>
    <row r="867" ht="13.55" customHeight="1">
      <c r="A867" s="3">
        <v>12253</v>
      </c>
      <c r="B867" t="s" s="2">
        <v>25</v>
      </c>
      <c r="C867" t="str" s="8" cm="1">
        <f t="array" ref="C867">IF(B867="M","Married","Single")</f>
        <v>Single</v>
      </c>
      <c r="D867" t="s" s="2">
        <v>14</v>
      </c>
      <c r="E867" t="str" s="8" cm="1">
        <f t="array" ref="E867">IF(D867="M","Male",IF(D867="F","Female","Check"))</f>
        <v>Female</v>
      </c>
      <c r="F867" s="4">
        <v>20000</v>
      </c>
      <c r="G867" t="str" s="8" cm="1">
        <f t="array" ref="G867">IF(F867="","Check","okay")</f>
        <v>okay</v>
      </c>
      <c r="H867" s="3">
        <v>0</v>
      </c>
      <c r="I867" t="s" s="2">
        <v>21</v>
      </c>
      <c r="J867" t="s" s="2">
        <v>28</v>
      </c>
      <c r="K867" t="s" s="2">
        <v>17</v>
      </c>
      <c r="L867" s="3">
        <v>0</v>
      </c>
      <c r="M867" t="s" s="2">
        <v>18</v>
      </c>
      <c r="N867" t="s" s="2">
        <v>27</v>
      </c>
      <c r="O867" s="3">
        <v>29</v>
      </c>
      <c r="P867" t="str" s="8" cm="1">
        <f t="array" ref="P867">IF(O867="","check","Okay")</f>
        <v>Okay</v>
      </c>
      <c r="Q867" t="str" s="8" cm="1">
        <f t="array" ref="Q867">IF(O867&lt;30,"UNDER 30",IF(O867&lt;=50,"30-50","Over 50"))</f>
        <v>UNDER 30</v>
      </c>
      <c r="R867" t="s" s="2">
        <v>17</v>
      </c>
      <c r="S867" s="3" cm="1">
        <f t="array" ref="S867">COUNTIF(A2:A1001,A867)</f>
        <v>1</v>
      </c>
      <c r="T867" t="str" s="8" cm="1">
        <f t="array" ref="T867">IF(ISNUMBER(F867),"Ok","check")</f>
        <v>Ok</v>
      </c>
      <c r="U867" t="str" s="8" cm="1">
        <f t="array" ref="U867">IF(ISNUMBER(O867),"ok","check")</f>
        <v>ok</v>
      </c>
    </row>
    <row r="868" ht="13.55" customHeight="1">
      <c r="A868" s="3">
        <v>22527</v>
      </c>
      <c r="B868" t="s" s="2">
        <v>25</v>
      </c>
      <c r="C868" t="str" s="8" cm="1">
        <f t="array" ref="C868">IF(B868="M","Married","Single")</f>
        <v>Single</v>
      </c>
      <c r="D868" t="s" s="2">
        <v>14</v>
      </c>
      <c r="E868" t="str" s="8" cm="1">
        <f t="array" ref="E868">IF(D868="M","Male",IF(D868="F","Female","Check"))</f>
        <v>Female</v>
      </c>
      <c r="F868" s="4">
        <v>20000</v>
      </c>
      <c r="G868" t="str" s="8" cm="1">
        <f t="array" ref="G868">IF(F868="","Check","okay")</f>
        <v>okay</v>
      </c>
      <c r="H868" s="3">
        <v>0</v>
      </c>
      <c r="I868" t="s" s="2">
        <v>30</v>
      </c>
      <c r="J868" t="s" s="2">
        <v>28</v>
      </c>
      <c r="K868" t="s" s="2">
        <v>20</v>
      </c>
      <c r="L868" s="3">
        <v>1</v>
      </c>
      <c r="M868" t="s" s="2">
        <v>24</v>
      </c>
      <c r="N868" t="s" s="2">
        <v>19</v>
      </c>
      <c r="O868" s="3">
        <v>29</v>
      </c>
      <c r="P868" t="str" s="8" cm="1">
        <f t="array" ref="P868">IF(O868="","check","Okay")</f>
        <v>Okay</v>
      </c>
      <c r="Q868" t="str" s="8" cm="1">
        <f t="array" ref="Q868">IF(O868&lt;30,"UNDER 30",IF(O868&lt;=50,"30-50","Over 50"))</f>
        <v>UNDER 30</v>
      </c>
      <c r="R868" t="s" s="2">
        <v>20</v>
      </c>
      <c r="S868" s="3" cm="1">
        <f t="array" ref="S868">COUNTIF(A2:A1001,A868)</f>
        <v>1</v>
      </c>
      <c r="T868" t="str" s="8" cm="1">
        <f t="array" ref="T868">IF(ISNUMBER(F868),"Ok","check")</f>
        <v>Ok</v>
      </c>
      <c r="U868" t="str" s="8" cm="1">
        <f t="array" ref="U868">IF(ISNUMBER(O868),"ok","check")</f>
        <v>ok</v>
      </c>
    </row>
    <row r="869" ht="13.55" customHeight="1">
      <c r="A869" s="3">
        <v>28412</v>
      </c>
      <c r="B869" t="s" s="2">
        <v>25</v>
      </c>
      <c r="C869" t="str" s="8" cm="1">
        <f t="array" ref="C869">IF(B869="M","Married","Single")</f>
        <v>Single</v>
      </c>
      <c r="D869" t="s" s="2">
        <v>13</v>
      </c>
      <c r="E869" t="str" s="8" cm="1">
        <f t="array" ref="E869">IF(D869="M","Male",IF(D869="F","Female","Check"))</f>
        <v>Male</v>
      </c>
      <c r="F869" s="4">
        <v>20000</v>
      </c>
      <c r="G869" t="str" s="8" cm="1">
        <f t="array" ref="G869">IF(F869="","Check","okay")</f>
        <v>okay</v>
      </c>
      <c r="H869" s="3">
        <v>0</v>
      </c>
      <c r="I869" t="s" s="2">
        <v>30</v>
      </c>
      <c r="J869" t="s" s="2">
        <v>28</v>
      </c>
      <c r="K869" t="s" s="2">
        <v>20</v>
      </c>
      <c r="L869" s="3">
        <v>1</v>
      </c>
      <c r="M869" t="s" s="2">
        <v>24</v>
      </c>
      <c r="N869" t="s" s="2">
        <v>19</v>
      </c>
      <c r="O869" s="3">
        <v>29</v>
      </c>
      <c r="P869" t="str" s="8" cm="1">
        <f t="array" ref="P869">IF(O869="","check","Okay")</f>
        <v>Okay</v>
      </c>
      <c r="Q869" t="str" s="8" cm="1">
        <f t="array" ref="Q869">IF(O869&lt;30,"UNDER 30",IF(O869&lt;=50,"30-50","Over 50"))</f>
        <v>UNDER 30</v>
      </c>
      <c r="R869" t="s" s="2">
        <v>20</v>
      </c>
      <c r="S869" s="3" cm="1">
        <f t="array" ref="S869">COUNTIF(A2:A1001,A869)</f>
        <v>1</v>
      </c>
      <c r="T869" t="str" s="8" cm="1">
        <f t="array" ref="T869">IF(ISNUMBER(F869),"Ok","check")</f>
        <v>Ok</v>
      </c>
      <c r="U869" t="str" s="8" cm="1">
        <f t="array" ref="U869">IF(ISNUMBER(O869),"ok","check")</f>
        <v>ok</v>
      </c>
    </row>
    <row r="870" ht="13.55" customHeight="1">
      <c r="A870" s="3">
        <v>26879</v>
      </c>
      <c r="B870" t="s" s="2">
        <v>25</v>
      </c>
      <c r="C870" t="str" s="8" cm="1">
        <f t="array" ref="C870">IF(B870="M","Married","Single")</f>
        <v>Single</v>
      </c>
      <c r="D870" t="s" s="2">
        <v>14</v>
      </c>
      <c r="E870" t="str" s="8" cm="1">
        <f t="array" ref="E870">IF(D870="M","Male",IF(D870="F","Female","Check"))</f>
        <v>Female</v>
      </c>
      <c r="F870" s="4">
        <v>20000</v>
      </c>
      <c r="G870" t="str" s="8" cm="1">
        <f t="array" ref="G870">IF(F870="","Check","okay")</f>
        <v>okay</v>
      </c>
      <c r="H870" s="3">
        <v>0</v>
      </c>
      <c r="I870" t="s" s="2">
        <v>30</v>
      </c>
      <c r="J870" t="s" s="2">
        <v>28</v>
      </c>
      <c r="K870" t="s" s="2">
        <v>20</v>
      </c>
      <c r="L870" s="3">
        <v>1</v>
      </c>
      <c r="M870" t="s" s="2">
        <v>24</v>
      </c>
      <c r="N870" t="s" s="2">
        <v>19</v>
      </c>
      <c r="O870" s="3">
        <v>30</v>
      </c>
      <c r="P870" t="str" s="8" cm="1">
        <f t="array" ref="P870">IF(O870="","check","Okay")</f>
        <v>Okay</v>
      </c>
      <c r="Q870" t="str" s="8" cm="1">
        <f t="array" ref="Q870">IF(O870&lt;30,"UNDER 30",IF(O870&lt;=50,"30-50","Over 50"))</f>
        <v>30-50</v>
      </c>
      <c r="R870" t="s" s="2">
        <v>20</v>
      </c>
      <c r="S870" s="3" cm="1">
        <f t="array" ref="S870">COUNTIF(A2:A1001,A870)</f>
        <v>1</v>
      </c>
      <c r="T870" t="str" s="8" cm="1">
        <f t="array" ref="T870">IF(ISNUMBER(F870),"Ok","check")</f>
        <v>Ok</v>
      </c>
      <c r="U870" t="str" s="8" cm="1">
        <f t="array" ref="U870">IF(ISNUMBER(O870),"ok","check")</f>
        <v>ok</v>
      </c>
    </row>
    <row r="871" ht="13.55" customHeight="1">
      <c r="A871" s="3">
        <v>25512</v>
      </c>
      <c r="B871" t="s" s="2">
        <v>25</v>
      </c>
      <c r="C871" t="str" s="8" cm="1">
        <f t="array" ref="C871">IF(B871="M","Married","Single")</f>
        <v>Single</v>
      </c>
      <c r="D871" t="s" s="2">
        <v>13</v>
      </c>
      <c r="E871" t="str" s="8" cm="1">
        <f t="array" ref="E871">IF(D871="M","Male",IF(D871="F","Female","Check"))</f>
        <v>Male</v>
      </c>
      <c r="F871" s="4">
        <v>20000</v>
      </c>
      <c r="G871" t="str" s="8" cm="1">
        <f t="array" ref="G871">IF(F871="","Check","okay")</f>
        <v>okay</v>
      </c>
      <c r="H871" s="3">
        <v>0</v>
      </c>
      <c r="I871" t="s" s="2">
        <v>30</v>
      </c>
      <c r="J871" t="s" s="2">
        <v>28</v>
      </c>
      <c r="K871" t="s" s="2">
        <v>20</v>
      </c>
      <c r="L871" s="3">
        <v>1</v>
      </c>
      <c r="M871" t="s" s="2">
        <v>24</v>
      </c>
      <c r="N871" t="s" s="2">
        <v>19</v>
      </c>
      <c r="O871" s="3">
        <v>30</v>
      </c>
      <c r="P871" t="str" s="8" cm="1">
        <f t="array" ref="P871">IF(O871="","check","Okay")</f>
        <v>Okay</v>
      </c>
      <c r="Q871" t="str" s="8" cm="1">
        <f t="array" ref="Q871">IF(O871&lt;30,"UNDER 30",IF(O871&lt;=50,"30-50","Over 50"))</f>
        <v>30-50</v>
      </c>
      <c r="R871" t="s" s="2">
        <v>20</v>
      </c>
      <c r="S871" s="3" cm="1">
        <f t="array" ref="S871">COUNTIF(A2:A1001,A871)</f>
        <v>1</v>
      </c>
      <c r="T871" t="str" s="8" cm="1">
        <f t="array" ref="T871">IF(ISNUMBER(F871),"Ok","check")</f>
        <v>Ok</v>
      </c>
      <c r="U871" t="str" s="8" cm="1">
        <f t="array" ref="U871">IF(ISNUMBER(O871),"ok","check")</f>
        <v>ok</v>
      </c>
    </row>
    <row r="872" ht="13.55" customHeight="1">
      <c r="A872" s="3">
        <v>20942</v>
      </c>
      <c r="B872" t="s" s="2">
        <v>25</v>
      </c>
      <c r="C872" t="str" s="8" cm="1">
        <f t="array" ref="C872">IF(B872="M","Married","Single")</f>
        <v>Single</v>
      </c>
      <c r="D872" t="s" s="2">
        <v>14</v>
      </c>
      <c r="E872" t="str" s="8" cm="1">
        <f t="array" ref="E872">IF(D872="M","Male",IF(D872="F","Female","Check"))</f>
        <v>Female</v>
      </c>
      <c r="F872" s="4">
        <v>20000</v>
      </c>
      <c r="G872" t="str" s="8" cm="1">
        <f t="array" ref="G872">IF(F872="","Check","okay")</f>
        <v>okay</v>
      </c>
      <c r="H872" s="3">
        <v>0</v>
      </c>
      <c r="I872" t="s" s="2">
        <v>30</v>
      </c>
      <c r="J872" t="s" s="2">
        <v>28</v>
      </c>
      <c r="K872" t="s" s="2">
        <v>20</v>
      </c>
      <c r="L872" s="3">
        <v>1</v>
      </c>
      <c r="M872" t="s" s="2">
        <v>26</v>
      </c>
      <c r="N872" t="s" s="2">
        <v>19</v>
      </c>
      <c r="O872" s="3">
        <v>31</v>
      </c>
      <c r="P872" t="str" s="8" cm="1">
        <f t="array" ref="P872">IF(O872="","check","Okay")</f>
        <v>Okay</v>
      </c>
      <c r="Q872" t="str" s="8" cm="1">
        <f t="array" ref="Q872">IF(O872&lt;30,"UNDER 30",IF(O872&lt;=50,"30-50","Over 50"))</f>
        <v>30-50</v>
      </c>
      <c r="R872" t="s" s="2">
        <v>20</v>
      </c>
      <c r="S872" s="3" cm="1">
        <f t="array" ref="S872">COUNTIF(A2:A1001,A872)</f>
        <v>1</v>
      </c>
      <c r="T872" t="str" s="8" cm="1">
        <f t="array" ref="T872">IF(ISNUMBER(F872),"Ok","check")</f>
        <v>Ok</v>
      </c>
      <c r="U872" t="str" s="8" cm="1">
        <f t="array" ref="U872">IF(ISNUMBER(O872),"ok","check")</f>
        <v>ok</v>
      </c>
    </row>
    <row r="873" ht="13.55" customHeight="1">
      <c r="A873" s="3">
        <v>13662</v>
      </c>
      <c r="B873" t="s" s="2">
        <v>25</v>
      </c>
      <c r="C873" t="str" s="8" cm="1">
        <f t="array" ref="C873">IF(B873="M","Married","Single")</f>
        <v>Single</v>
      </c>
      <c r="D873" t="s" s="2">
        <v>13</v>
      </c>
      <c r="E873" t="str" s="8" cm="1">
        <f t="array" ref="E873">IF(D873="M","Male",IF(D873="F","Female","Check"))</f>
        <v>Male</v>
      </c>
      <c r="F873" s="4">
        <v>20000</v>
      </c>
      <c r="G873" t="str" s="8" cm="1">
        <f t="array" ref="G873">IF(F873="","Check","okay")</f>
        <v>okay</v>
      </c>
      <c r="H873" s="3">
        <v>0</v>
      </c>
      <c r="I873" t="s" s="2">
        <v>32</v>
      </c>
      <c r="J873" t="s" s="2">
        <v>28</v>
      </c>
      <c r="K873" t="s" s="2">
        <v>17</v>
      </c>
      <c r="L873" s="3">
        <v>2</v>
      </c>
      <c r="M873" t="s" s="2">
        <v>29</v>
      </c>
      <c r="N873" t="s" s="2">
        <v>19</v>
      </c>
      <c r="O873" s="3">
        <v>31</v>
      </c>
      <c r="P873" t="str" s="8" cm="1">
        <f t="array" ref="P873">IF(O873="","check","Okay")</f>
        <v>Okay</v>
      </c>
      <c r="Q873" t="str" s="8" cm="1">
        <f t="array" ref="Q873">IF(O873&lt;30,"UNDER 30",IF(O873&lt;=50,"30-50","Over 50"))</f>
        <v>30-50</v>
      </c>
      <c r="R873" t="s" s="2">
        <v>17</v>
      </c>
      <c r="S873" s="3" cm="1">
        <f t="array" ref="S873">COUNTIF(A2:A1001,A873)</f>
        <v>1</v>
      </c>
      <c r="T873" t="str" s="8" cm="1">
        <f t="array" ref="T873">IF(ISNUMBER(F873),"Ok","check")</f>
        <v>Ok</v>
      </c>
      <c r="U873" t="str" s="8" cm="1">
        <f t="array" ref="U873">IF(ISNUMBER(O873),"ok","check")</f>
        <v>ok</v>
      </c>
    </row>
    <row r="874" ht="13.55" customHeight="1">
      <c r="A874" s="3">
        <v>16466</v>
      </c>
      <c r="B874" t="s" s="2">
        <v>25</v>
      </c>
      <c r="C874" t="str" s="8" cm="1">
        <f t="array" ref="C874">IF(B874="M","Married","Single")</f>
        <v>Single</v>
      </c>
      <c r="D874" t="s" s="2">
        <v>14</v>
      </c>
      <c r="E874" t="str" s="8" cm="1">
        <f t="array" ref="E874">IF(D874="M","Male",IF(D874="F","Female","Check"))</f>
        <v>Female</v>
      </c>
      <c r="F874" s="4">
        <v>20000</v>
      </c>
      <c r="G874" t="str" s="8" cm="1">
        <f t="array" ref="G874">IF(F874="","Check","okay")</f>
        <v>okay</v>
      </c>
      <c r="H874" s="3">
        <v>0</v>
      </c>
      <c r="I874" t="s" s="2">
        <v>32</v>
      </c>
      <c r="J874" t="s" s="2">
        <v>28</v>
      </c>
      <c r="K874" t="s" s="2">
        <v>20</v>
      </c>
      <c r="L874" s="3">
        <v>2</v>
      </c>
      <c r="M874" t="s" s="2">
        <v>18</v>
      </c>
      <c r="N874" t="s" s="2">
        <v>19</v>
      </c>
      <c r="O874" s="3">
        <v>32</v>
      </c>
      <c r="P874" t="str" s="8" cm="1">
        <f t="array" ref="P874">IF(O874="","check","Okay")</f>
        <v>Okay</v>
      </c>
      <c r="Q874" t="str" s="8" cm="1">
        <f t="array" ref="Q874">IF(O874&lt;30,"UNDER 30",IF(O874&lt;=50,"30-50","Over 50"))</f>
        <v>30-50</v>
      </c>
      <c r="R874" t="s" s="2">
        <v>17</v>
      </c>
      <c r="S874" s="3" cm="1">
        <f t="array" ref="S874">COUNTIF(A2:A1001,A874)</f>
        <v>1</v>
      </c>
      <c r="T874" t="str" s="8" cm="1">
        <f t="array" ref="T874">IF(ISNUMBER(F874),"Ok","check")</f>
        <v>Ok</v>
      </c>
      <c r="U874" t="str" s="8" cm="1">
        <f t="array" ref="U874">IF(ISNUMBER(O874),"ok","check")</f>
        <v>ok</v>
      </c>
    </row>
    <row r="875" ht="13.55" customHeight="1">
      <c r="A875" s="3">
        <v>17845</v>
      </c>
      <c r="B875" t="s" s="2">
        <v>25</v>
      </c>
      <c r="C875" t="str" s="8" cm="1">
        <f t="array" ref="C875">IF(B875="M","Married","Single")</f>
        <v>Single</v>
      </c>
      <c r="D875" t="s" s="2">
        <v>14</v>
      </c>
      <c r="E875" t="str" s="8" cm="1">
        <f t="array" ref="E875">IF(D875="M","Male",IF(D875="F","Female","Check"))</f>
        <v>Female</v>
      </c>
      <c r="F875" s="4">
        <v>20000</v>
      </c>
      <c r="G875" t="str" s="8" cm="1">
        <f t="array" ref="G875">IF(F875="","Check","okay")</f>
        <v>okay</v>
      </c>
      <c r="H875" s="3">
        <v>0</v>
      </c>
      <c r="I875" t="s" s="2">
        <v>32</v>
      </c>
      <c r="J875" t="s" s="2">
        <v>28</v>
      </c>
      <c r="K875" t="s" s="2">
        <v>20</v>
      </c>
      <c r="L875" s="3">
        <v>2</v>
      </c>
      <c r="M875" t="s" s="2">
        <v>29</v>
      </c>
      <c r="N875" t="s" s="2">
        <v>19</v>
      </c>
      <c r="O875" s="3">
        <v>32</v>
      </c>
      <c r="P875" t="str" s="8" cm="1">
        <f t="array" ref="P875">IF(O875="","check","Okay")</f>
        <v>Okay</v>
      </c>
      <c r="Q875" t="str" s="8" cm="1">
        <f t="array" ref="Q875">IF(O875&lt;30,"UNDER 30",IF(O875&lt;=50,"30-50","Over 50"))</f>
        <v>30-50</v>
      </c>
      <c r="R875" t="s" s="2">
        <v>20</v>
      </c>
      <c r="S875" s="3" cm="1">
        <f t="array" ref="S875">COUNTIF(A2:A1001,A875)</f>
        <v>1</v>
      </c>
      <c r="T875" t="str" s="8" cm="1">
        <f t="array" ref="T875">IF(ISNUMBER(F875),"Ok","check")</f>
        <v>Ok</v>
      </c>
      <c r="U875" t="str" s="8" cm="1">
        <f t="array" ref="U875">IF(ISNUMBER(O875),"ok","check")</f>
        <v>ok</v>
      </c>
    </row>
    <row r="876" ht="13.55" customHeight="1">
      <c r="A876" s="3">
        <v>27835</v>
      </c>
      <c r="B876" t="s" s="2">
        <v>13</v>
      </c>
      <c r="C876" t="str" s="8" cm="1">
        <f t="array" ref="C876">IF(B876="M","Married","Single")</f>
        <v>Married</v>
      </c>
      <c r="D876" t="s" s="2">
        <v>13</v>
      </c>
      <c r="E876" t="str" s="8" cm="1">
        <f t="array" ref="E876">IF(D876="M","Male",IF(D876="F","Female","Check"))</f>
        <v>Male</v>
      </c>
      <c r="F876" s="4">
        <v>20000</v>
      </c>
      <c r="G876" t="str" s="8" cm="1">
        <f t="array" ref="G876">IF(F876="","Check","okay")</f>
        <v>okay</v>
      </c>
      <c r="H876" s="3">
        <v>0</v>
      </c>
      <c r="I876" t="s" s="2">
        <v>32</v>
      </c>
      <c r="J876" t="s" s="2">
        <v>28</v>
      </c>
      <c r="K876" t="s" s="2">
        <v>17</v>
      </c>
      <c r="L876" s="3">
        <v>2</v>
      </c>
      <c r="M876" t="s" s="2">
        <v>18</v>
      </c>
      <c r="N876" t="s" s="2">
        <v>19</v>
      </c>
      <c r="O876" s="3">
        <v>32</v>
      </c>
      <c r="P876" t="str" s="8" cm="1">
        <f t="array" ref="P876">IF(O876="","check","Okay")</f>
        <v>Okay</v>
      </c>
      <c r="Q876" t="str" s="8" cm="1">
        <f t="array" ref="Q876">IF(O876&lt;30,"UNDER 30",IF(O876&lt;=50,"30-50","Over 50"))</f>
        <v>30-50</v>
      </c>
      <c r="R876" t="s" s="2">
        <v>20</v>
      </c>
      <c r="S876" s="3" cm="1">
        <f t="array" ref="S876">COUNTIF(A2:A1001,A876)</f>
        <v>1</v>
      </c>
      <c r="T876" t="str" s="8" cm="1">
        <f t="array" ref="T876">IF(ISNUMBER(F876),"Ok","check")</f>
        <v>Ok</v>
      </c>
      <c r="U876" t="str" s="8" cm="1">
        <f t="array" ref="U876">IF(ISNUMBER(O876),"ok","check")</f>
        <v>ok</v>
      </c>
    </row>
    <row r="877" ht="13.55" customHeight="1">
      <c r="A877" s="3">
        <v>13690</v>
      </c>
      <c r="B877" t="s" s="2">
        <v>25</v>
      </c>
      <c r="C877" t="str" s="8" cm="1">
        <f t="array" ref="C877">IF(B877="M","Married","Single")</f>
        <v>Single</v>
      </c>
      <c r="D877" t="s" s="2">
        <v>14</v>
      </c>
      <c r="E877" t="str" s="8" cm="1">
        <f t="array" ref="E877">IF(D877="M","Male",IF(D877="F","Female","Check"))</f>
        <v>Female</v>
      </c>
      <c r="F877" s="4">
        <v>20000</v>
      </c>
      <c r="G877" t="str" s="8" cm="1">
        <f t="array" ref="G877">IF(F877="","Check","okay")</f>
        <v>okay</v>
      </c>
      <c r="H877" s="3">
        <v>0</v>
      </c>
      <c r="I877" t="s" s="2">
        <v>32</v>
      </c>
      <c r="J877" t="s" s="2">
        <v>28</v>
      </c>
      <c r="K877" t="s" s="2">
        <v>20</v>
      </c>
      <c r="L877" s="3">
        <v>2</v>
      </c>
      <c r="M877" t="s" s="2">
        <v>29</v>
      </c>
      <c r="N877" t="s" s="2">
        <v>19</v>
      </c>
      <c r="O877" s="3">
        <v>34</v>
      </c>
      <c r="P877" t="str" s="8" cm="1">
        <f t="array" ref="P877">IF(O877="","check","Okay")</f>
        <v>Okay</v>
      </c>
      <c r="Q877" t="str" s="8" cm="1">
        <f t="array" ref="Q877">IF(O877&lt;30,"UNDER 30",IF(O877&lt;=50,"30-50","Over 50"))</f>
        <v>30-50</v>
      </c>
      <c r="R877" t="s" s="2">
        <v>17</v>
      </c>
      <c r="S877" s="3" cm="1">
        <f t="array" ref="S877">COUNTIF(A2:A1001,A877)</f>
        <v>1</v>
      </c>
      <c r="T877" t="str" s="8" cm="1">
        <f t="array" ref="T877">IF(ISNUMBER(F877),"Ok","check")</f>
        <v>Ok</v>
      </c>
      <c r="U877" t="str" s="8" cm="1">
        <f t="array" ref="U877">IF(ISNUMBER(O877),"ok","check")</f>
        <v>ok</v>
      </c>
    </row>
    <row r="878" ht="13.55" customHeight="1">
      <c r="A878" s="3">
        <v>27165</v>
      </c>
      <c r="B878" t="s" s="2">
        <v>25</v>
      </c>
      <c r="C878" t="str" s="8" cm="1">
        <f t="array" ref="C878">IF(B878="M","Married","Single")</f>
        <v>Single</v>
      </c>
      <c r="D878" t="s" s="2">
        <v>13</v>
      </c>
      <c r="E878" t="str" s="8" cm="1">
        <f t="array" ref="E878">IF(D878="M","Male",IF(D878="F","Female","Check"))</f>
        <v>Male</v>
      </c>
      <c r="F878" s="4">
        <v>20000</v>
      </c>
      <c r="G878" t="str" s="8" cm="1">
        <f t="array" ref="G878">IF(F878="","Check","okay")</f>
        <v>okay</v>
      </c>
      <c r="H878" s="3">
        <v>0</v>
      </c>
      <c r="I878" t="s" s="2">
        <v>32</v>
      </c>
      <c r="J878" t="s" s="2">
        <v>28</v>
      </c>
      <c r="K878" t="s" s="2">
        <v>20</v>
      </c>
      <c r="L878" s="3">
        <v>2</v>
      </c>
      <c r="M878" t="s" s="2">
        <v>18</v>
      </c>
      <c r="N878" t="s" s="2">
        <v>19</v>
      </c>
      <c r="O878" s="3">
        <v>34</v>
      </c>
      <c r="P878" t="str" s="8" cm="1">
        <f t="array" ref="P878">IF(O878="","check","Okay")</f>
        <v>Okay</v>
      </c>
      <c r="Q878" t="str" s="8" cm="1">
        <f t="array" ref="Q878">IF(O878&lt;30,"UNDER 30",IF(O878&lt;=50,"30-50","Over 50"))</f>
        <v>30-50</v>
      </c>
      <c r="R878" t="s" s="2">
        <v>20</v>
      </c>
      <c r="S878" s="3" cm="1">
        <f t="array" ref="S878">COUNTIF(A2:A1001,A878)</f>
        <v>1</v>
      </c>
      <c r="T878" t="str" s="8" cm="1">
        <f t="array" ref="T878">IF(ISNUMBER(F878),"Ok","check")</f>
        <v>Ok</v>
      </c>
      <c r="U878" t="str" s="8" cm="1">
        <f t="array" ref="U878">IF(ISNUMBER(O878),"ok","check")</f>
        <v>ok</v>
      </c>
    </row>
    <row r="879" ht="13.55" customHeight="1">
      <c r="A879" s="3">
        <v>11489</v>
      </c>
      <c r="B879" t="s" s="2">
        <v>25</v>
      </c>
      <c r="C879" t="str" s="8" cm="1">
        <f t="array" ref="C879">IF(B879="M","Married","Single")</f>
        <v>Single</v>
      </c>
      <c r="D879" t="s" s="2">
        <v>14</v>
      </c>
      <c r="E879" t="str" s="8" cm="1">
        <f t="array" ref="E879">IF(D879="M","Male",IF(D879="F","Female","Check"))</f>
        <v>Female</v>
      </c>
      <c r="F879" s="4">
        <v>20000</v>
      </c>
      <c r="G879" t="str" s="8" cm="1">
        <f t="array" ref="G879">IF(F879="","Check","okay")</f>
        <v>okay</v>
      </c>
      <c r="H879" s="3">
        <v>0</v>
      </c>
      <c r="I879" t="s" s="2">
        <v>32</v>
      </c>
      <c r="J879" t="s" s="2">
        <v>28</v>
      </c>
      <c r="K879" t="s" s="2">
        <v>20</v>
      </c>
      <c r="L879" s="3">
        <v>2</v>
      </c>
      <c r="M879" t="s" s="2">
        <v>29</v>
      </c>
      <c r="N879" t="s" s="2">
        <v>19</v>
      </c>
      <c r="O879" s="3">
        <v>35</v>
      </c>
      <c r="P879" t="str" s="8" cm="1">
        <f t="array" ref="P879">IF(O879="","check","Okay")</f>
        <v>Okay</v>
      </c>
      <c r="Q879" t="str" s="8" cm="1">
        <f t="array" ref="Q879">IF(O879&lt;30,"UNDER 30",IF(O879&lt;=50,"30-50","Over 50"))</f>
        <v>30-50</v>
      </c>
      <c r="R879" t="s" s="2">
        <v>17</v>
      </c>
      <c r="S879" s="3" cm="1">
        <f t="array" ref="S879">COUNTIF(A2:A1001,A879)</f>
        <v>1</v>
      </c>
      <c r="T879" t="str" s="8" cm="1">
        <f t="array" ref="T879">IF(ISNUMBER(F879),"Ok","check")</f>
        <v>Ok</v>
      </c>
      <c r="U879" t="str" s="8" cm="1">
        <f t="array" ref="U879">IF(ISNUMBER(O879),"ok","check")</f>
        <v>ok</v>
      </c>
    </row>
    <row r="880" ht="13.55" customHeight="1">
      <c r="A880" s="3">
        <v>14135</v>
      </c>
      <c r="B880" t="s" s="2">
        <v>13</v>
      </c>
      <c r="C880" t="str" s="8" cm="1">
        <f t="array" ref="C880">IF(B880="M","Married","Single")</f>
        <v>Married</v>
      </c>
      <c r="D880" t="s" s="2">
        <v>13</v>
      </c>
      <c r="E880" t="str" s="8" cm="1">
        <f t="array" ref="E880">IF(D880="M","Male",IF(D880="F","Female","Check"))</f>
        <v>Male</v>
      </c>
      <c r="F880" s="4">
        <v>20000</v>
      </c>
      <c r="G880" t="str" s="8" cm="1">
        <f t="array" ref="G880">IF(F880="","Check","okay")</f>
        <v>okay</v>
      </c>
      <c r="H880" s="3">
        <v>1</v>
      </c>
      <c r="I880" t="s" s="2">
        <v>21</v>
      </c>
      <c r="J880" t="s" s="2">
        <v>28</v>
      </c>
      <c r="K880" t="s" s="2">
        <v>17</v>
      </c>
      <c r="L880" s="3">
        <v>0</v>
      </c>
      <c r="M880" t="s" s="2">
        <v>29</v>
      </c>
      <c r="N880" t="s" s="2">
        <v>19</v>
      </c>
      <c r="O880" s="3">
        <v>35</v>
      </c>
      <c r="P880" t="str" s="8" cm="1">
        <f t="array" ref="P880">IF(O880="","check","Okay")</f>
        <v>Okay</v>
      </c>
      <c r="Q880" t="str" s="8" cm="1">
        <f t="array" ref="Q880">IF(O880&lt;30,"UNDER 30",IF(O880&lt;=50,"30-50","Over 50"))</f>
        <v>30-50</v>
      </c>
      <c r="R880" t="s" s="2">
        <v>20</v>
      </c>
      <c r="S880" s="3" cm="1">
        <f t="array" ref="S880">COUNTIF(A2:A1001,A880)</f>
        <v>1</v>
      </c>
      <c r="T880" t="str" s="8" cm="1">
        <f t="array" ref="T880">IF(ISNUMBER(F880),"Ok","check")</f>
        <v>Ok</v>
      </c>
      <c r="U880" t="str" s="8" cm="1">
        <f t="array" ref="U880">IF(ISNUMBER(O880),"ok","check")</f>
        <v>ok</v>
      </c>
    </row>
    <row r="881" ht="13.55" customHeight="1">
      <c r="A881" s="3">
        <v>26956</v>
      </c>
      <c r="B881" t="s" s="2">
        <v>25</v>
      </c>
      <c r="C881" t="str" s="8" cm="1">
        <f t="array" ref="C881">IF(B881="M","Married","Single")</f>
        <v>Single</v>
      </c>
      <c r="D881" t="s" s="2">
        <v>14</v>
      </c>
      <c r="E881" t="str" s="8" cm="1">
        <f t="array" ref="E881">IF(D881="M","Male",IF(D881="F","Female","Check"))</f>
        <v>Female</v>
      </c>
      <c r="F881" s="4">
        <v>20000</v>
      </c>
      <c r="G881" t="str" s="8" cm="1">
        <f t="array" ref="G881">IF(F881="","Check","okay")</f>
        <v>okay</v>
      </c>
      <c r="H881" s="3">
        <v>0</v>
      </c>
      <c r="I881" t="s" s="2">
        <v>21</v>
      </c>
      <c r="J881" t="s" s="2">
        <v>28</v>
      </c>
      <c r="K881" t="s" s="2">
        <v>20</v>
      </c>
      <c r="L881" s="3">
        <v>1</v>
      </c>
      <c r="M881" t="s" s="2">
        <v>24</v>
      </c>
      <c r="N881" t="s" s="2">
        <v>19</v>
      </c>
      <c r="O881" s="3">
        <v>36</v>
      </c>
      <c r="P881" t="str" s="8" cm="1">
        <f t="array" ref="P881">IF(O881="","check","Okay")</f>
        <v>Okay</v>
      </c>
      <c r="Q881" t="str" s="8" cm="1">
        <f t="array" ref="Q881">IF(O881&lt;30,"UNDER 30",IF(O881&lt;=50,"30-50","Over 50"))</f>
        <v>30-50</v>
      </c>
      <c r="R881" t="s" s="2">
        <v>17</v>
      </c>
      <c r="S881" s="3" cm="1">
        <f t="array" ref="S881">COUNTIF(A2:A1001,A881)</f>
        <v>1</v>
      </c>
      <c r="T881" t="str" s="8" cm="1">
        <f t="array" ref="T881">IF(ISNUMBER(F881),"Ok","check")</f>
        <v>Ok</v>
      </c>
      <c r="U881" t="str" s="8" cm="1">
        <f t="array" ref="U881">IF(ISNUMBER(O881),"ok","check")</f>
        <v>ok</v>
      </c>
    </row>
    <row r="882" ht="13.55" customHeight="1">
      <c r="A882" s="3">
        <v>20851</v>
      </c>
      <c r="B882" t="s" s="2">
        <v>25</v>
      </c>
      <c r="C882" t="str" s="8" cm="1">
        <f t="array" ref="C882">IF(B882="M","Married","Single")</f>
        <v>Single</v>
      </c>
      <c r="D882" t="s" s="2">
        <v>13</v>
      </c>
      <c r="E882" t="str" s="8" cm="1">
        <f t="array" ref="E882">IF(D882="M","Male",IF(D882="F","Female","Check"))</f>
        <v>Male</v>
      </c>
      <c r="F882" s="4">
        <v>20000</v>
      </c>
      <c r="G882" t="str" s="8" cm="1">
        <f t="array" ref="G882">IF(F882="","Check","okay")</f>
        <v>okay</v>
      </c>
      <c r="H882" s="3">
        <v>0</v>
      </c>
      <c r="I882" t="s" s="2">
        <v>21</v>
      </c>
      <c r="J882" t="s" s="2">
        <v>28</v>
      </c>
      <c r="K882" t="s" s="2">
        <v>20</v>
      </c>
      <c r="L882" s="3">
        <v>1</v>
      </c>
      <c r="M882" t="s" s="2">
        <v>24</v>
      </c>
      <c r="N882" t="s" s="2">
        <v>19</v>
      </c>
      <c r="O882" s="3">
        <v>36</v>
      </c>
      <c r="P882" t="str" s="8" cm="1">
        <f t="array" ref="P882">IF(O882="","check","Okay")</f>
        <v>Okay</v>
      </c>
      <c r="Q882" t="str" s="8" cm="1">
        <f t="array" ref="Q882">IF(O882&lt;30,"UNDER 30",IF(O882&lt;=50,"30-50","Over 50"))</f>
        <v>30-50</v>
      </c>
      <c r="R882" t="s" s="2">
        <v>17</v>
      </c>
      <c r="S882" s="3" cm="1">
        <f t="array" ref="S882">COUNTIF(A2:A1001,A882)</f>
        <v>1</v>
      </c>
      <c r="T882" t="str" s="8" cm="1">
        <f t="array" ref="T882">IF(ISNUMBER(F882),"Ok","check")</f>
        <v>Ok</v>
      </c>
      <c r="U882" t="str" s="8" cm="1">
        <f t="array" ref="U882">IF(ISNUMBER(O882),"ok","check")</f>
        <v>ok</v>
      </c>
    </row>
    <row r="883" ht="13.55" customHeight="1">
      <c r="A883" s="3">
        <v>12629</v>
      </c>
      <c r="B883" t="s" s="2">
        <v>25</v>
      </c>
      <c r="C883" t="str" s="8" cm="1">
        <f t="array" ref="C883">IF(B883="M","Married","Single")</f>
        <v>Single</v>
      </c>
      <c r="D883" t="s" s="2">
        <v>13</v>
      </c>
      <c r="E883" t="str" s="8" cm="1">
        <f t="array" ref="E883">IF(D883="M","Male",IF(D883="F","Female","Check"))</f>
        <v>Male</v>
      </c>
      <c r="F883" s="4">
        <v>20000</v>
      </c>
      <c r="G883" t="str" s="8" cm="1">
        <f t="array" ref="G883">IF(F883="","Check","okay")</f>
        <v>okay</v>
      </c>
      <c r="H883" s="3">
        <v>1</v>
      </c>
      <c r="I883" t="s" s="2">
        <v>21</v>
      </c>
      <c r="J883" t="s" s="2">
        <v>28</v>
      </c>
      <c r="K883" t="s" s="2">
        <v>20</v>
      </c>
      <c r="L883" s="3">
        <v>0</v>
      </c>
      <c r="M883" t="s" s="2">
        <v>18</v>
      </c>
      <c r="N883" t="s" s="2">
        <v>19</v>
      </c>
      <c r="O883" s="3">
        <v>37</v>
      </c>
      <c r="P883" t="str" s="8" cm="1">
        <f t="array" ref="P883">IF(O883="","check","Okay")</f>
        <v>Okay</v>
      </c>
      <c r="Q883" t="str" s="8" cm="1">
        <f t="array" ref="Q883">IF(O883&lt;30,"UNDER 30",IF(O883&lt;=50,"30-50","Over 50"))</f>
        <v>30-50</v>
      </c>
      <c r="R883" t="s" s="2">
        <v>20</v>
      </c>
      <c r="S883" s="3" cm="1">
        <f t="array" ref="S883">COUNTIF(A2:A1001,A883)</f>
        <v>1</v>
      </c>
      <c r="T883" t="str" s="8" cm="1">
        <f t="array" ref="T883">IF(ISNUMBER(F883),"Ok","check")</f>
        <v>Ok</v>
      </c>
      <c r="U883" t="str" s="8" cm="1">
        <f t="array" ref="U883">IF(ISNUMBER(O883),"ok","check")</f>
        <v>ok</v>
      </c>
    </row>
    <row r="884" ht="13.55" customHeight="1">
      <c r="A884" s="3">
        <v>25460</v>
      </c>
      <c r="B884" t="s" s="2">
        <v>13</v>
      </c>
      <c r="C884" t="str" s="8" cm="1">
        <f t="array" ref="C884">IF(B884="M","Married","Single")</f>
        <v>Married</v>
      </c>
      <c r="D884" t="s" s="2">
        <v>14</v>
      </c>
      <c r="E884" t="str" s="8" cm="1">
        <f t="array" ref="E884">IF(D884="M","Male",IF(D884="F","Female","Check"))</f>
        <v>Female</v>
      </c>
      <c r="F884" s="4">
        <v>20000</v>
      </c>
      <c r="G884" t="str" s="8" cm="1">
        <f t="array" ref="G884">IF(F884="","Check","okay")</f>
        <v>okay</v>
      </c>
      <c r="H884" s="3">
        <v>2</v>
      </c>
      <c r="I884" t="s" s="2">
        <v>30</v>
      </c>
      <c r="J884" t="s" s="2">
        <v>28</v>
      </c>
      <c r="K884" t="s" s="2">
        <v>17</v>
      </c>
      <c r="L884" s="3">
        <v>0</v>
      </c>
      <c r="M884" t="s" s="2">
        <v>18</v>
      </c>
      <c r="N884" t="s" s="2">
        <v>19</v>
      </c>
      <c r="O884" s="3">
        <v>40</v>
      </c>
      <c r="P884" t="str" s="8" cm="1">
        <f t="array" ref="P884">IF(O884="","check","Okay")</f>
        <v>Okay</v>
      </c>
      <c r="Q884" t="str" s="8" cm="1">
        <f t="array" ref="Q884">IF(O884&lt;30,"UNDER 30",IF(O884&lt;=50,"30-50","Over 50"))</f>
        <v>30-50</v>
      </c>
      <c r="R884" t="s" s="2">
        <v>17</v>
      </c>
      <c r="S884" s="3" cm="1">
        <f t="array" ref="S884">COUNTIF(A2:A1001,A884)</f>
        <v>1</v>
      </c>
      <c r="T884" t="str" s="8" cm="1">
        <f t="array" ref="T884">IF(ISNUMBER(F884),"Ok","check")</f>
        <v>Ok</v>
      </c>
      <c r="U884" t="str" s="8" cm="1">
        <f t="array" ref="U884">IF(ISNUMBER(O884),"ok","check")</f>
        <v>ok</v>
      </c>
    </row>
    <row r="885" ht="13.55" customHeight="1">
      <c r="A885" s="3">
        <v>24065</v>
      </c>
      <c r="B885" t="s" s="2">
        <v>25</v>
      </c>
      <c r="C885" t="str" s="8" cm="1">
        <f t="array" ref="C885">IF(B885="M","Married","Single")</f>
        <v>Single</v>
      </c>
      <c r="D885" t="s" s="2">
        <v>14</v>
      </c>
      <c r="E885" t="str" s="8" cm="1">
        <f t="array" ref="E885">IF(D885="M","Male",IF(D885="F","Female","Check"))</f>
        <v>Female</v>
      </c>
      <c r="F885" s="4">
        <v>20000</v>
      </c>
      <c r="G885" t="str" s="8" cm="1">
        <f t="array" ref="G885">IF(F885="","Check","okay")</f>
        <v>okay</v>
      </c>
      <c r="H885" s="3">
        <v>0</v>
      </c>
      <c r="I885" t="s" s="2">
        <v>30</v>
      </c>
      <c r="J885" t="s" s="2">
        <v>28</v>
      </c>
      <c r="K885" t="s" s="2">
        <v>17</v>
      </c>
      <c r="L885" s="3">
        <v>0</v>
      </c>
      <c r="M885" t="s" s="2">
        <v>18</v>
      </c>
      <c r="N885" t="s" s="2">
        <v>19</v>
      </c>
      <c r="O885" s="3">
        <v>40</v>
      </c>
      <c r="P885" t="str" s="8" cm="1">
        <f t="array" ref="P885">IF(O885="","check","Okay")</f>
        <v>Okay</v>
      </c>
      <c r="Q885" t="str" s="8" cm="1">
        <f t="array" ref="Q885">IF(O885&lt;30,"UNDER 30",IF(O885&lt;=50,"30-50","Over 50"))</f>
        <v>30-50</v>
      </c>
      <c r="R885" t="s" s="2">
        <v>17</v>
      </c>
      <c r="S885" s="3" cm="1">
        <f t="array" ref="S885">COUNTIF(A2:A1001,A885)</f>
        <v>1</v>
      </c>
      <c r="T885" t="str" s="8" cm="1">
        <f t="array" ref="T885">IF(ISNUMBER(F885),"Ok","check")</f>
        <v>Ok</v>
      </c>
      <c r="U885" t="str" s="8" cm="1">
        <f t="array" ref="U885">IF(ISNUMBER(O885),"ok","check")</f>
        <v>ok</v>
      </c>
    </row>
    <row r="886" ht="13.55" customHeight="1">
      <c r="A886" s="3">
        <v>25458</v>
      </c>
      <c r="B886" t="s" s="2">
        <v>13</v>
      </c>
      <c r="C886" t="str" s="8" cm="1">
        <f t="array" ref="C886">IF(B886="M","Married","Single")</f>
        <v>Married</v>
      </c>
      <c r="D886" t="s" s="2">
        <v>13</v>
      </c>
      <c r="E886" t="str" s="8" cm="1">
        <f t="array" ref="E886">IF(D886="M","Male",IF(D886="F","Female","Check"))</f>
        <v>Male</v>
      </c>
      <c r="F886" s="4">
        <v>20000</v>
      </c>
      <c r="G886" t="str" s="8" cm="1">
        <f t="array" ref="G886">IF(F886="","Check","okay")</f>
        <v>okay</v>
      </c>
      <c r="H886" s="3">
        <v>1</v>
      </c>
      <c r="I886" t="s" s="2">
        <v>30</v>
      </c>
      <c r="J886" t="s" s="2">
        <v>28</v>
      </c>
      <c r="K886" t="s" s="2">
        <v>20</v>
      </c>
      <c r="L886" s="3">
        <v>1</v>
      </c>
      <c r="M886" t="s" s="2">
        <v>29</v>
      </c>
      <c r="N886" t="s" s="2">
        <v>19</v>
      </c>
      <c r="O886" s="3">
        <v>40</v>
      </c>
      <c r="P886" t="str" s="8" cm="1">
        <f t="array" ref="P886">IF(O886="","check","Okay")</f>
        <v>Okay</v>
      </c>
      <c r="Q886" t="str" s="8" cm="1">
        <f t="array" ref="Q886">IF(O886&lt;30,"UNDER 30",IF(O886&lt;=50,"30-50","Over 50"))</f>
        <v>30-50</v>
      </c>
      <c r="R886" t="s" s="2">
        <v>17</v>
      </c>
      <c r="S886" s="3" cm="1">
        <f t="array" ref="S886">COUNTIF(A2:A1001,A886)</f>
        <v>1</v>
      </c>
      <c r="T886" t="str" s="8" cm="1">
        <f t="array" ref="T886">IF(ISNUMBER(F886),"Ok","check")</f>
        <v>Ok</v>
      </c>
      <c r="U886" t="str" s="8" cm="1">
        <f t="array" ref="U886">IF(ISNUMBER(O886),"ok","check")</f>
        <v>ok</v>
      </c>
    </row>
    <row r="887" ht="13.55" customHeight="1">
      <c r="A887" s="3">
        <v>19331</v>
      </c>
      <c r="B887" t="s" s="2">
        <v>25</v>
      </c>
      <c r="C887" t="str" s="8" cm="1">
        <f t="array" ref="C887">IF(B887="M","Married","Single")</f>
        <v>Single</v>
      </c>
      <c r="D887" t="s" s="2">
        <v>13</v>
      </c>
      <c r="E887" t="str" s="8" cm="1">
        <f t="array" ref="E887">IF(D887="M","Male",IF(D887="F","Female","Check"))</f>
        <v>Male</v>
      </c>
      <c r="F887" s="4">
        <v>20000</v>
      </c>
      <c r="G887" t="str" s="8" cm="1">
        <f t="array" ref="G887">IF(F887="","Check","okay")</f>
        <v>okay</v>
      </c>
      <c r="H887" s="3">
        <v>2</v>
      </c>
      <c r="I887" t="s" s="2">
        <v>30</v>
      </c>
      <c r="J887" t="s" s="2">
        <v>28</v>
      </c>
      <c r="K887" t="s" s="2">
        <v>17</v>
      </c>
      <c r="L887" s="3">
        <v>1</v>
      </c>
      <c r="M887" t="s" s="2">
        <v>18</v>
      </c>
      <c r="N887" t="s" s="2">
        <v>19</v>
      </c>
      <c r="O887" s="3">
        <v>40</v>
      </c>
      <c r="P887" t="str" s="8" cm="1">
        <f t="array" ref="P887">IF(O887="","check","Okay")</f>
        <v>Okay</v>
      </c>
      <c r="Q887" t="str" s="8" cm="1">
        <f t="array" ref="Q887">IF(O887&lt;30,"UNDER 30",IF(O887&lt;=50,"30-50","Over 50"))</f>
        <v>30-50</v>
      </c>
      <c r="R887" t="s" s="2">
        <v>20</v>
      </c>
      <c r="S887" s="3" cm="1">
        <f t="array" ref="S887">COUNTIF(A2:A1001,A887)</f>
        <v>1</v>
      </c>
      <c r="T887" t="str" s="8" cm="1">
        <f t="array" ref="T887">IF(ISNUMBER(F887),"Ok","check")</f>
        <v>Ok</v>
      </c>
      <c r="U887" t="str" s="8" cm="1">
        <f t="array" ref="U887">IF(ISNUMBER(O887),"ok","check")</f>
        <v>ok</v>
      </c>
    </row>
    <row r="888" ht="13.55" customHeight="1">
      <c r="A888" s="3">
        <v>29380</v>
      </c>
      <c r="B888" t="s" s="2">
        <v>13</v>
      </c>
      <c r="C888" t="str" s="8" cm="1">
        <f t="array" ref="C888">IF(B888="M","Married","Single")</f>
        <v>Married</v>
      </c>
      <c r="D888" t="s" s="2">
        <v>14</v>
      </c>
      <c r="E888" t="str" s="8" cm="1">
        <f t="array" ref="E888">IF(D888="M","Male",IF(D888="F","Female","Check"))</f>
        <v>Female</v>
      </c>
      <c r="F888" s="4">
        <v>20000</v>
      </c>
      <c r="G888" t="str" s="8" cm="1">
        <f t="array" ref="G888">IF(F888="","Check","okay")</f>
        <v>okay</v>
      </c>
      <c r="H888" s="3">
        <v>3</v>
      </c>
      <c r="I888" t="s" s="2">
        <v>30</v>
      </c>
      <c r="J888" t="s" s="2">
        <v>28</v>
      </c>
      <c r="K888" t="s" s="2">
        <v>17</v>
      </c>
      <c r="L888" s="3">
        <v>0</v>
      </c>
      <c r="M888" t="s" s="2">
        <v>18</v>
      </c>
      <c r="N888" t="s" s="2">
        <v>19</v>
      </c>
      <c r="O888" s="3">
        <v>41</v>
      </c>
      <c r="P888" t="str" s="8" cm="1">
        <f t="array" ref="P888">IF(O888="","check","Okay")</f>
        <v>Okay</v>
      </c>
      <c r="Q888" t="str" s="8" cm="1">
        <f t="array" ref="Q888">IF(O888&lt;30,"UNDER 30",IF(O888&lt;=50,"30-50","Over 50"))</f>
        <v>30-50</v>
      </c>
      <c r="R888" t="s" s="2">
        <v>17</v>
      </c>
      <c r="S888" s="3" cm="1">
        <f t="array" ref="S888">COUNTIF(A2:A1001,A888)</f>
        <v>1</v>
      </c>
      <c r="T888" t="str" s="8" cm="1">
        <f t="array" ref="T888">IF(ISNUMBER(F888),"Ok","check")</f>
        <v>Ok</v>
      </c>
      <c r="U888" t="str" s="8" cm="1">
        <f t="array" ref="U888">IF(ISNUMBER(O888),"ok","check")</f>
        <v>ok</v>
      </c>
    </row>
    <row r="889" ht="13.55" customHeight="1">
      <c r="A889" s="3">
        <v>12833</v>
      </c>
      <c r="B889" t="s" s="2">
        <v>25</v>
      </c>
      <c r="C889" t="str" s="8" cm="1">
        <f t="array" ref="C889">IF(B889="M","Married","Single")</f>
        <v>Single</v>
      </c>
      <c r="D889" t="s" s="2">
        <v>14</v>
      </c>
      <c r="E889" t="str" s="8" cm="1">
        <f t="array" ref="E889">IF(D889="M","Male",IF(D889="F","Female","Check"))</f>
        <v>Female</v>
      </c>
      <c r="F889" s="4">
        <v>20000</v>
      </c>
      <c r="G889" t="str" s="8" cm="1">
        <f t="array" ref="G889">IF(F889="","Check","okay")</f>
        <v>okay</v>
      </c>
      <c r="H889" s="3">
        <v>3</v>
      </c>
      <c r="I889" t="s" s="2">
        <v>30</v>
      </c>
      <c r="J889" t="s" s="2">
        <v>28</v>
      </c>
      <c r="K889" t="s" s="2">
        <v>17</v>
      </c>
      <c r="L889" s="3">
        <v>1</v>
      </c>
      <c r="M889" t="s" s="2">
        <v>18</v>
      </c>
      <c r="N889" t="s" s="2">
        <v>19</v>
      </c>
      <c r="O889" s="3">
        <v>42</v>
      </c>
      <c r="P889" t="str" s="8" cm="1">
        <f t="array" ref="P889">IF(O889="","check","Okay")</f>
        <v>Okay</v>
      </c>
      <c r="Q889" t="str" s="8" cm="1">
        <f t="array" ref="Q889">IF(O889&lt;30,"UNDER 30",IF(O889&lt;=50,"30-50","Over 50"))</f>
        <v>30-50</v>
      </c>
      <c r="R889" t="s" s="2">
        <v>17</v>
      </c>
      <c r="S889" s="3" cm="1">
        <f t="array" ref="S889">COUNTIF(A2:A1001,A889)</f>
        <v>1</v>
      </c>
      <c r="T889" t="str" s="8" cm="1">
        <f t="array" ref="T889">IF(ISNUMBER(F889),"Ok","check")</f>
        <v>Ok</v>
      </c>
      <c r="U889" t="str" s="8" cm="1">
        <f t="array" ref="U889">IF(ISNUMBER(O889),"ok","check")</f>
        <v>ok</v>
      </c>
    </row>
    <row r="890" ht="13.55" customHeight="1">
      <c r="A890" s="3">
        <v>23915</v>
      </c>
      <c r="B890" t="s" s="2">
        <v>13</v>
      </c>
      <c r="C890" t="str" s="8" cm="1">
        <f t="array" ref="C890">IF(B890="M","Married","Single")</f>
        <v>Married</v>
      </c>
      <c r="D890" t="s" s="2">
        <v>13</v>
      </c>
      <c r="E890" t="str" s="8" cm="1">
        <f t="array" ref="E890">IF(D890="M","Male",IF(D890="F","Female","Check"))</f>
        <v>Male</v>
      </c>
      <c r="F890" s="4">
        <v>20000</v>
      </c>
      <c r="G890" t="str" s="8" cm="1">
        <f t="array" ref="G890">IF(F890="","Check","okay")</f>
        <v>okay</v>
      </c>
      <c r="H890" s="3">
        <v>2</v>
      </c>
      <c r="I890" t="s" s="2">
        <v>30</v>
      </c>
      <c r="J890" t="s" s="2">
        <v>28</v>
      </c>
      <c r="K890" t="s" s="2">
        <v>17</v>
      </c>
      <c r="L890" s="3">
        <v>2</v>
      </c>
      <c r="M890" t="s" s="2">
        <v>18</v>
      </c>
      <c r="N890" t="s" s="2">
        <v>19</v>
      </c>
      <c r="O890" s="3">
        <v>42</v>
      </c>
      <c r="P890" t="str" s="8" cm="1">
        <f t="array" ref="P890">IF(O890="","check","Okay")</f>
        <v>Okay</v>
      </c>
      <c r="Q890" t="str" s="8" cm="1">
        <f t="array" ref="Q890">IF(O890&lt;30,"UNDER 30",IF(O890&lt;=50,"30-50","Over 50"))</f>
        <v>30-50</v>
      </c>
      <c r="R890" t="s" s="2">
        <v>20</v>
      </c>
      <c r="S890" s="3" cm="1">
        <f t="array" ref="S890">COUNTIF(A2:A1001,A890)</f>
        <v>1</v>
      </c>
      <c r="T890" t="str" s="8" cm="1">
        <f t="array" ref="T890">IF(ISNUMBER(F890),"Ok","check")</f>
        <v>Ok</v>
      </c>
      <c r="U890" t="str" s="8" cm="1">
        <f t="array" ref="U890">IF(ISNUMBER(O890),"ok","check")</f>
        <v>ok</v>
      </c>
    </row>
    <row r="891" ht="13.55" customHeight="1">
      <c r="A891" s="3">
        <v>17994</v>
      </c>
      <c r="B891" t="s" s="2">
        <v>25</v>
      </c>
      <c r="C891" t="str" s="8" cm="1">
        <f t="array" ref="C891">IF(B891="M","Married","Single")</f>
        <v>Single</v>
      </c>
      <c r="D891" t="s" s="2">
        <v>13</v>
      </c>
      <c r="E891" t="str" s="8" cm="1">
        <f t="array" ref="E891">IF(D891="M","Male",IF(D891="F","Female","Check"))</f>
        <v>Male</v>
      </c>
      <c r="F891" s="4">
        <v>20000</v>
      </c>
      <c r="G891" t="str" s="8" cm="1">
        <f t="array" ref="G891">IF(F891="","Check","okay")</f>
        <v>okay</v>
      </c>
      <c r="H891" s="3">
        <v>2</v>
      </c>
      <c r="I891" t="s" s="2">
        <v>30</v>
      </c>
      <c r="J891" t="s" s="2">
        <v>28</v>
      </c>
      <c r="K891" t="s" s="2">
        <v>17</v>
      </c>
      <c r="L891" s="3">
        <v>2</v>
      </c>
      <c r="M891" t="s" s="2">
        <v>18</v>
      </c>
      <c r="N891" t="s" s="2">
        <v>19</v>
      </c>
      <c r="O891" s="3">
        <v>42</v>
      </c>
      <c r="P891" t="str" s="8" cm="1">
        <f t="array" ref="P891">IF(O891="","check","Okay")</f>
        <v>Okay</v>
      </c>
      <c r="Q891" t="str" s="8" cm="1">
        <f t="array" ref="Q891">IF(O891&lt;30,"UNDER 30",IF(O891&lt;=50,"30-50","Over 50"))</f>
        <v>30-50</v>
      </c>
      <c r="R891" t="s" s="2">
        <v>20</v>
      </c>
      <c r="S891" s="3" cm="1">
        <f t="array" ref="S891">COUNTIF(A2:A1001,A891)</f>
        <v>1</v>
      </c>
      <c r="T891" t="str" s="8" cm="1">
        <f t="array" ref="T891">IF(ISNUMBER(F891),"Ok","check")</f>
        <v>Ok</v>
      </c>
      <c r="U891" t="str" s="8" cm="1">
        <f t="array" ref="U891">IF(ISNUMBER(O891),"ok","check")</f>
        <v>ok</v>
      </c>
    </row>
    <row r="892" ht="13.55" customHeight="1">
      <c r="A892" s="3">
        <v>26852</v>
      </c>
      <c r="B892" t="s" s="2">
        <v>13</v>
      </c>
      <c r="C892" t="str" s="8" cm="1">
        <f t="array" ref="C892">IF(B892="M","Married","Single")</f>
        <v>Married</v>
      </c>
      <c r="D892" t="s" s="2">
        <v>14</v>
      </c>
      <c r="E892" t="str" s="8" cm="1">
        <f t="array" ref="E892">IF(D892="M","Male",IF(D892="F","Female","Check"))</f>
        <v>Female</v>
      </c>
      <c r="F892" s="4">
        <v>20000</v>
      </c>
      <c r="G892" t="str" s="8" cm="1">
        <f t="array" ref="G892">IF(F892="","Check","okay")</f>
        <v>okay</v>
      </c>
      <c r="H892" s="3">
        <v>3</v>
      </c>
      <c r="I892" t="s" s="2">
        <v>30</v>
      </c>
      <c r="J892" t="s" s="2">
        <v>28</v>
      </c>
      <c r="K892" t="s" s="2">
        <v>17</v>
      </c>
      <c r="L892" s="3">
        <v>2</v>
      </c>
      <c r="M892" t="s" s="2">
        <v>18</v>
      </c>
      <c r="N892" t="s" s="2">
        <v>19</v>
      </c>
      <c r="O892" s="3">
        <v>43</v>
      </c>
      <c r="P892" t="str" s="8" cm="1">
        <f t="array" ref="P892">IF(O892="","check","Okay")</f>
        <v>Okay</v>
      </c>
      <c r="Q892" t="str" s="8" cm="1">
        <f t="array" ref="Q892">IF(O892&lt;30,"UNDER 30",IF(O892&lt;=50,"30-50","Over 50"))</f>
        <v>30-50</v>
      </c>
      <c r="R892" t="s" s="2">
        <v>20</v>
      </c>
      <c r="S892" s="3" cm="1">
        <f t="array" ref="S892">COUNTIF(A2:A1001,A892)</f>
        <v>1</v>
      </c>
      <c r="T892" t="str" s="8" cm="1">
        <f t="array" ref="T892">IF(ISNUMBER(F892),"Ok","check")</f>
        <v>Ok</v>
      </c>
      <c r="U892" t="str" s="8" cm="1">
        <f t="array" ref="U892">IF(ISNUMBER(O892),"ok","check")</f>
        <v>ok</v>
      </c>
    </row>
    <row r="893" ht="13.55" customHeight="1">
      <c r="A893" s="3">
        <v>14813</v>
      </c>
      <c r="B893" t="s" s="2">
        <v>25</v>
      </c>
      <c r="C893" t="str" s="8" cm="1">
        <f t="array" ref="C893">IF(B893="M","Married","Single")</f>
        <v>Single</v>
      </c>
      <c r="D893" t="s" s="2">
        <v>14</v>
      </c>
      <c r="E893" t="str" s="8" cm="1">
        <f t="array" ref="E893">IF(D893="M","Male",IF(D893="F","Female","Check"))</f>
        <v>Female</v>
      </c>
      <c r="F893" s="4">
        <v>20000</v>
      </c>
      <c r="G893" t="str" s="8" cm="1">
        <f t="array" ref="G893">IF(F893="","Check","okay")</f>
        <v>okay</v>
      </c>
      <c r="H893" s="3">
        <v>4</v>
      </c>
      <c r="I893" t="s" s="2">
        <v>30</v>
      </c>
      <c r="J893" t="s" s="2">
        <v>28</v>
      </c>
      <c r="K893" t="s" s="2">
        <v>17</v>
      </c>
      <c r="L893" s="3">
        <v>1</v>
      </c>
      <c r="M893" t="s" s="2">
        <v>18</v>
      </c>
      <c r="N893" t="s" s="2">
        <v>19</v>
      </c>
      <c r="O893" s="3">
        <v>43</v>
      </c>
      <c r="P893" t="str" s="8" cm="1">
        <f t="array" ref="P893">IF(O893="","check","Okay")</f>
        <v>Okay</v>
      </c>
      <c r="Q893" t="str" s="8" cm="1">
        <f t="array" ref="Q893">IF(O893&lt;30,"UNDER 30",IF(O893&lt;=50,"30-50","Over 50"))</f>
        <v>30-50</v>
      </c>
      <c r="R893" t="s" s="2">
        <v>17</v>
      </c>
      <c r="S893" s="3" cm="1">
        <f t="array" ref="S893">COUNTIF(A2:A1001,A893)</f>
        <v>1</v>
      </c>
      <c r="T893" t="str" s="8" cm="1">
        <f t="array" ref="T893">IF(ISNUMBER(F893),"Ok","check")</f>
        <v>Ok</v>
      </c>
      <c r="U893" t="str" s="8" cm="1">
        <f t="array" ref="U893">IF(ISNUMBER(O893),"ok","check")</f>
        <v>ok</v>
      </c>
    </row>
    <row r="894" ht="13.55" customHeight="1">
      <c r="A894" s="3">
        <v>21738</v>
      </c>
      <c r="B894" t="s" s="2">
        <v>13</v>
      </c>
      <c r="C894" t="str" s="8" cm="1">
        <f t="array" ref="C894">IF(B894="M","Married","Single")</f>
        <v>Married</v>
      </c>
      <c r="D894" t="s" s="2">
        <v>13</v>
      </c>
      <c r="E894" t="str" s="8" cm="1">
        <f t="array" ref="E894">IF(D894="M","Male",IF(D894="F","Female","Check"))</f>
        <v>Male</v>
      </c>
      <c r="F894" s="4">
        <v>20000</v>
      </c>
      <c r="G894" t="str" s="8" cm="1">
        <f t="array" ref="G894">IF(F894="","Check","okay")</f>
        <v>okay</v>
      </c>
      <c r="H894" s="3">
        <v>1</v>
      </c>
      <c r="I894" t="s" s="2">
        <v>34</v>
      </c>
      <c r="J894" t="s" s="2">
        <v>22</v>
      </c>
      <c r="K894" t="s" s="2">
        <v>17</v>
      </c>
      <c r="L894" s="3">
        <v>0</v>
      </c>
      <c r="M894" t="s" s="2">
        <v>18</v>
      </c>
      <c r="N894" t="s" s="2">
        <v>19</v>
      </c>
      <c r="O894" s="3">
        <v>43</v>
      </c>
      <c r="P894" t="str" s="8" cm="1">
        <f t="array" ref="P894">IF(O894="","check","Okay")</f>
        <v>Okay</v>
      </c>
      <c r="Q894" t="str" s="8" cm="1">
        <f t="array" ref="Q894">IF(O894&lt;30,"UNDER 30",IF(O894&lt;=50,"30-50","Over 50"))</f>
        <v>30-50</v>
      </c>
      <c r="R894" t="s" s="2">
        <v>20</v>
      </c>
      <c r="S894" s="3" cm="1">
        <f t="array" ref="S894">COUNTIF(A2:A1001,A894)</f>
        <v>1</v>
      </c>
      <c r="T894" t="str" s="8" cm="1">
        <f t="array" ref="T894">IF(ISNUMBER(F894),"Ok","check")</f>
        <v>Ok</v>
      </c>
      <c r="U894" t="str" s="8" cm="1">
        <f t="array" ref="U894">IF(ISNUMBER(O894),"ok","check")</f>
        <v>ok</v>
      </c>
    </row>
    <row r="895" ht="13.55" customHeight="1">
      <c r="A895" s="3">
        <v>17882</v>
      </c>
      <c r="B895" t="s" s="2">
        <v>13</v>
      </c>
      <c r="C895" t="str" s="8" cm="1">
        <f t="array" ref="C895">IF(B895="M","Married","Single")</f>
        <v>Married</v>
      </c>
      <c r="D895" t="s" s="2">
        <v>13</v>
      </c>
      <c r="E895" t="str" s="8" cm="1">
        <f t="array" ref="E895">IF(D895="M","Male",IF(D895="F","Female","Check"))</f>
        <v>Male</v>
      </c>
      <c r="F895" s="4">
        <v>20000</v>
      </c>
      <c r="G895" t="str" s="8" cm="1">
        <f t="array" ref="G895">IF(F895="","Check","okay")</f>
        <v>okay</v>
      </c>
      <c r="H895" s="3">
        <v>1</v>
      </c>
      <c r="I895" t="s" s="2">
        <v>34</v>
      </c>
      <c r="J895" t="s" s="2">
        <v>22</v>
      </c>
      <c r="K895" t="s" s="2">
        <v>17</v>
      </c>
      <c r="L895" s="3">
        <v>0</v>
      </c>
      <c r="M895" t="s" s="2">
        <v>18</v>
      </c>
      <c r="N895" t="s" s="2">
        <v>19</v>
      </c>
      <c r="O895" s="3">
        <v>44</v>
      </c>
      <c r="P895" t="str" s="8" cm="1">
        <f t="array" ref="P895">IF(O895="","check","Okay")</f>
        <v>Okay</v>
      </c>
      <c r="Q895" t="str" s="8" cm="1">
        <f t="array" ref="Q895">IF(O895&lt;30,"UNDER 30",IF(O895&lt;=50,"30-50","Over 50"))</f>
        <v>30-50</v>
      </c>
      <c r="R895" t="s" s="2">
        <v>20</v>
      </c>
      <c r="S895" s="3" cm="1">
        <f t="array" ref="S895">COUNTIF(A2:A1001,A895)</f>
        <v>1</v>
      </c>
      <c r="T895" t="str" s="8" cm="1">
        <f t="array" ref="T895">IF(ISNUMBER(F895),"Ok","check")</f>
        <v>Ok</v>
      </c>
      <c r="U895" t="str" s="8" cm="1">
        <f t="array" ref="U895">IF(ISNUMBER(O895),"ok","check")</f>
        <v>ok</v>
      </c>
    </row>
    <row r="896" ht="13.55" customHeight="1">
      <c r="A896" s="3">
        <v>20962</v>
      </c>
      <c r="B896" t="s" s="2">
        <v>13</v>
      </c>
      <c r="C896" t="str" s="8" cm="1">
        <f t="array" ref="C896">IF(B896="M","Married","Single")</f>
        <v>Married</v>
      </c>
      <c r="D896" t="s" s="2">
        <v>14</v>
      </c>
      <c r="E896" t="str" s="8" cm="1">
        <f t="array" ref="E896">IF(D896="M","Male",IF(D896="F","Female","Check"))</f>
        <v>Female</v>
      </c>
      <c r="F896" s="4">
        <v>20000</v>
      </c>
      <c r="G896" t="str" s="8" cm="1">
        <f t="array" ref="G896">IF(F896="","Check","okay")</f>
        <v>okay</v>
      </c>
      <c r="H896" s="3">
        <v>1</v>
      </c>
      <c r="I896" t="s" s="2">
        <v>34</v>
      </c>
      <c r="J896" t="s" s="2">
        <v>22</v>
      </c>
      <c r="K896" t="s" s="2">
        <v>17</v>
      </c>
      <c r="L896" s="3">
        <v>0</v>
      </c>
      <c r="M896" t="s" s="2">
        <v>18</v>
      </c>
      <c r="N896" t="s" s="2">
        <v>19</v>
      </c>
      <c r="O896" s="3">
        <v>45</v>
      </c>
      <c r="P896" t="str" s="8" cm="1">
        <f t="array" ref="P896">IF(O896="","check","Okay")</f>
        <v>Okay</v>
      </c>
      <c r="Q896" t="str" s="8" cm="1">
        <f t="array" ref="Q896">IF(O896&lt;30,"UNDER 30",IF(O896&lt;=50,"30-50","Over 50"))</f>
        <v>30-50</v>
      </c>
      <c r="R896" t="s" s="2">
        <v>20</v>
      </c>
      <c r="S896" s="3" cm="1">
        <f t="array" ref="S896">COUNTIF(A2:A1001,A896)</f>
        <v>1</v>
      </c>
      <c r="T896" t="str" s="8" cm="1">
        <f t="array" ref="T896">IF(ISNUMBER(F896),"Ok","check")</f>
        <v>Ok</v>
      </c>
      <c r="U896" t="str" s="8" cm="1">
        <f t="array" ref="U896">IF(ISNUMBER(O896),"ok","check")</f>
        <v>ok</v>
      </c>
    </row>
    <row r="897" ht="13.55" customHeight="1">
      <c r="A897" s="3">
        <v>20171</v>
      </c>
      <c r="B897" t="s" s="2">
        <v>13</v>
      </c>
      <c r="C897" t="str" s="8" cm="1">
        <f t="array" ref="C897">IF(B897="M","Married","Single")</f>
        <v>Married</v>
      </c>
      <c r="D897" t="s" s="2">
        <v>14</v>
      </c>
      <c r="E897" t="str" s="8" cm="1">
        <f t="array" ref="E897">IF(D897="M","Male",IF(D897="F","Female","Check"))</f>
        <v>Female</v>
      </c>
      <c r="F897" s="4">
        <v>20000</v>
      </c>
      <c r="G897" t="str" s="8" cm="1">
        <f t="array" ref="G897">IF(F897="","Check","okay")</f>
        <v>okay</v>
      </c>
      <c r="H897" s="3">
        <v>2</v>
      </c>
      <c r="I897" t="s" s="2">
        <v>21</v>
      </c>
      <c r="J897" t="s" s="2">
        <v>28</v>
      </c>
      <c r="K897" t="s" s="2">
        <v>17</v>
      </c>
      <c r="L897" s="3">
        <v>1</v>
      </c>
      <c r="M897" t="s" s="2">
        <v>18</v>
      </c>
      <c r="N897" t="s" s="2">
        <v>19</v>
      </c>
      <c r="O897" s="3">
        <v>46</v>
      </c>
      <c r="P897" t="str" s="8" cm="1">
        <f t="array" ref="P897">IF(O897="","check","Okay")</f>
        <v>Okay</v>
      </c>
      <c r="Q897" t="str" s="8" cm="1">
        <f t="array" ref="Q897">IF(O897&lt;30,"UNDER 30",IF(O897&lt;=50,"30-50","Over 50"))</f>
        <v>30-50</v>
      </c>
      <c r="R897" t="s" s="2">
        <v>17</v>
      </c>
      <c r="S897" s="3" cm="1">
        <f t="array" ref="S897">COUNTIF(A2:A1001,A897)</f>
        <v>1</v>
      </c>
      <c r="T897" t="str" s="8" cm="1">
        <f t="array" ref="T897">IF(ISNUMBER(F897),"Ok","check")</f>
        <v>Ok</v>
      </c>
      <c r="U897" t="str" s="8" cm="1">
        <f t="array" ref="U897">IF(ISNUMBER(O897),"ok","check")</f>
        <v>ok</v>
      </c>
    </row>
    <row r="898" ht="13.55" customHeight="1">
      <c r="A898" s="3">
        <v>11381</v>
      </c>
      <c r="B898" t="s" s="2">
        <v>13</v>
      </c>
      <c r="C898" t="str" s="8" cm="1">
        <f t="array" ref="C898">IF(B898="M","Married","Single")</f>
        <v>Married</v>
      </c>
      <c r="D898" t="s" s="2">
        <v>14</v>
      </c>
      <c r="E898" t="str" s="8" cm="1">
        <f t="array" ref="E898">IF(D898="M","Male",IF(D898="F","Female","Check"))</f>
        <v>Female</v>
      </c>
      <c r="F898" s="4">
        <v>20000</v>
      </c>
      <c r="G898" t="str" s="8" cm="1">
        <f t="array" ref="G898">IF(F898="","Check","okay")</f>
        <v>okay</v>
      </c>
      <c r="H898" s="3">
        <v>2</v>
      </c>
      <c r="I898" t="s" s="2">
        <v>21</v>
      </c>
      <c r="J898" t="s" s="2">
        <v>28</v>
      </c>
      <c r="K898" t="s" s="2">
        <v>17</v>
      </c>
      <c r="L898" s="3">
        <v>1</v>
      </c>
      <c r="M898" t="s" s="2">
        <v>24</v>
      </c>
      <c r="N898" t="s" s="2">
        <v>19</v>
      </c>
      <c r="O898" s="3">
        <v>47</v>
      </c>
      <c r="P898" t="str" s="8" cm="1">
        <f t="array" ref="P898">IF(O898="","check","Okay")</f>
        <v>Okay</v>
      </c>
      <c r="Q898" t="str" s="8" cm="1">
        <f t="array" ref="Q898">IF(O898&lt;30,"UNDER 30",IF(O898&lt;=50,"30-50","Over 50"))</f>
        <v>30-50</v>
      </c>
      <c r="R898" t="s" s="2">
        <v>17</v>
      </c>
      <c r="S898" s="3" cm="1">
        <f t="array" ref="S898">COUNTIF(A2:A1001,A898)</f>
        <v>1</v>
      </c>
      <c r="T898" t="str" s="8" cm="1">
        <f t="array" ref="T898">IF(ISNUMBER(F898),"Ok","check")</f>
        <v>Ok</v>
      </c>
      <c r="U898" t="str" s="8" cm="1">
        <f t="array" ref="U898">IF(ISNUMBER(O898),"ok","check")</f>
        <v>ok</v>
      </c>
    </row>
    <row r="899" ht="13.55" customHeight="1">
      <c r="A899" s="3">
        <v>27218</v>
      </c>
      <c r="B899" t="s" s="2">
        <v>13</v>
      </c>
      <c r="C899" t="str" s="8" cm="1">
        <f t="array" ref="C899">IF(B899="M","Married","Single")</f>
        <v>Married</v>
      </c>
      <c r="D899" t="s" s="2">
        <v>14</v>
      </c>
      <c r="E899" t="str" s="8" cm="1">
        <f t="array" ref="E899">IF(D899="M","Male",IF(D899="F","Female","Check"))</f>
        <v>Female</v>
      </c>
      <c r="F899" s="4">
        <v>20000</v>
      </c>
      <c r="G899" t="str" s="8" cm="1">
        <f t="array" ref="G899">IF(F899="","Check","okay")</f>
        <v>okay</v>
      </c>
      <c r="H899" s="3">
        <v>2</v>
      </c>
      <c r="I899" t="s" s="2">
        <v>32</v>
      </c>
      <c r="J899" t="s" s="2">
        <v>22</v>
      </c>
      <c r="K899" t="s" s="2">
        <v>20</v>
      </c>
      <c r="L899" s="3">
        <v>0</v>
      </c>
      <c r="M899" t="s" s="2">
        <v>18</v>
      </c>
      <c r="N899" t="s" s="2">
        <v>35</v>
      </c>
      <c r="O899" s="3">
        <v>48</v>
      </c>
      <c r="P899" t="str" s="8" cm="1">
        <f t="array" ref="P899">IF(O899="","check","Okay")</f>
        <v>Okay</v>
      </c>
      <c r="Q899" t="str" s="8" cm="1">
        <f t="array" ref="Q899">IF(O899&lt;30,"UNDER 30",IF(O899&lt;=50,"30-50","Over 50"))</f>
        <v>30-50</v>
      </c>
      <c r="R899" t="s" s="2">
        <v>20</v>
      </c>
      <c r="S899" s="3" cm="1">
        <f t="array" ref="S899">COUNTIF(A2:A1001,A899)</f>
        <v>1</v>
      </c>
      <c r="T899" t="str" s="8" cm="1">
        <f t="array" ref="T899">IF(ISNUMBER(F899),"Ok","check")</f>
        <v>Ok</v>
      </c>
      <c r="U899" t="str" s="8" cm="1">
        <f t="array" ref="U899">IF(ISNUMBER(O899),"ok","check")</f>
        <v>ok</v>
      </c>
    </row>
    <row r="900" ht="13.55" customHeight="1">
      <c r="A900" s="3">
        <v>23801</v>
      </c>
      <c r="B900" t="s" s="2">
        <v>13</v>
      </c>
      <c r="C900" t="str" s="8" cm="1">
        <f t="array" ref="C900">IF(B900="M","Married","Single")</f>
        <v>Married</v>
      </c>
      <c r="D900" t="s" s="2">
        <v>14</v>
      </c>
      <c r="E900" t="str" s="8" cm="1">
        <f t="array" ref="E900">IF(D900="M","Male",IF(D900="F","Female","Check"))</f>
        <v>Female</v>
      </c>
      <c r="F900" s="4">
        <v>20000</v>
      </c>
      <c r="G900" t="str" s="8" cm="1">
        <f t="array" ref="G900">IF(F900="","Check","okay")</f>
        <v>okay</v>
      </c>
      <c r="H900" s="3">
        <v>2</v>
      </c>
      <c r="I900" t="s" s="2">
        <v>32</v>
      </c>
      <c r="J900" t="s" s="2">
        <v>22</v>
      </c>
      <c r="K900" t="s" s="2">
        <v>17</v>
      </c>
      <c r="L900" s="3">
        <v>2</v>
      </c>
      <c r="M900" t="s" s="2">
        <v>18</v>
      </c>
      <c r="N900" t="s" s="2">
        <v>35</v>
      </c>
      <c r="O900" s="3">
        <v>49</v>
      </c>
      <c r="P900" t="str" s="8" cm="1">
        <f t="array" ref="P900">IF(O900="","check","Okay")</f>
        <v>Okay</v>
      </c>
      <c r="Q900" t="str" s="8" cm="1">
        <f t="array" ref="Q900">IF(O900&lt;30,"UNDER 30",IF(O900&lt;=50,"30-50","Over 50"))</f>
        <v>30-50</v>
      </c>
      <c r="R900" t="s" s="2">
        <v>20</v>
      </c>
      <c r="S900" s="3" cm="1">
        <f t="array" ref="S900">COUNTIF(A2:A1001,A900)</f>
        <v>1</v>
      </c>
      <c r="T900" t="str" s="8" cm="1">
        <f t="array" ref="T900">IF(ISNUMBER(F900),"Ok","check")</f>
        <v>Ok</v>
      </c>
      <c r="U900" t="str" s="8" cm="1">
        <f t="array" ref="U900">IF(ISNUMBER(O900),"ok","check")</f>
        <v>ok</v>
      </c>
    </row>
    <row r="901" ht="13.55" customHeight="1">
      <c r="A901" s="3">
        <v>25347</v>
      </c>
      <c r="B901" t="s" s="2">
        <v>25</v>
      </c>
      <c r="C901" t="str" s="8" cm="1">
        <f t="array" ref="C901">IF(B901="M","Married","Single")</f>
        <v>Single</v>
      </c>
      <c r="D901" t="s" s="2">
        <v>14</v>
      </c>
      <c r="E901" t="str" s="8" cm="1">
        <f t="array" ref="E901">IF(D901="M","Male",IF(D901="F","Female","Check"))</f>
        <v>Female</v>
      </c>
      <c r="F901" s="4">
        <v>20000</v>
      </c>
      <c r="G901" t="str" s="8" cm="1">
        <f t="array" ref="G901">IF(F901="","Check","okay")</f>
        <v>okay</v>
      </c>
      <c r="H901" s="3">
        <v>3</v>
      </c>
      <c r="I901" t="s" s="2">
        <v>32</v>
      </c>
      <c r="J901" t="s" s="2">
        <v>22</v>
      </c>
      <c r="K901" t="s" s="2">
        <v>20</v>
      </c>
      <c r="L901" s="3">
        <v>2</v>
      </c>
      <c r="M901" t="s" s="2">
        <v>18</v>
      </c>
      <c r="N901" t="s" s="2">
        <v>35</v>
      </c>
      <c r="O901" s="3">
        <v>49</v>
      </c>
      <c r="P901" t="str" s="8" cm="1">
        <f t="array" ref="P901">IF(O901="","check","Okay")</f>
        <v>Okay</v>
      </c>
      <c r="Q901" t="str" s="8" cm="1">
        <f t="array" ref="Q901">IF(O901&lt;30,"UNDER 30",IF(O901&lt;=50,"30-50","Over 50"))</f>
        <v>30-50</v>
      </c>
      <c r="R901" t="s" s="2">
        <v>20</v>
      </c>
      <c r="S901" s="3" cm="1">
        <f t="array" ref="S901">COUNTIF(A2:A1001,A901)</f>
        <v>1</v>
      </c>
      <c r="T901" t="str" s="8" cm="1">
        <f t="array" ref="T901">IF(ISNUMBER(F901),"Ok","check")</f>
        <v>Ok</v>
      </c>
      <c r="U901" t="str" s="8" cm="1">
        <f t="array" ref="U901">IF(ISNUMBER(O901),"ok","check")</f>
        <v>ok</v>
      </c>
    </row>
    <row r="902" ht="13.55" customHeight="1">
      <c r="A902" s="3">
        <v>26270</v>
      </c>
      <c r="B902" t="s" s="2">
        <v>25</v>
      </c>
      <c r="C902" t="str" s="8" cm="1">
        <f t="array" ref="C902">IF(B902="M","Married","Single")</f>
        <v>Single</v>
      </c>
      <c r="D902" t="s" s="2">
        <v>14</v>
      </c>
      <c r="E902" t="str" s="8" cm="1">
        <f t="array" ref="E902">IF(D902="M","Male",IF(D902="F","Female","Check"))</f>
        <v>Female</v>
      </c>
      <c r="F902" s="4">
        <v>20000</v>
      </c>
      <c r="G902" t="str" s="8" cm="1">
        <f t="array" ref="G902">IF(F902="","Check","okay")</f>
        <v>okay</v>
      </c>
      <c r="H902" s="3">
        <v>2</v>
      </c>
      <c r="I902" t="s" s="2">
        <v>32</v>
      </c>
      <c r="J902" t="s" s="2">
        <v>22</v>
      </c>
      <c r="K902" t="s" s="2">
        <v>17</v>
      </c>
      <c r="L902" s="3">
        <v>2</v>
      </c>
      <c r="M902" t="s" s="2">
        <v>29</v>
      </c>
      <c r="N902" t="s" s="2">
        <v>35</v>
      </c>
      <c r="O902" s="3">
        <v>49</v>
      </c>
      <c r="P902" t="str" s="8" cm="1">
        <f t="array" ref="P902">IF(O902="","check","Okay")</f>
        <v>Okay</v>
      </c>
      <c r="Q902" t="str" s="8" cm="1">
        <f t="array" ref="Q902">IF(O902&lt;30,"UNDER 30",IF(O902&lt;=50,"30-50","Over 50"))</f>
        <v>30-50</v>
      </c>
      <c r="R902" t="s" s="2">
        <v>20</v>
      </c>
      <c r="S902" s="3" cm="1">
        <f t="array" ref="S902">COUNTIF(A2:A1001,A902)</f>
        <v>1</v>
      </c>
      <c r="T902" t="str" s="8" cm="1">
        <f t="array" ref="T902">IF(ISNUMBER(F902),"Ok","check")</f>
        <v>Ok</v>
      </c>
      <c r="U902" t="str" s="8" cm="1">
        <f t="array" ref="U902">IF(ISNUMBER(O902),"ok","check")</f>
        <v>ok</v>
      </c>
    </row>
    <row r="903" ht="13.55" customHeight="1">
      <c r="A903" s="3">
        <v>27040</v>
      </c>
      <c r="B903" t="s" s="2">
        <v>13</v>
      </c>
      <c r="C903" t="str" s="8" cm="1">
        <f t="array" ref="C903">IF(B903="M","Married","Single")</f>
        <v>Married</v>
      </c>
      <c r="D903" t="s" s="2">
        <v>13</v>
      </c>
      <c r="E903" t="str" s="8" cm="1">
        <f t="array" ref="E903">IF(D903="M","Male",IF(D903="F","Female","Check"))</f>
        <v>Male</v>
      </c>
      <c r="F903" s="4">
        <v>20000</v>
      </c>
      <c r="G903" t="str" s="8" cm="1">
        <f t="array" ref="G903">IF(F903="","Check","okay")</f>
        <v>okay</v>
      </c>
      <c r="H903" s="3">
        <v>2</v>
      </c>
      <c r="I903" t="s" s="2">
        <v>32</v>
      </c>
      <c r="J903" t="s" s="2">
        <v>22</v>
      </c>
      <c r="K903" t="s" s="2">
        <v>17</v>
      </c>
      <c r="L903" s="3">
        <v>2</v>
      </c>
      <c r="M903" t="s" s="2">
        <v>29</v>
      </c>
      <c r="N903" t="s" s="2">
        <v>35</v>
      </c>
      <c r="O903" s="3">
        <v>49</v>
      </c>
      <c r="P903" t="str" s="8" cm="1">
        <f t="array" ref="P903">IF(O903="","check","Okay")</f>
        <v>Okay</v>
      </c>
      <c r="Q903" t="str" s="8" cm="1">
        <f t="array" ref="Q903">IF(O903&lt;30,"UNDER 30",IF(O903&lt;=50,"30-50","Over 50"))</f>
        <v>30-50</v>
      </c>
      <c r="R903" t="s" s="2">
        <v>20</v>
      </c>
      <c r="S903" s="3" cm="1">
        <f t="array" ref="S903">COUNTIF(A2:A1001,A903)</f>
        <v>1</v>
      </c>
      <c r="T903" t="str" s="8" cm="1">
        <f t="array" ref="T903">IF(ISNUMBER(F903),"Ok","check")</f>
        <v>Ok</v>
      </c>
      <c r="U903" t="str" s="8" cm="1">
        <f t="array" ref="U903">IF(ISNUMBER(O903),"ok","check")</f>
        <v>ok</v>
      </c>
    </row>
    <row r="904" ht="13.55" customHeight="1">
      <c r="A904" s="3">
        <v>17894</v>
      </c>
      <c r="B904" t="s" s="2">
        <v>13</v>
      </c>
      <c r="C904" t="str" s="8" cm="1">
        <f t="array" ref="C904">IF(B904="M","Married","Single")</f>
        <v>Married</v>
      </c>
      <c r="D904" t="s" s="2">
        <v>14</v>
      </c>
      <c r="E904" t="str" s="8" cm="1">
        <f t="array" ref="E904">IF(D904="M","Male",IF(D904="F","Female","Check"))</f>
        <v>Female</v>
      </c>
      <c r="F904" s="4">
        <v>20000</v>
      </c>
      <c r="G904" t="str" s="8" cm="1">
        <f t="array" ref="G904">IF(F904="","Check","okay")</f>
        <v>okay</v>
      </c>
      <c r="H904" s="3">
        <v>1</v>
      </c>
      <c r="I904" t="s" s="2">
        <v>15</v>
      </c>
      <c r="J904" t="s" s="2">
        <v>22</v>
      </c>
      <c r="K904" t="s" s="2">
        <v>17</v>
      </c>
      <c r="L904" s="3">
        <v>0</v>
      </c>
      <c r="M904" t="s" s="2">
        <v>18</v>
      </c>
      <c r="N904" t="s" s="2">
        <v>19</v>
      </c>
      <c r="O904" s="3">
        <v>50</v>
      </c>
      <c r="P904" t="str" s="8" cm="1">
        <f t="array" ref="P904">IF(O904="","check","Okay")</f>
        <v>Okay</v>
      </c>
      <c r="Q904" t="str" s="8" cm="1">
        <f t="array" ref="Q904">IF(O904&lt;30,"UNDER 30",IF(O904&lt;=50,"30-50","Over 50"))</f>
        <v>30-50</v>
      </c>
      <c r="R904" t="s" s="2">
        <v>17</v>
      </c>
      <c r="S904" s="3" cm="1">
        <f t="array" ref="S904">COUNTIF(A2:A1001,A904)</f>
        <v>1</v>
      </c>
      <c r="T904" t="str" s="8" cm="1">
        <f t="array" ref="T904">IF(ISNUMBER(F904),"Ok","check")</f>
        <v>Ok</v>
      </c>
      <c r="U904" t="str" s="8" cm="1">
        <f t="array" ref="U904">IF(ISNUMBER(O904),"ok","check")</f>
        <v>ok</v>
      </c>
    </row>
    <row r="905" ht="13.55" customHeight="1">
      <c r="A905" s="3">
        <v>25343</v>
      </c>
      <c r="B905" t="s" s="2">
        <v>25</v>
      </c>
      <c r="C905" t="str" s="8" cm="1">
        <f t="array" ref="C905">IF(B905="M","Married","Single")</f>
        <v>Single</v>
      </c>
      <c r="D905" t="s" s="2">
        <v>14</v>
      </c>
      <c r="E905" t="str" s="8" cm="1">
        <f t="array" ref="E905">IF(D905="M","Male",IF(D905="F","Female","Check"))</f>
        <v>Female</v>
      </c>
      <c r="F905" s="4">
        <v>20000</v>
      </c>
      <c r="G905" t="str" s="8" cm="1">
        <f t="array" ref="G905">IF(F905="","Check","okay")</f>
        <v>okay</v>
      </c>
      <c r="H905" s="3">
        <v>3</v>
      </c>
      <c r="I905" t="s" s="2">
        <v>32</v>
      </c>
      <c r="J905" t="s" s="2">
        <v>22</v>
      </c>
      <c r="K905" t="s" s="2">
        <v>17</v>
      </c>
      <c r="L905" s="3">
        <v>2</v>
      </c>
      <c r="M905" t="s" s="2">
        <v>29</v>
      </c>
      <c r="N905" t="s" s="2">
        <v>35</v>
      </c>
      <c r="O905" s="3">
        <v>50</v>
      </c>
      <c r="P905" t="str" s="8" cm="1">
        <f t="array" ref="P905">IF(O905="","check","Okay")</f>
        <v>Okay</v>
      </c>
      <c r="Q905" t="str" s="8" cm="1">
        <f t="array" ref="Q905">IF(O905&lt;30,"UNDER 30",IF(O905&lt;=50,"30-50","Over 50"))</f>
        <v>30-50</v>
      </c>
      <c r="R905" t="s" s="2">
        <v>20</v>
      </c>
      <c r="S905" s="3" cm="1">
        <f t="array" ref="S905">COUNTIF(A2:A1001,A905)</f>
        <v>1</v>
      </c>
      <c r="T905" t="str" s="8" cm="1">
        <f t="array" ref="T905">IF(ISNUMBER(F905),"Ok","check")</f>
        <v>Ok</v>
      </c>
      <c r="U905" t="str" s="8" cm="1">
        <f t="array" ref="U905">IF(ISNUMBER(O905),"ok","check")</f>
        <v>ok</v>
      </c>
    </row>
    <row r="906" ht="13.55" customHeight="1">
      <c r="A906" s="3">
        <v>23797</v>
      </c>
      <c r="B906" t="s" s="2">
        <v>25</v>
      </c>
      <c r="C906" t="str" s="8" cm="1">
        <f t="array" ref="C906">IF(B906="M","Married","Single")</f>
        <v>Single</v>
      </c>
      <c r="D906" t="s" s="2">
        <v>13</v>
      </c>
      <c r="E906" t="str" s="8" cm="1">
        <f t="array" ref="E906">IF(D906="M","Male",IF(D906="F","Female","Check"))</f>
        <v>Male</v>
      </c>
      <c r="F906" s="4">
        <v>20000</v>
      </c>
      <c r="G906" t="str" s="8" cm="1">
        <f t="array" ref="G906">IF(F906="","Check","okay")</f>
        <v>okay</v>
      </c>
      <c r="H906" s="3">
        <v>3</v>
      </c>
      <c r="I906" t="s" s="2">
        <v>32</v>
      </c>
      <c r="J906" t="s" s="2">
        <v>22</v>
      </c>
      <c r="K906" t="s" s="2">
        <v>20</v>
      </c>
      <c r="L906" s="3">
        <v>2</v>
      </c>
      <c r="M906" t="s" s="2">
        <v>18</v>
      </c>
      <c r="N906" t="s" s="2">
        <v>35</v>
      </c>
      <c r="O906" s="3">
        <v>50</v>
      </c>
      <c r="P906" t="str" s="8" cm="1">
        <f t="array" ref="P906">IF(O906="","check","Okay")</f>
        <v>Okay</v>
      </c>
      <c r="Q906" t="str" s="8" cm="1">
        <f t="array" ref="Q906">IF(O906&lt;30,"UNDER 30",IF(O906&lt;=50,"30-50","Over 50"))</f>
        <v>30-50</v>
      </c>
      <c r="R906" t="s" s="2">
        <v>20</v>
      </c>
      <c r="S906" s="3" cm="1">
        <f t="array" ref="S906">COUNTIF(A2:A1001,A906)</f>
        <v>1</v>
      </c>
      <c r="T906" t="str" s="8" cm="1">
        <f t="array" ref="T906">IF(ISNUMBER(F906),"Ok","check")</f>
        <v>Ok</v>
      </c>
      <c r="U906" t="str" s="8" cm="1">
        <f t="array" ref="U906">IF(ISNUMBER(O906),"ok","check")</f>
        <v>ok</v>
      </c>
    </row>
    <row r="907" ht="13.55" customHeight="1">
      <c r="A907" s="3">
        <v>24151</v>
      </c>
      <c r="B907" t="s" s="2">
        <v>25</v>
      </c>
      <c r="C907" t="str" s="8" cm="1">
        <f t="array" ref="C907">IF(B907="M","Married","Single")</f>
        <v>Single</v>
      </c>
      <c r="D907" t="s" s="2">
        <v>13</v>
      </c>
      <c r="E907" t="str" s="8" cm="1">
        <f t="array" ref="E907">IF(D907="M","Male",IF(D907="F","Female","Check"))</f>
        <v>Male</v>
      </c>
      <c r="F907" s="4">
        <v>20000</v>
      </c>
      <c r="G907" t="str" s="8" cm="1">
        <f t="array" ref="G907">IF(F907="","Check","okay")</f>
        <v>okay</v>
      </c>
      <c r="H907" s="3">
        <v>1</v>
      </c>
      <c r="I907" t="s" s="2">
        <v>15</v>
      </c>
      <c r="J907" t="s" s="2">
        <v>22</v>
      </c>
      <c r="K907" t="s" s="2">
        <v>20</v>
      </c>
      <c r="L907" s="3">
        <v>0</v>
      </c>
      <c r="M907" t="s" s="2">
        <v>18</v>
      </c>
      <c r="N907" t="s" s="2">
        <v>19</v>
      </c>
      <c r="O907" s="3">
        <v>51</v>
      </c>
      <c r="P907" t="str" s="8" cm="1">
        <f t="array" ref="P907">IF(O907="","check","Okay")</f>
        <v>Okay</v>
      </c>
      <c r="Q907" t="str" s="8" cm="1">
        <f t="array" ref="Q907">IF(O907&lt;30,"UNDER 30",IF(O907&lt;=50,"30-50","Over 50"))</f>
        <v>Over 50</v>
      </c>
      <c r="R907" t="s" s="2">
        <v>20</v>
      </c>
      <c r="S907" s="3" cm="1">
        <f t="array" ref="S907">COUNTIF(A2:A1001,A907)</f>
        <v>1</v>
      </c>
      <c r="T907" t="str" s="8" cm="1">
        <f t="array" ref="T907">IF(ISNUMBER(F907),"Ok","check")</f>
        <v>Ok</v>
      </c>
      <c r="U907" t="str" s="8" cm="1">
        <f t="array" ref="U907">IF(ISNUMBER(O907),"ok","check")</f>
        <v>ok</v>
      </c>
    </row>
    <row r="908" ht="13.55" customHeight="1">
      <c r="A908" s="3">
        <v>26248</v>
      </c>
      <c r="B908" t="s" s="2">
        <v>13</v>
      </c>
      <c r="C908" t="str" s="8" cm="1">
        <f t="array" ref="C908">IF(B908="M","Married","Single")</f>
        <v>Married</v>
      </c>
      <c r="D908" t="s" s="2">
        <v>13</v>
      </c>
      <c r="E908" t="str" s="8" cm="1">
        <f t="array" ref="E908">IF(D908="M","Male",IF(D908="F","Female","Check"))</f>
        <v>Male</v>
      </c>
      <c r="F908" s="4">
        <v>20000</v>
      </c>
      <c r="G908" t="str" s="8" cm="1">
        <f t="array" ref="G908">IF(F908="","Check","okay")</f>
        <v>okay</v>
      </c>
      <c r="H908" s="3">
        <v>3</v>
      </c>
      <c r="I908" t="s" s="2">
        <v>32</v>
      </c>
      <c r="J908" t="s" s="2">
        <v>22</v>
      </c>
      <c r="K908" t="s" s="2">
        <v>20</v>
      </c>
      <c r="L908" s="3">
        <v>2</v>
      </c>
      <c r="M908" t="s" s="2">
        <v>18</v>
      </c>
      <c r="N908" t="s" s="2">
        <v>35</v>
      </c>
      <c r="O908" s="3">
        <v>52</v>
      </c>
      <c r="P908" t="str" s="8" cm="1">
        <f t="array" ref="P908">IF(O908="","check","Okay")</f>
        <v>Okay</v>
      </c>
      <c r="Q908" t="str" s="8" cm="1">
        <f t="array" ref="Q908">IF(O908&lt;30,"UNDER 30",IF(O908&lt;=50,"30-50","Over 50"))</f>
        <v>Over 50</v>
      </c>
      <c r="R908" t="s" s="2">
        <v>20</v>
      </c>
      <c r="S908" s="3" cm="1">
        <f t="array" ref="S908">COUNTIF(A2:A1001,A908)</f>
        <v>1</v>
      </c>
      <c r="T908" t="str" s="8" cm="1">
        <f t="array" ref="T908">IF(ISNUMBER(F908),"Ok","check")</f>
        <v>Ok</v>
      </c>
      <c r="U908" t="str" s="8" cm="1">
        <f t="array" ref="U908">IF(ISNUMBER(O908),"ok","check")</f>
        <v>ok</v>
      </c>
    </row>
    <row r="909" ht="13.55" customHeight="1">
      <c r="A909" s="3">
        <v>13714</v>
      </c>
      <c r="B909" t="s" s="2">
        <v>13</v>
      </c>
      <c r="C909" t="str" s="8" cm="1">
        <f t="array" ref="C909">IF(B909="M","Married","Single")</f>
        <v>Married</v>
      </c>
      <c r="D909" t="s" s="2">
        <v>14</v>
      </c>
      <c r="E909" t="str" s="8" cm="1">
        <f t="array" ref="E909">IF(D909="M","Male",IF(D909="F","Female","Check"))</f>
        <v>Female</v>
      </c>
      <c r="F909" s="4">
        <v>20000</v>
      </c>
      <c r="G909" t="str" s="8" cm="1">
        <f t="array" ref="G909">IF(F909="","Check","okay")</f>
        <v>okay</v>
      </c>
      <c r="H909" s="3">
        <v>2</v>
      </c>
      <c r="I909" t="s" s="2">
        <v>30</v>
      </c>
      <c r="J909" t="s" s="2">
        <v>28</v>
      </c>
      <c r="K909" t="s" s="2">
        <v>20</v>
      </c>
      <c r="L909" s="3">
        <v>2</v>
      </c>
      <c r="M909" t="s" s="2">
        <v>29</v>
      </c>
      <c r="N909" t="s" s="2">
        <v>35</v>
      </c>
      <c r="O909" s="3">
        <v>53</v>
      </c>
      <c r="P909" t="str" s="8" cm="1">
        <f t="array" ref="P909">IF(O909="","check","Okay")</f>
        <v>Okay</v>
      </c>
      <c r="Q909" t="str" s="8" cm="1">
        <f t="array" ref="Q909">IF(O909&lt;30,"UNDER 30",IF(O909&lt;=50,"30-50","Over 50"))</f>
        <v>Over 50</v>
      </c>
      <c r="R909" t="s" s="2">
        <v>17</v>
      </c>
      <c r="S909" s="3" cm="1">
        <f t="array" ref="S909">COUNTIF(A2:A1001,A909)</f>
        <v>1</v>
      </c>
      <c r="T909" t="str" s="8" cm="1">
        <f t="array" ref="T909">IF(ISNUMBER(F909),"Ok","check")</f>
        <v>Ok</v>
      </c>
      <c r="U909" t="str" s="8" cm="1">
        <f t="array" ref="U909">IF(ISNUMBER(O909),"ok","check")</f>
        <v>ok</v>
      </c>
    </row>
    <row r="910" ht="13.55" customHeight="1">
      <c r="A910" s="3">
        <v>25752</v>
      </c>
      <c r="B910" t="s" s="2">
        <v>25</v>
      </c>
      <c r="C910" t="str" s="8" cm="1">
        <f t="array" ref="C910">IF(B910="M","Married","Single")</f>
        <v>Single</v>
      </c>
      <c r="D910" t="s" s="2">
        <v>14</v>
      </c>
      <c r="E910" t="str" s="8" cm="1">
        <f t="array" ref="E910">IF(D910="M","Male",IF(D910="F","Female","Check"))</f>
        <v>Female</v>
      </c>
      <c r="F910" s="4">
        <v>20000</v>
      </c>
      <c r="G910" t="str" s="8" cm="1">
        <f t="array" ref="G910">IF(F910="","Check","okay")</f>
        <v>okay</v>
      </c>
      <c r="H910" s="3">
        <v>2</v>
      </c>
      <c r="I910" t="s" s="2">
        <v>21</v>
      </c>
      <c r="J910" t="s" s="2">
        <v>28</v>
      </c>
      <c r="K910" t="s" s="2">
        <v>20</v>
      </c>
      <c r="L910" s="3">
        <v>1</v>
      </c>
      <c r="M910" t="s" s="2">
        <v>18</v>
      </c>
      <c r="N910" t="s" s="2">
        <v>19</v>
      </c>
      <c r="O910" s="3">
        <v>53</v>
      </c>
      <c r="P910" t="str" s="8" cm="1">
        <f t="array" ref="P910">IF(O910="","check","Okay")</f>
        <v>Okay</v>
      </c>
      <c r="Q910" t="str" s="8" cm="1">
        <f t="array" ref="Q910">IF(O910&lt;30,"UNDER 30",IF(O910&lt;=50,"30-50","Over 50"))</f>
        <v>Over 50</v>
      </c>
      <c r="R910" t="s" s="2">
        <v>17</v>
      </c>
      <c r="S910" s="3" cm="1">
        <f t="array" ref="S910">COUNTIF(A2:A1001,A910)</f>
        <v>1</v>
      </c>
      <c r="T910" t="str" s="8" cm="1">
        <f t="array" ref="T910">IF(ISNUMBER(F910),"Ok","check")</f>
        <v>Ok</v>
      </c>
      <c r="U910" t="str" s="8" cm="1">
        <f t="array" ref="U910">IF(ISNUMBER(O910),"ok","check")</f>
        <v>ok</v>
      </c>
    </row>
    <row r="911" ht="13.55" customHeight="1">
      <c r="A911" s="3">
        <v>20084</v>
      </c>
      <c r="B911" t="s" s="2">
        <v>13</v>
      </c>
      <c r="C911" t="str" s="8" cm="1">
        <f t="array" ref="C911">IF(B911="M","Married","Single")</f>
        <v>Married</v>
      </c>
      <c r="D911" t="s" s="2">
        <v>13</v>
      </c>
      <c r="E911" t="str" s="8" cm="1">
        <f t="array" ref="E911">IF(D911="M","Male",IF(D911="F","Female","Check"))</f>
        <v>Male</v>
      </c>
      <c r="F911" s="4">
        <v>20000</v>
      </c>
      <c r="G911" t="str" s="8" cm="1">
        <f t="array" ref="G911">IF(F911="","Check","okay")</f>
        <v>okay</v>
      </c>
      <c r="H911" s="3">
        <v>2</v>
      </c>
      <c r="I911" t="s" s="2">
        <v>30</v>
      </c>
      <c r="J911" t="s" s="2">
        <v>28</v>
      </c>
      <c r="K911" t="s" s="2">
        <v>20</v>
      </c>
      <c r="L911" s="3">
        <v>2</v>
      </c>
      <c r="M911" t="s" s="2">
        <v>18</v>
      </c>
      <c r="N911" t="s" s="2">
        <v>35</v>
      </c>
      <c r="O911" s="3">
        <v>53</v>
      </c>
      <c r="P911" t="str" s="8" cm="1">
        <f t="array" ref="P911">IF(O911="","check","Okay")</f>
        <v>Okay</v>
      </c>
      <c r="Q911" t="str" s="8" cm="1">
        <f t="array" ref="Q911">IF(O911&lt;30,"UNDER 30",IF(O911&lt;=50,"30-50","Over 50"))</f>
        <v>Over 50</v>
      </c>
      <c r="R911" t="s" s="2">
        <v>20</v>
      </c>
      <c r="S911" s="3" cm="1">
        <f t="array" ref="S911">COUNTIF(A2:A1001,A911)</f>
        <v>1</v>
      </c>
      <c r="T911" t="str" s="8" cm="1">
        <f t="array" ref="T911">IF(ISNUMBER(F911),"Ok","check")</f>
        <v>Ok</v>
      </c>
      <c r="U911" t="str" s="8" cm="1">
        <f t="array" ref="U911">IF(ISNUMBER(O911),"ok","check")</f>
        <v>ok</v>
      </c>
    </row>
    <row r="912" ht="13.55" customHeight="1">
      <c r="A912" s="3">
        <v>25605</v>
      </c>
      <c r="B912" t="s" s="2">
        <v>25</v>
      </c>
      <c r="C912" t="str" s="8" cm="1">
        <f t="array" ref="C912">IF(B912="M","Married","Single")</f>
        <v>Single</v>
      </c>
      <c r="D912" t="s" s="2">
        <v>14</v>
      </c>
      <c r="E912" t="str" s="8" cm="1">
        <f t="array" ref="E912">IF(D912="M","Male",IF(D912="F","Female","Check"))</f>
        <v>Female</v>
      </c>
      <c r="F912" s="4">
        <v>20000</v>
      </c>
      <c r="G912" t="str" s="8" cm="1">
        <f t="array" ref="G912">IF(F912="","Check","okay")</f>
        <v>okay</v>
      </c>
      <c r="H912" s="3">
        <v>2</v>
      </c>
      <c r="I912" t="s" s="2">
        <v>21</v>
      </c>
      <c r="J912" t="s" s="2">
        <v>28</v>
      </c>
      <c r="K912" t="s" s="2">
        <v>20</v>
      </c>
      <c r="L912" s="3">
        <v>1</v>
      </c>
      <c r="M912" t="s" s="2">
        <v>18</v>
      </c>
      <c r="N912" t="s" s="2">
        <v>19</v>
      </c>
      <c r="O912" s="3">
        <v>54</v>
      </c>
      <c r="P912" t="str" s="8" cm="1">
        <f t="array" ref="P912">IF(O912="","check","Okay")</f>
        <v>Okay</v>
      </c>
      <c r="Q912" t="str" s="8" cm="1">
        <f t="array" ref="Q912">IF(O912&lt;30,"UNDER 30",IF(O912&lt;=50,"30-50","Over 50"))</f>
        <v>Over 50</v>
      </c>
      <c r="R912" t="s" s="2">
        <v>17</v>
      </c>
      <c r="S912" s="3" cm="1">
        <f t="array" ref="S912">COUNTIF(A2:A1001,A912)</f>
        <v>1</v>
      </c>
      <c r="T912" t="str" s="8" cm="1">
        <f t="array" ref="T912">IF(ISNUMBER(F912),"Ok","check")</f>
        <v>Ok</v>
      </c>
      <c r="U912" t="str" s="8" cm="1">
        <f t="array" ref="U912">IF(ISNUMBER(O912),"ok","check")</f>
        <v>ok</v>
      </c>
    </row>
    <row r="913" ht="13.55" customHeight="1">
      <c r="A913" s="3">
        <v>25026</v>
      </c>
      <c r="B913" t="s" s="2">
        <v>13</v>
      </c>
      <c r="C913" t="str" s="8" cm="1">
        <f t="array" ref="C913">IF(B913="M","Married","Single")</f>
        <v>Married</v>
      </c>
      <c r="D913" t="s" s="2">
        <v>13</v>
      </c>
      <c r="E913" t="str" s="8" cm="1">
        <f t="array" ref="E913">IF(D913="M","Male",IF(D913="F","Female","Check"))</f>
        <v>Male</v>
      </c>
      <c r="F913" s="4">
        <v>20000</v>
      </c>
      <c r="G913" t="str" s="8" cm="1">
        <f t="array" ref="G913">IF(F913="","Check","okay")</f>
        <v>okay</v>
      </c>
      <c r="H913" s="3">
        <v>2</v>
      </c>
      <c r="I913" t="s" s="2">
        <v>32</v>
      </c>
      <c r="J913" t="s" s="2">
        <v>22</v>
      </c>
      <c r="K913" t="s" s="2">
        <v>17</v>
      </c>
      <c r="L913" s="3">
        <v>3</v>
      </c>
      <c r="M913" t="s" s="2">
        <v>26</v>
      </c>
      <c r="N913" t="s" s="2">
        <v>27</v>
      </c>
      <c r="O913" s="3">
        <v>54</v>
      </c>
      <c r="P913" t="str" s="8" cm="1">
        <f t="array" ref="P913">IF(O913="","check","Okay")</f>
        <v>Okay</v>
      </c>
      <c r="Q913" t="str" s="8" cm="1">
        <f t="array" ref="Q913">IF(O913&lt;30,"UNDER 30",IF(O913&lt;=50,"30-50","Over 50"))</f>
        <v>Over 50</v>
      </c>
      <c r="R913" t="s" s="2">
        <v>20</v>
      </c>
      <c r="S913" s="3" cm="1">
        <f t="array" ref="S913">COUNTIF(A2:A1001,A913)</f>
        <v>1</v>
      </c>
      <c r="T913" t="str" s="8" cm="1">
        <f t="array" ref="T913">IF(ISNUMBER(F913),"Ok","check")</f>
        <v>Ok</v>
      </c>
      <c r="U913" t="str" s="8" cm="1">
        <f t="array" ref="U913">IF(ISNUMBER(O913),"ok","check")</f>
        <v>ok</v>
      </c>
    </row>
    <row r="914" ht="13.55" customHeight="1">
      <c r="A914" s="3">
        <v>24273</v>
      </c>
      <c r="B914" t="s" s="2">
        <v>13</v>
      </c>
      <c r="C914" t="str" s="8" cm="1">
        <f t="array" ref="C914">IF(B914="M","Married","Single")</f>
        <v>Married</v>
      </c>
      <c r="D914" t="s" s="2">
        <v>14</v>
      </c>
      <c r="E914" t="str" s="8" cm="1">
        <f t="array" ref="E914">IF(D914="M","Male",IF(D914="F","Female","Check"))</f>
        <v>Female</v>
      </c>
      <c r="F914" s="4">
        <v>20000</v>
      </c>
      <c r="G914" t="str" s="8" cm="1">
        <f t="array" ref="G914">IF(F914="","Check","okay")</f>
        <v>okay</v>
      </c>
      <c r="H914" s="3">
        <v>2</v>
      </c>
      <c r="I914" t="s" s="2">
        <v>32</v>
      </c>
      <c r="J914" t="s" s="2">
        <v>22</v>
      </c>
      <c r="K914" t="s" s="2">
        <v>17</v>
      </c>
      <c r="L914" s="3">
        <v>2</v>
      </c>
      <c r="M914" t="s" s="2">
        <v>26</v>
      </c>
      <c r="N914" t="s" s="2">
        <v>27</v>
      </c>
      <c r="O914" s="3">
        <v>55</v>
      </c>
      <c r="P914" t="str" s="8" cm="1">
        <f t="array" ref="P914">IF(O914="","check","Okay")</f>
        <v>Okay</v>
      </c>
      <c r="Q914" t="str" s="8" cm="1">
        <f t="array" ref="Q914">IF(O914&lt;30,"UNDER 30",IF(O914&lt;=50,"30-50","Over 50"))</f>
        <v>Over 50</v>
      </c>
      <c r="R914" t="s" s="2">
        <v>17</v>
      </c>
      <c r="S914" s="3" cm="1">
        <f t="array" ref="S914">COUNTIF(A2:A1001,A914)</f>
        <v>1</v>
      </c>
      <c r="T914" t="str" s="8" cm="1">
        <f t="array" ref="T914">IF(ISNUMBER(F914),"Ok","check")</f>
        <v>Ok</v>
      </c>
      <c r="U914" t="str" s="8" cm="1">
        <f t="array" ref="U914">IF(ISNUMBER(O914),"ok","check")</f>
        <v>ok</v>
      </c>
    </row>
    <row r="915" ht="13.55" customHeight="1">
      <c r="A915" s="3">
        <v>25940</v>
      </c>
      <c r="B915" t="s" s="2">
        <v>25</v>
      </c>
      <c r="C915" t="str" s="8" cm="1">
        <f t="array" ref="C915">IF(B915="M","Married","Single")</f>
        <v>Single</v>
      </c>
      <c r="D915" t="s" s="2">
        <v>13</v>
      </c>
      <c r="E915" t="str" s="8" cm="1">
        <f t="array" ref="E915">IF(D915="M","Male",IF(D915="F","Female","Check"))</f>
        <v>Male</v>
      </c>
      <c r="F915" s="4">
        <v>20000</v>
      </c>
      <c r="G915" t="str" s="8" cm="1">
        <f t="array" ref="G915">IF(F915="","Check","okay")</f>
        <v>okay</v>
      </c>
      <c r="H915" s="3">
        <v>2</v>
      </c>
      <c r="I915" t="s" s="2">
        <v>32</v>
      </c>
      <c r="J915" t="s" s="2">
        <v>22</v>
      </c>
      <c r="K915" t="s" s="2">
        <v>17</v>
      </c>
      <c r="L915" s="3">
        <v>2</v>
      </c>
      <c r="M915" t="s" s="2">
        <v>26</v>
      </c>
      <c r="N915" t="s" s="2">
        <v>27</v>
      </c>
      <c r="O915" s="3">
        <v>55</v>
      </c>
      <c r="P915" t="str" s="8" cm="1">
        <f t="array" ref="P915">IF(O915="","check","Okay")</f>
        <v>Okay</v>
      </c>
      <c r="Q915" t="str" s="8" cm="1">
        <f t="array" ref="Q915">IF(O915&lt;30,"UNDER 30",IF(O915&lt;=50,"30-50","Over 50"))</f>
        <v>Over 50</v>
      </c>
      <c r="R915" t="s" s="2">
        <v>17</v>
      </c>
      <c r="S915" s="3" cm="1">
        <f t="array" ref="S915">COUNTIF(A2:A1001,A915)</f>
        <v>1</v>
      </c>
      <c r="T915" t="str" s="8" cm="1">
        <f t="array" ref="T915">IF(ISNUMBER(F915),"Ok","check")</f>
        <v>Ok</v>
      </c>
      <c r="U915" t="str" s="8" cm="1">
        <f t="array" ref="U915">IF(ISNUMBER(O915),"ok","check")</f>
        <v>ok</v>
      </c>
    </row>
    <row r="916" ht="13.55" customHeight="1">
      <c r="A916" s="3">
        <v>21375</v>
      </c>
      <c r="B916" t="s" s="2">
        <v>25</v>
      </c>
      <c r="C916" t="str" s="8" cm="1">
        <f t="array" ref="C916">IF(B916="M","Married","Single")</f>
        <v>Single</v>
      </c>
      <c r="D916" t="s" s="2">
        <v>13</v>
      </c>
      <c r="E916" t="str" s="8" cm="1">
        <f t="array" ref="E916">IF(D916="M","Male",IF(D916="F","Female","Check"))</f>
        <v>Male</v>
      </c>
      <c r="F916" s="4">
        <v>20000</v>
      </c>
      <c r="G916" t="str" s="8" cm="1">
        <f t="array" ref="G916">IF(F916="","Check","okay")</f>
        <v>okay</v>
      </c>
      <c r="H916" s="3">
        <v>2</v>
      </c>
      <c r="I916" t="s" s="2">
        <v>32</v>
      </c>
      <c r="J916" t="s" s="2">
        <v>22</v>
      </c>
      <c r="K916" t="s" s="2">
        <v>17</v>
      </c>
      <c r="L916" s="3">
        <v>2</v>
      </c>
      <c r="M916" t="s" s="2">
        <v>26</v>
      </c>
      <c r="N916" t="s" s="2">
        <v>27</v>
      </c>
      <c r="O916" s="3">
        <v>57</v>
      </c>
      <c r="P916" t="str" s="8" cm="1">
        <f t="array" ref="P916">IF(O916="","check","Okay")</f>
        <v>Okay</v>
      </c>
      <c r="Q916" t="str" s="8" cm="1">
        <f t="array" ref="Q916">IF(O916&lt;30,"UNDER 30",IF(O916&lt;=50,"30-50","Over 50"))</f>
        <v>Over 50</v>
      </c>
      <c r="R916" t="s" s="2">
        <v>20</v>
      </c>
      <c r="S916" s="3" cm="1">
        <f t="array" ref="S916">COUNTIF(A2:A1001,A916)</f>
        <v>1</v>
      </c>
      <c r="T916" t="str" s="8" cm="1">
        <f t="array" ref="T916">IF(ISNUMBER(F916),"Ok","check")</f>
        <v>Ok</v>
      </c>
      <c r="U916" t="str" s="8" cm="1">
        <f t="array" ref="U916">IF(ISNUMBER(O916),"ok","check")</f>
        <v>ok</v>
      </c>
    </row>
    <row r="917" ht="13.55" customHeight="1">
      <c r="A917" s="3">
        <v>22155</v>
      </c>
      <c r="B917" t="s" s="2">
        <v>13</v>
      </c>
      <c r="C917" t="str" s="8" cm="1">
        <f t="array" ref="C917">IF(B917="M","Married","Single")</f>
        <v>Married</v>
      </c>
      <c r="D917" t="s" s="2">
        <v>13</v>
      </c>
      <c r="E917" t="str" s="8" cm="1">
        <f t="array" ref="E917">IF(D917="M","Male",IF(D917="F","Female","Check"))</f>
        <v>Male</v>
      </c>
      <c r="F917" s="4">
        <v>20000</v>
      </c>
      <c r="G917" t="str" s="8" cm="1">
        <f t="array" ref="G917">IF(F917="","Check","okay")</f>
        <v>okay</v>
      </c>
      <c r="H917" s="3">
        <v>2</v>
      </c>
      <c r="I917" t="s" s="2">
        <v>32</v>
      </c>
      <c r="J917" t="s" s="2">
        <v>22</v>
      </c>
      <c r="K917" t="s" s="2">
        <v>17</v>
      </c>
      <c r="L917" s="3">
        <v>2</v>
      </c>
      <c r="M917" t="s" s="2">
        <v>26</v>
      </c>
      <c r="N917" t="s" s="2">
        <v>27</v>
      </c>
      <c r="O917" s="3">
        <v>58</v>
      </c>
      <c r="P917" t="str" s="8" cm="1">
        <f t="array" ref="P917">IF(O917="","check","Okay")</f>
        <v>Okay</v>
      </c>
      <c r="Q917" t="str" s="8" cm="1">
        <f t="array" ref="Q917">IF(O917&lt;30,"UNDER 30",IF(O917&lt;=50,"30-50","Over 50"))</f>
        <v>Over 50</v>
      </c>
      <c r="R917" t="s" s="2">
        <v>20</v>
      </c>
      <c r="S917" s="3" cm="1">
        <f t="array" ref="S917">COUNTIF(A2:A1001,A917)</f>
        <v>1</v>
      </c>
      <c r="T917" t="str" s="8" cm="1">
        <f t="array" ref="T917">IF(ISNUMBER(F917),"Ok","check")</f>
        <v>Ok</v>
      </c>
      <c r="U917" t="str" s="8" cm="1">
        <f t="array" ref="U917">IF(ISNUMBER(O917),"ok","check")</f>
        <v>ok</v>
      </c>
    </row>
    <row r="918" ht="13.55" customHeight="1">
      <c r="A918" s="3">
        <v>28102</v>
      </c>
      <c r="B918" t="s" s="2">
        <v>13</v>
      </c>
      <c r="C918" t="str" s="8" cm="1">
        <f t="array" ref="C918">IF(B918="M","Married","Single")</f>
        <v>Married</v>
      </c>
      <c r="D918" t="s" s="2">
        <v>13</v>
      </c>
      <c r="E918" t="str" s="8" cm="1">
        <f t="array" ref="E918">IF(D918="M","Male",IF(D918="F","Female","Check"))</f>
        <v>Male</v>
      </c>
      <c r="F918" s="4">
        <v>20000</v>
      </c>
      <c r="G918" t="str" s="8" cm="1">
        <f t="array" ref="G918">IF(F918="","Check","okay")</f>
        <v>okay</v>
      </c>
      <c r="H918" s="3">
        <v>4</v>
      </c>
      <c r="I918" t="s" s="2">
        <v>30</v>
      </c>
      <c r="J918" t="s" s="2">
        <v>16</v>
      </c>
      <c r="K918" t="s" s="2">
        <v>17</v>
      </c>
      <c r="L918" s="3">
        <v>2</v>
      </c>
      <c r="M918" t="s" s="2">
        <v>26</v>
      </c>
      <c r="N918" t="s" s="2">
        <v>27</v>
      </c>
      <c r="O918" s="3">
        <v>58</v>
      </c>
      <c r="P918" t="str" s="8" cm="1">
        <f t="array" ref="P918">IF(O918="","check","Okay")</f>
        <v>Okay</v>
      </c>
      <c r="Q918" t="str" s="8" cm="1">
        <f t="array" ref="Q918">IF(O918&lt;30,"UNDER 30",IF(O918&lt;=50,"30-50","Over 50"))</f>
        <v>Over 50</v>
      </c>
      <c r="R918" t="s" s="2">
        <v>17</v>
      </c>
      <c r="S918" s="3" cm="1">
        <f t="array" ref="S918">COUNTIF(A2:A1001,A918)</f>
        <v>1</v>
      </c>
      <c r="T918" t="str" s="8" cm="1">
        <f t="array" ref="T918">IF(ISNUMBER(F918),"Ok","check")</f>
        <v>Ok</v>
      </c>
      <c r="U918" t="str" s="8" cm="1">
        <f t="array" ref="U918">IF(ISNUMBER(O918),"ok","check")</f>
        <v>ok</v>
      </c>
    </row>
    <row r="919" ht="13.55" customHeight="1">
      <c r="A919" s="3">
        <v>19675</v>
      </c>
      <c r="B919" t="s" s="2">
        <v>13</v>
      </c>
      <c r="C919" t="str" s="8" cm="1">
        <f t="array" ref="C919">IF(B919="M","Married","Single")</f>
        <v>Married</v>
      </c>
      <c r="D919" t="s" s="2">
        <v>13</v>
      </c>
      <c r="E919" t="str" s="8" cm="1">
        <f t="array" ref="E919">IF(D919="M","Male",IF(D919="F","Female","Check"))</f>
        <v>Male</v>
      </c>
      <c r="F919" s="4">
        <v>20000</v>
      </c>
      <c r="G919" t="str" s="8" cm="1">
        <f t="array" ref="G919">IF(F919="","Check","okay")</f>
        <v>okay</v>
      </c>
      <c r="H919" s="3">
        <v>4</v>
      </c>
      <c r="I919" t="s" s="2">
        <v>30</v>
      </c>
      <c r="J919" t="s" s="2">
        <v>16</v>
      </c>
      <c r="K919" t="s" s="2">
        <v>17</v>
      </c>
      <c r="L919" s="3">
        <v>2</v>
      </c>
      <c r="M919" t="s" s="2">
        <v>26</v>
      </c>
      <c r="N919" t="s" s="2">
        <v>27</v>
      </c>
      <c r="O919" s="3">
        <v>60</v>
      </c>
      <c r="P919" t="str" s="8" cm="1">
        <f t="array" ref="P919">IF(O919="","check","Okay")</f>
        <v>Okay</v>
      </c>
      <c r="Q919" t="str" s="8" cm="1">
        <f t="array" ref="Q919">IF(O919&lt;30,"UNDER 30",IF(O919&lt;=50,"30-50","Over 50"))</f>
        <v>Over 50</v>
      </c>
      <c r="R919" t="s" s="2">
        <v>20</v>
      </c>
      <c r="S919" s="3" cm="1">
        <f t="array" ref="S919">COUNTIF(A2:A1001,A919)</f>
        <v>1</v>
      </c>
      <c r="T919" t="str" s="8" cm="1">
        <f t="array" ref="T919">IF(ISNUMBER(F919),"Ok","check")</f>
        <v>Ok</v>
      </c>
      <c r="U919" t="str" s="8" cm="1">
        <f t="array" ref="U919">IF(ISNUMBER(O919),"ok","check")</f>
        <v>ok</v>
      </c>
    </row>
    <row r="920" ht="13.55" customHeight="1">
      <c r="A920" s="3">
        <v>19748</v>
      </c>
      <c r="B920" t="s" s="2">
        <v>13</v>
      </c>
      <c r="C920" t="str" s="8" cm="1">
        <f t="array" ref="C920">IF(B920="M","Married","Single")</f>
        <v>Married</v>
      </c>
      <c r="D920" t="s" s="2">
        <v>13</v>
      </c>
      <c r="E920" t="str" s="8" cm="1">
        <f t="array" ref="E920">IF(D920="M","Male",IF(D920="F","Female","Check"))</f>
        <v>Male</v>
      </c>
      <c r="F920" s="4">
        <v>20000</v>
      </c>
      <c r="G920" t="str" s="8" cm="1">
        <f t="array" ref="G920">IF(F920="","Check","okay")</f>
        <v>okay</v>
      </c>
      <c r="H920" s="3">
        <v>4</v>
      </c>
      <c r="I920" t="s" s="2">
        <v>30</v>
      </c>
      <c r="J920" t="s" s="2">
        <v>16</v>
      </c>
      <c r="K920" t="s" s="2">
        <v>20</v>
      </c>
      <c r="L920" s="3">
        <v>2</v>
      </c>
      <c r="M920" t="s" s="2">
        <v>29</v>
      </c>
      <c r="N920" t="s" s="2">
        <v>27</v>
      </c>
      <c r="O920" s="3">
        <v>60</v>
      </c>
      <c r="P920" t="str" s="8" cm="1">
        <f t="array" ref="P920">IF(O920="","check","Okay")</f>
        <v>Okay</v>
      </c>
      <c r="Q920" t="str" s="8" cm="1">
        <f t="array" ref="Q920">IF(O920&lt;30,"UNDER 30",IF(O920&lt;=50,"30-50","Over 50"))</f>
        <v>Over 50</v>
      </c>
      <c r="R920" t="s" s="2">
        <v>20</v>
      </c>
      <c r="S920" s="3" cm="1">
        <f t="array" ref="S920">COUNTIF(A2:A1001,A920)</f>
        <v>1</v>
      </c>
      <c r="T920" t="str" s="8" cm="1">
        <f t="array" ref="T920">IF(ISNUMBER(F920),"Ok","check")</f>
        <v>Ok</v>
      </c>
      <c r="U920" t="str" s="8" cm="1">
        <f t="array" ref="U920">IF(ISNUMBER(O920),"ok","check")</f>
        <v>ok</v>
      </c>
    </row>
    <row r="921" ht="13.55" customHeight="1">
      <c r="A921" s="3">
        <v>14517</v>
      </c>
      <c r="B921" t="s" s="2">
        <v>13</v>
      </c>
      <c r="C921" t="str" s="8" cm="1">
        <f t="array" ref="C921">IF(B921="M","Married","Single")</f>
        <v>Married</v>
      </c>
      <c r="D921" t="s" s="2">
        <v>14</v>
      </c>
      <c r="E921" t="str" s="8" cm="1">
        <f t="array" ref="E921">IF(D921="M","Male",IF(D921="F","Female","Check"))</f>
        <v>Female</v>
      </c>
      <c r="F921" s="4">
        <v>20000</v>
      </c>
      <c r="G921" t="str" s="8" cm="1">
        <f t="array" ref="G921">IF(F921="","Check","okay")</f>
        <v>okay</v>
      </c>
      <c r="H921" s="3">
        <v>3</v>
      </c>
      <c r="I921" t="s" s="2">
        <v>30</v>
      </c>
      <c r="J921" t="s" s="2">
        <v>16</v>
      </c>
      <c r="K921" t="s" s="2">
        <v>20</v>
      </c>
      <c r="L921" s="3">
        <v>2</v>
      </c>
      <c r="M921" t="s" s="2">
        <v>29</v>
      </c>
      <c r="N921" t="s" s="2">
        <v>27</v>
      </c>
      <c r="O921" s="3">
        <v>62</v>
      </c>
      <c r="P921" t="str" s="8" cm="1">
        <f t="array" ref="P921">IF(O921="","check","Okay")</f>
        <v>Okay</v>
      </c>
      <c r="Q921" t="str" s="8" cm="1">
        <f t="array" ref="Q921">IF(O921&lt;30,"UNDER 30",IF(O921&lt;=50,"30-50","Over 50"))</f>
        <v>Over 50</v>
      </c>
      <c r="R921" t="s" s="2">
        <v>20</v>
      </c>
      <c r="S921" s="3" cm="1">
        <f t="array" ref="S921">COUNTIF(A2:A1001,A921)</f>
        <v>1</v>
      </c>
      <c r="T921" t="str" s="8" cm="1">
        <f t="array" ref="T921">IF(ISNUMBER(F921),"Ok","check")</f>
        <v>Ok</v>
      </c>
      <c r="U921" t="str" s="8" cm="1">
        <f t="array" ref="U921">IF(ISNUMBER(O921),"ok","check")</f>
        <v>ok</v>
      </c>
    </row>
    <row r="922" ht="13.55" customHeight="1">
      <c r="A922" s="3">
        <v>19273</v>
      </c>
      <c r="B922" t="s" s="2">
        <v>13</v>
      </c>
      <c r="C922" t="str" s="8" cm="1">
        <f t="array" ref="C922">IF(B922="M","Married","Single")</f>
        <v>Married</v>
      </c>
      <c r="D922" t="s" s="2">
        <v>14</v>
      </c>
      <c r="E922" t="str" s="8" cm="1">
        <f t="array" ref="E922">IF(D922="M","Male",IF(D922="F","Female","Check"))</f>
        <v>Female</v>
      </c>
      <c r="F922" s="4">
        <v>20000</v>
      </c>
      <c r="G922" t="str" s="8" cm="1">
        <f t="array" ref="G922">IF(F922="","Check","okay")</f>
        <v>okay</v>
      </c>
      <c r="H922" s="3">
        <v>2</v>
      </c>
      <c r="I922" t="s" s="2">
        <v>21</v>
      </c>
      <c r="J922" t="s" s="2">
        <v>28</v>
      </c>
      <c r="K922" t="s" s="2">
        <v>17</v>
      </c>
      <c r="L922" s="3">
        <v>0</v>
      </c>
      <c r="M922" t="s" s="2">
        <v>18</v>
      </c>
      <c r="N922" t="s" s="2">
        <v>19</v>
      </c>
      <c r="O922" s="3">
        <v>63</v>
      </c>
      <c r="P922" t="str" s="8" cm="1">
        <f t="array" ref="P922">IF(O922="","check","Okay")</f>
        <v>Okay</v>
      </c>
      <c r="Q922" t="str" s="8" cm="1">
        <f t="array" ref="Q922">IF(O922&lt;30,"UNDER 30",IF(O922&lt;=50,"30-50","Over 50"))</f>
        <v>Over 50</v>
      </c>
      <c r="R922" t="s" s="2">
        <v>20</v>
      </c>
      <c r="S922" s="3" cm="1">
        <f t="array" ref="S922">COUNTIF(A2:A1001,A922)</f>
        <v>1</v>
      </c>
      <c r="T922" t="str" s="8" cm="1">
        <f t="array" ref="T922">IF(ISNUMBER(F922),"Ok","check")</f>
        <v>Ok</v>
      </c>
      <c r="U922" t="str" s="8" cm="1">
        <f t="array" ref="U922">IF(ISNUMBER(O922),"ok","check")</f>
        <v>ok</v>
      </c>
    </row>
    <row r="923" ht="13.55" customHeight="1">
      <c r="A923" s="3">
        <v>20977</v>
      </c>
      <c r="B923" t="s" s="2">
        <v>13</v>
      </c>
      <c r="C923" t="str" s="8" cm="1">
        <f t="array" ref="C923">IF(B923="M","Married","Single")</f>
        <v>Married</v>
      </c>
      <c r="D923" t="s" s="2">
        <v>13</v>
      </c>
      <c r="E923" t="str" s="8" cm="1">
        <f t="array" ref="E923">IF(D923="M","Male",IF(D923="F","Female","Check"))</f>
        <v>Male</v>
      </c>
      <c r="F923" s="4">
        <v>20000</v>
      </c>
      <c r="G923" t="str" s="8" cm="1">
        <f t="array" ref="G923">IF(F923="","Check","okay")</f>
        <v>okay</v>
      </c>
      <c r="H923" s="3">
        <v>1</v>
      </c>
      <c r="I923" t="s" s="2">
        <v>15</v>
      </c>
      <c r="J923" t="s" s="2">
        <v>22</v>
      </c>
      <c r="K923" t="s" s="2">
        <v>17</v>
      </c>
      <c r="L923" s="3">
        <v>0</v>
      </c>
      <c r="M923" t="s" s="2">
        <v>18</v>
      </c>
      <c r="N923" t="s" s="2">
        <v>19</v>
      </c>
      <c r="O923" s="3">
        <v>64</v>
      </c>
      <c r="P923" t="str" s="8" cm="1">
        <f t="array" ref="P923">IF(O923="","check","Okay")</f>
        <v>Okay</v>
      </c>
      <c r="Q923" t="str" s="8" cm="1">
        <f t="array" ref="Q923">IF(O923&lt;30,"UNDER 30",IF(O923&lt;=50,"30-50","Over 50"))</f>
        <v>Over 50</v>
      </c>
      <c r="R923" t="s" s="2">
        <v>17</v>
      </c>
      <c r="S923" s="3" cm="1">
        <f t="array" ref="S923">COUNTIF(A2:A1001,A923)</f>
        <v>1</v>
      </c>
      <c r="T923" t="str" s="8" cm="1">
        <f t="array" ref="T923">IF(ISNUMBER(F923),"Ok","check")</f>
        <v>Ok</v>
      </c>
      <c r="U923" t="str" s="8" cm="1">
        <f t="array" ref="U923">IF(ISNUMBER(O923),"ok","check")</f>
        <v>ok</v>
      </c>
    </row>
    <row r="924" ht="13.55" customHeight="1">
      <c r="A924" s="3">
        <v>12236</v>
      </c>
      <c r="B924" t="s" s="2">
        <v>13</v>
      </c>
      <c r="C924" t="str" s="8" cm="1">
        <f t="array" ref="C924">IF(B924="M","Married","Single")</f>
        <v>Married</v>
      </c>
      <c r="D924" t="s" s="2">
        <v>14</v>
      </c>
      <c r="E924" t="str" s="8" cm="1">
        <f t="array" ref="E924">IF(D924="M","Male",IF(D924="F","Female","Check"))</f>
        <v>Female</v>
      </c>
      <c r="F924" s="4">
        <v>20000</v>
      </c>
      <c r="G924" t="str" s="8" cm="1">
        <f t="array" ref="G924">IF(F924="","Check","okay")</f>
        <v>okay</v>
      </c>
      <c r="H924" s="3">
        <v>1</v>
      </c>
      <c r="I924" t="s" s="2">
        <v>21</v>
      </c>
      <c r="J924" t="s" s="2">
        <v>28</v>
      </c>
      <c r="K924" t="s" s="2">
        <v>17</v>
      </c>
      <c r="L924" s="3">
        <v>0</v>
      </c>
      <c r="M924" t="s" s="2">
        <v>18</v>
      </c>
      <c r="N924" t="s" s="2">
        <v>19</v>
      </c>
      <c r="O924" s="3">
        <v>65</v>
      </c>
      <c r="P924" t="str" s="8" cm="1">
        <f t="array" ref="P924">IF(O924="","check","Okay")</f>
        <v>Okay</v>
      </c>
      <c r="Q924" t="str" s="8" cm="1">
        <f t="array" ref="Q924">IF(O924&lt;30,"UNDER 30",IF(O924&lt;=50,"30-50","Over 50"))</f>
        <v>Over 50</v>
      </c>
      <c r="R924" t="s" s="2">
        <v>20</v>
      </c>
      <c r="S924" s="3" cm="1">
        <f t="array" ref="S924">COUNTIF(A2:A1001,A924)</f>
        <v>1</v>
      </c>
      <c r="T924" t="str" s="8" cm="1">
        <f t="array" ref="T924">IF(ISNUMBER(F924),"Ok","check")</f>
        <v>Ok</v>
      </c>
      <c r="U924" t="str" s="8" cm="1">
        <f t="array" ref="U924">IF(ISNUMBER(O924),"ok","check")</f>
        <v>ok</v>
      </c>
    </row>
    <row r="925" ht="13.55" customHeight="1">
      <c r="A925" s="3">
        <v>12558</v>
      </c>
      <c r="B925" t="s" s="2">
        <v>13</v>
      </c>
      <c r="C925" t="str" s="8" cm="1">
        <f t="array" ref="C925">IF(B925="M","Married","Single")</f>
        <v>Married</v>
      </c>
      <c r="D925" t="s" s="2">
        <v>14</v>
      </c>
      <c r="E925" t="str" s="8" cm="1">
        <f t="array" ref="E925">IF(D925="M","Male",IF(D925="F","Female","Check"))</f>
        <v>Female</v>
      </c>
      <c r="F925" s="4">
        <v>20000</v>
      </c>
      <c r="G925" t="str" s="8" cm="1">
        <f t="array" ref="G925">IF(F925="","Check","okay")</f>
        <v>okay</v>
      </c>
      <c r="H925" s="3">
        <v>1</v>
      </c>
      <c r="I925" t="s" s="2">
        <v>15</v>
      </c>
      <c r="J925" t="s" s="2">
        <v>22</v>
      </c>
      <c r="K925" t="s" s="2">
        <v>17</v>
      </c>
      <c r="L925" s="3">
        <v>0</v>
      </c>
      <c r="M925" t="s" s="2">
        <v>18</v>
      </c>
      <c r="N925" t="s" s="2">
        <v>19</v>
      </c>
      <c r="O925" s="3">
        <v>65</v>
      </c>
      <c r="P925" t="str" s="8" cm="1">
        <f t="array" ref="P925">IF(O925="","check","Okay")</f>
        <v>Okay</v>
      </c>
      <c r="Q925" t="str" s="8" cm="1">
        <f t="array" ref="Q925">IF(O925&lt;30,"UNDER 30",IF(O925&lt;=50,"30-50","Over 50"))</f>
        <v>Over 50</v>
      </c>
      <c r="R925" t="s" s="2">
        <v>20</v>
      </c>
      <c r="S925" s="3" cm="1">
        <f t="array" ref="S925">COUNTIF(A2:A1001,A925)</f>
        <v>1</v>
      </c>
      <c r="T925" t="str" s="8" cm="1">
        <f t="array" ref="T925">IF(ISNUMBER(F925),"Ok","check")</f>
        <v>Ok</v>
      </c>
      <c r="U925" t="str" s="8" cm="1">
        <f t="array" ref="U925">IF(ISNUMBER(O925),"ok","check")</f>
        <v>ok</v>
      </c>
    </row>
    <row r="926" ht="13.55" customHeight="1">
      <c r="A926" s="3">
        <v>23986</v>
      </c>
      <c r="B926" t="s" s="2">
        <v>13</v>
      </c>
      <c r="C926" t="str" s="8" cm="1">
        <f t="array" ref="C926">IF(B926="M","Married","Single")</f>
        <v>Married</v>
      </c>
      <c r="D926" t="s" s="2">
        <v>14</v>
      </c>
      <c r="E926" t="str" s="8" cm="1">
        <f t="array" ref="E926">IF(D926="M","Male",IF(D926="F","Female","Check"))</f>
        <v>Female</v>
      </c>
      <c r="F926" s="4">
        <v>20000</v>
      </c>
      <c r="G926" t="str" s="8" cm="1">
        <f t="array" ref="G926">IF(F926="","Check","okay")</f>
        <v>okay</v>
      </c>
      <c r="H926" s="3">
        <v>1</v>
      </c>
      <c r="I926" t="s" s="2">
        <v>15</v>
      </c>
      <c r="J926" t="s" s="2">
        <v>22</v>
      </c>
      <c r="K926" t="s" s="2">
        <v>17</v>
      </c>
      <c r="L926" s="3">
        <v>0</v>
      </c>
      <c r="M926" t="s" s="2">
        <v>18</v>
      </c>
      <c r="N926" t="s" s="2">
        <v>19</v>
      </c>
      <c r="O926" s="3">
        <v>66</v>
      </c>
      <c r="P926" t="str" s="8" cm="1">
        <f t="array" ref="P926">IF(O926="","check","Okay")</f>
        <v>Okay</v>
      </c>
      <c r="Q926" t="str" s="8" cm="1">
        <f t="array" ref="Q926">IF(O926&lt;30,"UNDER 30",IF(O926&lt;=50,"30-50","Over 50"))</f>
        <v>Over 50</v>
      </c>
      <c r="R926" t="s" s="2">
        <v>17</v>
      </c>
      <c r="S926" s="3" cm="1">
        <f t="array" ref="S926">COUNTIF(A2:A1001,A926)</f>
        <v>1</v>
      </c>
      <c r="T926" t="str" s="8" cm="1">
        <f t="array" ref="T926">IF(ISNUMBER(F926),"Ok","check")</f>
        <v>Ok</v>
      </c>
      <c r="U926" t="str" s="8" cm="1">
        <f t="array" ref="U926">IF(ISNUMBER(O926),"ok","check")</f>
        <v>ok</v>
      </c>
    </row>
    <row r="927" ht="13.55" customHeight="1">
      <c r="A927" s="3">
        <v>14554</v>
      </c>
      <c r="B927" t="s" s="2">
        <v>13</v>
      </c>
      <c r="C927" t="str" s="8" cm="1">
        <f t="array" ref="C927">IF(B927="M","Married","Single")</f>
        <v>Married</v>
      </c>
      <c r="D927" t="s" s="2">
        <v>13</v>
      </c>
      <c r="E927" t="str" s="8" cm="1">
        <f t="array" ref="E927">IF(D927="M","Male",IF(D927="F","Female","Check"))</f>
        <v>Male</v>
      </c>
      <c r="F927" s="4">
        <v>20000</v>
      </c>
      <c r="G927" t="str" s="8" cm="1">
        <f t="array" ref="G927">IF(F927="","Check","okay")</f>
        <v>okay</v>
      </c>
      <c r="H927" s="3">
        <v>1</v>
      </c>
      <c r="I927" t="s" s="2">
        <v>15</v>
      </c>
      <c r="J927" t="s" s="2">
        <v>22</v>
      </c>
      <c r="K927" t="s" s="2">
        <v>17</v>
      </c>
      <c r="L927" s="3">
        <v>0</v>
      </c>
      <c r="M927" t="s" s="2">
        <v>18</v>
      </c>
      <c r="N927" t="s" s="2">
        <v>19</v>
      </c>
      <c r="O927" s="3">
        <v>66</v>
      </c>
      <c r="P927" t="str" s="8" cm="1">
        <f t="array" ref="P927">IF(O927="","check","Okay")</f>
        <v>Okay</v>
      </c>
      <c r="Q927" t="str" s="8" cm="1">
        <f t="array" ref="Q927">IF(O927&lt;30,"UNDER 30",IF(O927&lt;=50,"30-50","Over 50"))</f>
        <v>Over 50</v>
      </c>
      <c r="R927" t="s" s="2">
        <v>20</v>
      </c>
      <c r="S927" s="3" cm="1">
        <f t="array" ref="S927">COUNTIF(A2:A1001,A927)</f>
        <v>1</v>
      </c>
      <c r="T927" t="str" s="8" cm="1">
        <f t="array" ref="T927">IF(ISNUMBER(F927),"Ok","check")</f>
        <v>Ok</v>
      </c>
      <c r="U927" t="str" s="8" cm="1">
        <f t="array" ref="U927">IF(ISNUMBER(O927),"ok","check")</f>
        <v>ok</v>
      </c>
    </row>
    <row r="928" ht="13.55" customHeight="1">
      <c r="A928" s="3">
        <v>18058</v>
      </c>
      <c r="B928" t="s" s="2">
        <v>25</v>
      </c>
      <c r="C928" t="str" s="8" cm="1">
        <f t="array" ref="C928">IF(B928="M","Married","Single")</f>
        <v>Single</v>
      </c>
      <c r="D928" t="s" s="2">
        <v>14</v>
      </c>
      <c r="E928" t="str" s="8" cm="1">
        <f t="array" ref="E928">IF(D928="M","Male",IF(D928="F","Female","Check"))</f>
        <v>Female</v>
      </c>
      <c r="F928" s="4">
        <v>20000</v>
      </c>
      <c r="G928" t="str" s="8" cm="1">
        <f t="array" ref="G928">IF(F928="","Check","okay")</f>
        <v>okay</v>
      </c>
      <c r="H928" s="3">
        <v>3</v>
      </c>
      <c r="I928" t="s" s="2">
        <v>30</v>
      </c>
      <c r="J928" t="s" s="2">
        <v>16</v>
      </c>
      <c r="K928" t="s" s="2">
        <v>17</v>
      </c>
      <c r="L928" s="3">
        <v>2</v>
      </c>
      <c r="M928" t="s" s="2">
        <v>24</v>
      </c>
      <c r="N928" t="s" s="2">
        <v>35</v>
      </c>
      <c r="O928" s="3">
        <v>78</v>
      </c>
      <c r="P928" t="str" s="8" cm="1">
        <f t="array" ref="P928">IF(O928="","check","Okay")</f>
        <v>Okay</v>
      </c>
      <c r="Q928" t="str" s="8" cm="1">
        <f t="array" ref="Q928">IF(O928&lt;30,"UNDER 30",IF(O928&lt;=50,"30-50","Over 50"))</f>
        <v>Over 50</v>
      </c>
      <c r="R928" t="s" s="2">
        <v>20</v>
      </c>
      <c r="S928" s="3" cm="1">
        <f t="array" ref="S928">COUNTIF(A2:A1001,A928)</f>
        <v>1</v>
      </c>
      <c r="T928" t="str" s="8" cm="1">
        <f t="array" ref="T928">IF(ISNUMBER(F928),"Ok","check")</f>
        <v>Ok</v>
      </c>
      <c r="U928" t="str" s="8" cm="1">
        <f t="array" ref="U928">IF(ISNUMBER(O928),"ok","check")</f>
        <v>ok</v>
      </c>
    </row>
    <row r="929" ht="13.55" customHeight="1">
      <c r="A929" s="3">
        <v>15465</v>
      </c>
      <c r="B929" t="s" s="2">
        <v>13</v>
      </c>
      <c r="C929" t="str" s="8" cm="1">
        <f t="array" ref="C929">IF(B929="M","Married","Single")</f>
        <v>Married</v>
      </c>
      <c r="D929" t="s" s="2">
        <v>14</v>
      </c>
      <c r="E929" t="str" s="8" cm="1">
        <f t="array" ref="E929">IF(D929="M","Male",IF(D929="F","Female","Check"))</f>
        <v>Female</v>
      </c>
      <c r="F929" s="4">
        <v>10000</v>
      </c>
      <c r="G929" t="str" s="8" cm="1">
        <f t="array" ref="G929">IF(F929="","Check","okay")</f>
        <v>okay</v>
      </c>
      <c r="H929" s="3">
        <v>0</v>
      </c>
      <c r="I929" t="s" s="2">
        <v>21</v>
      </c>
      <c r="J929" t="s" s="2">
        <v>28</v>
      </c>
      <c r="K929" t="s" s="2">
        <v>20</v>
      </c>
      <c r="L929" s="3">
        <v>1</v>
      </c>
      <c r="M929" t="s" s="2">
        <v>18</v>
      </c>
      <c r="N929" t="s" s="2">
        <v>27</v>
      </c>
      <c r="O929" s="3">
        <v>25</v>
      </c>
      <c r="P929" t="str" s="8" cm="1">
        <f t="array" ref="P929">IF(O929="","check","Okay")</f>
        <v>Okay</v>
      </c>
      <c r="Q929" t="str" s="8" cm="1">
        <f t="array" ref="Q929">IF(O929&lt;30,"UNDER 30",IF(O929&lt;=50,"30-50","Over 50"))</f>
        <v>UNDER 30</v>
      </c>
      <c r="R929" t="s" s="2">
        <v>20</v>
      </c>
      <c r="S929" s="3" cm="1">
        <f t="array" ref="S929">COUNTIF(A2:A1001,A929)</f>
        <v>1</v>
      </c>
      <c r="T929" t="str" s="8" cm="1">
        <f t="array" ref="T929">IF(ISNUMBER(F929),"Ok","check")</f>
        <v>Ok</v>
      </c>
      <c r="U929" t="str" s="8" cm="1">
        <f t="array" ref="U929">IF(ISNUMBER(O929),"ok","check")</f>
        <v>ok</v>
      </c>
    </row>
    <row r="930" ht="13.55" customHeight="1">
      <c r="A930" s="3">
        <v>22402</v>
      </c>
      <c r="B930" t="s" s="2">
        <v>13</v>
      </c>
      <c r="C930" t="str" s="8" cm="1">
        <f t="array" ref="C930">IF(B930="M","Married","Single")</f>
        <v>Married</v>
      </c>
      <c r="D930" t="s" s="2">
        <v>13</v>
      </c>
      <c r="E930" t="str" s="8" cm="1">
        <f t="array" ref="E930">IF(D930="M","Male",IF(D930="F","Female","Check"))</f>
        <v>Male</v>
      </c>
      <c r="F930" s="4">
        <v>10000</v>
      </c>
      <c r="G930" t="str" s="8" cm="1">
        <f t="array" ref="G930">IF(F930="","Check","okay")</f>
        <v>okay</v>
      </c>
      <c r="H930" s="3">
        <v>0</v>
      </c>
      <c r="I930" t="s" s="2">
        <v>21</v>
      </c>
      <c r="J930" t="s" s="2">
        <v>28</v>
      </c>
      <c r="K930" t="s" s="2">
        <v>17</v>
      </c>
      <c r="L930" s="3">
        <v>1</v>
      </c>
      <c r="M930" t="s" s="2">
        <v>24</v>
      </c>
      <c r="N930" t="s" s="2">
        <v>27</v>
      </c>
      <c r="O930" s="3">
        <v>25</v>
      </c>
      <c r="P930" t="str" s="8" cm="1">
        <f t="array" ref="P930">IF(O930="","check","Okay")</f>
        <v>Okay</v>
      </c>
      <c r="Q930" t="str" s="8" cm="1">
        <f t="array" ref="Q930">IF(O930&lt;30,"UNDER 30",IF(O930&lt;=50,"30-50","Over 50"))</f>
        <v>UNDER 30</v>
      </c>
      <c r="R930" t="s" s="2">
        <v>17</v>
      </c>
      <c r="S930" s="3" cm="1">
        <f t="array" ref="S930">COUNTIF(A2:A1001,A930)</f>
        <v>1</v>
      </c>
      <c r="T930" t="str" s="8" cm="1">
        <f t="array" ref="T930">IF(ISNUMBER(F930),"Ok","check")</f>
        <v>Ok</v>
      </c>
      <c r="U930" t="str" s="8" cm="1">
        <f t="array" ref="U930">IF(ISNUMBER(O930),"ok","check")</f>
        <v>ok</v>
      </c>
    </row>
    <row r="931" ht="13.55" customHeight="1">
      <c r="A931" s="3">
        <v>25555</v>
      </c>
      <c r="B931" t="s" s="2">
        <v>13</v>
      </c>
      <c r="C931" t="str" s="8" cm="1">
        <f t="array" ref="C931">IF(B931="M","Married","Single")</f>
        <v>Married</v>
      </c>
      <c r="D931" t="s" s="2">
        <v>14</v>
      </c>
      <c r="E931" t="str" s="8" cm="1">
        <f t="array" ref="E931">IF(D931="M","Male",IF(D931="F","Female","Check"))</f>
        <v>Female</v>
      </c>
      <c r="F931" s="4">
        <v>10000</v>
      </c>
      <c r="G931" t="str" s="8" cm="1">
        <f t="array" ref="G931">IF(F931="","Check","okay")</f>
        <v>okay</v>
      </c>
      <c r="H931" s="3">
        <v>0</v>
      </c>
      <c r="I931" t="s" s="2">
        <v>21</v>
      </c>
      <c r="J931" t="s" s="2">
        <v>28</v>
      </c>
      <c r="K931" t="s" s="2">
        <v>20</v>
      </c>
      <c r="L931" s="3">
        <v>1</v>
      </c>
      <c r="M931" t="s" s="2">
        <v>18</v>
      </c>
      <c r="N931" t="s" s="2">
        <v>27</v>
      </c>
      <c r="O931" s="3">
        <v>26</v>
      </c>
      <c r="P931" t="str" s="8" cm="1">
        <f t="array" ref="P931">IF(O931="","check","Okay")</f>
        <v>Okay</v>
      </c>
      <c r="Q931" t="str" s="8" cm="1">
        <f t="array" ref="Q931">IF(O931&lt;30,"UNDER 30",IF(O931&lt;=50,"30-50","Over 50"))</f>
        <v>UNDER 30</v>
      </c>
      <c r="R931" t="s" s="2">
        <v>17</v>
      </c>
      <c r="S931" s="3" cm="1">
        <f t="array" ref="S931">COUNTIF(A2:A1001,A931)</f>
        <v>1</v>
      </c>
      <c r="T931" t="str" s="8" cm="1">
        <f t="array" ref="T931">IF(ISNUMBER(F931),"Ok","check")</f>
        <v>Ok</v>
      </c>
      <c r="U931" t="str" s="8" cm="1">
        <f t="array" ref="U931">IF(ISNUMBER(O931),"ok","check")</f>
        <v>ok</v>
      </c>
    </row>
    <row r="932" ht="13.55" customHeight="1">
      <c r="A932" s="3">
        <v>23993</v>
      </c>
      <c r="B932" t="s" s="2">
        <v>25</v>
      </c>
      <c r="C932" t="str" s="8" cm="1">
        <f t="array" ref="C932">IF(B932="M","Married","Single")</f>
        <v>Single</v>
      </c>
      <c r="D932" t="s" s="2">
        <v>14</v>
      </c>
      <c r="E932" t="str" s="8" cm="1">
        <f t="array" ref="E932">IF(D932="M","Male",IF(D932="F","Female","Check"))</f>
        <v>Female</v>
      </c>
      <c r="F932" s="4">
        <v>10000</v>
      </c>
      <c r="G932" t="str" s="8" cm="1">
        <f t="array" ref="G932">IF(F932="","Check","okay")</f>
        <v>okay</v>
      </c>
      <c r="H932" s="3">
        <v>0</v>
      </c>
      <c r="I932" t="s" s="2">
        <v>21</v>
      </c>
      <c r="J932" t="s" s="2">
        <v>28</v>
      </c>
      <c r="K932" t="s" s="2">
        <v>20</v>
      </c>
      <c r="L932" s="3">
        <v>1</v>
      </c>
      <c r="M932" t="s" s="2">
        <v>18</v>
      </c>
      <c r="N932" t="s" s="2">
        <v>27</v>
      </c>
      <c r="O932" s="3">
        <v>26</v>
      </c>
      <c r="P932" t="str" s="8" cm="1">
        <f t="array" ref="P932">IF(O932="","check","Okay")</f>
        <v>Okay</v>
      </c>
      <c r="Q932" t="str" s="8" cm="1">
        <f t="array" ref="Q932">IF(O932&lt;30,"UNDER 30",IF(O932&lt;=50,"30-50","Over 50"))</f>
        <v>UNDER 30</v>
      </c>
      <c r="R932" t="s" s="2">
        <v>17</v>
      </c>
      <c r="S932" s="3" cm="1">
        <f t="array" ref="S932">COUNTIF(A2:A1001,A932)</f>
        <v>1</v>
      </c>
      <c r="T932" t="str" s="8" cm="1">
        <f t="array" ref="T932">IF(ISNUMBER(F932),"Ok","check")</f>
        <v>Ok</v>
      </c>
      <c r="U932" t="str" s="8" cm="1">
        <f t="array" ref="U932">IF(ISNUMBER(O932),"ok","check")</f>
        <v>ok</v>
      </c>
    </row>
    <row r="933" ht="13.55" customHeight="1">
      <c r="A933" s="3">
        <v>22400</v>
      </c>
      <c r="B933" t="s" s="2">
        <v>13</v>
      </c>
      <c r="C933" t="str" s="8" cm="1">
        <f t="array" ref="C933">IF(B933="M","Married","Single")</f>
        <v>Married</v>
      </c>
      <c r="D933" t="s" s="2">
        <v>13</v>
      </c>
      <c r="E933" t="str" s="8" cm="1">
        <f t="array" ref="E933">IF(D933="M","Male",IF(D933="F","Female","Check"))</f>
        <v>Male</v>
      </c>
      <c r="F933" s="4">
        <v>10000</v>
      </c>
      <c r="G933" t="str" s="8" cm="1">
        <f t="array" ref="G933">IF(F933="","Check","okay")</f>
        <v>okay</v>
      </c>
      <c r="H933" s="3">
        <v>0</v>
      </c>
      <c r="I933" t="s" s="2">
        <v>21</v>
      </c>
      <c r="J933" t="s" s="2">
        <v>28</v>
      </c>
      <c r="K933" t="s" s="2">
        <v>20</v>
      </c>
      <c r="L933" s="3">
        <v>1</v>
      </c>
      <c r="M933" t="s" s="2">
        <v>18</v>
      </c>
      <c r="N933" t="s" s="2">
        <v>27</v>
      </c>
      <c r="O933" s="3">
        <v>26</v>
      </c>
      <c r="P933" t="str" s="8" cm="1">
        <f t="array" ref="P933">IF(O933="","check","Okay")</f>
        <v>Okay</v>
      </c>
      <c r="Q933" t="str" s="8" cm="1">
        <f t="array" ref="Q933">IF(O933&lt;30,"UNDER 30",IF(O933&lt;=50,"30-50","Over 50"))</f>
        <v>UNDER 30</v>
      </c>
      <c r="R933" t="s" s="2">
        <v>17</v>
      </c>
      <c r="S933" s="3" cm="1">
        <f t="array" ref="S933">COUNTIF(A2:A1001,A933)</f>
        <v>1</v>
      </c>
      <c r="T933" t="str" s="8" cm="1">
        <f t="array" ref="T933">IF(ISNUMBER(F933),"Ok","check")</f>
        <v>Ok</v>
      </c>
      <c r="U933" t="str" s="8" cm="1">
        <f t="array" ref="U933">IF(ISNUMBER(O933),"ok","check")</f>
        <v>ok</v>
      </c>
    </row>
    <row r="934" ht="13.55" customHeight="1">
      <c r="A934" s="3">
        <v>16514</v>
      </c>
      <c r="B934" t="s" s="2">
        <v>25</v>
      </c>
      <c r="C934" t="str" s="8" cm="1">
        <f t="array" ref="C934">IF(B934="M","Married","Single")</f>
        <v>Single</v>
      </c>
      <c r="D934" t="s" s="2">
        <v>13</v>
      </c>
      <c r="E934" t="str" s="8" cm="1">
        <f t="array" ref="E934">IF(D934="M","Male",IF(D934="F","Female","Check"))</f>
        <v>Male</v>
      </c>
      <c r="F934" s="4">
        <v>10000</v>
      </c>
      <c r="G934" t="str" s="8" cm="1">
        <f t="array" ref="G934">IF(F934="","Check","okay")</f>
        <v>okay</v>
      </c>
      <c r="H934" s="3">
        <v>0</v>
      </c>
      <c r="I934" t="s" s="2">
        <v>21</v>
      </c>
      <c r="J934" t="s" s="2">
        <v>28</v>
      </c>
      <c r="K934" t="s" s="2">
        <v>17</v>
      </c>
      <c r="L934" s="3">
        <v>1</v>
      </c>
      <c r="M934" t="s" s="2">
        <v>29</v>
      </c>
      <c r="N934" t="s" s="2">
        <v>27</v>
      </c>
      <c r="O934" s="3">
        <v>26</v>
      </c>
      <c r="P934" t="str" s="8" cm="1">
        <f t="array" ref="P934">IF(O934="","check","Okay")</f>
        <v>Okay</v>
      </c>
      <c r="Q934" t="str" s="8" cm="1">
        <f t="array" ref="Q934">IF(O934&lt;30,"UNDER 30",IF(O934&lt;=50,"30-50","Over 50"))</f>
        <v>UNDER 30</v>
      </c>
      <c r="R934" t="s" s="2">
        <v>17</v>
      </c>
      <c r="S934" s="3" cm="1">
        <f t="array" ref="S934">COUNTIF(A2:A1001,A934)</f>
        <v>1</v>
      </c>
      <c r="T934" t="str" s="8" cm="1">
        <f t="array" ref="T934">IF(ISNUMBER(F934),"Ok","check")</f>
        <v>Ok</v>
      </c>
      <c r="U934" t="str" s="8" cm="1">
        <f t="array" ref="U934">IF(ISNUMBER(O934),"ok","check")</f>
        <v>ok</v>
      </c>
    </row>
    <row r="935" ht="13.55" customHeight="1">
      <c r="A935" s="3">
        <v>22399</v>
      </c>
      <c r="B935" t="s" s="2">
        <v>25</v>
      </c>
      <c r="C935" t="str" s="8" cm="1">
        <f t="array" ref="C935">IF(B935="M","Married","Single")</f>
        <v>Single</v>
      </c>
      <c r="D935" t="s" s="2">
        <v>13</v>
      </c>
      <c r="E935" t="str" s="8" cm="1">
        <f t="array" ref="E935">IF(D935="M","Male",IF(D935="F","Female","Check"))</f>
        <v>Male</v>
      </c>
      <c r="F935" s="4">
        <v>10000</v>
      </c>
      <c r="G935" t="str" s="8" cm="1">
        <f t="array" ref="G935">IF(F935="","Check","okay")</f>
        <v>okay</v>
      </c>
      <c r="H935" s="3">
        <v>0</v>
      </c>
      <c r="I935" t="s" s="2">
        <v>21</v>
      </c>
      <c r="J935" t="s" s="2">
        <v>28</v>
      </c>
      <c r="K935" t="s" s="2">
        <v>17</v>
      </c>
      <c r="L935" s="3">
        <v>1</v>
      </c>
      <c r="M935" t="s" s="2">
        <v>29</v>
      </c>
      <c r="N935" t="s" s="2">
        <v>27</v>
      </c>
      <c r="O935" s="3">
        <v>26</v>
      </c>
      <c r="P935" t="str" s="8" cm="1">
        <f t="array" ref="P935">IF(O935="","check","Okay")</f>
        <v>Okay</v>
      </c>
      <c r="Q935" t="str" s="8" cm="1">
        <f t="array" ref="Q935">IF(O935&lt;30,"UNDER 30",IF(O935&lt;=50,"30-50","Over 50"))</f>
        <v>UNDER 30</v>
      </c>
      <c r="R935" t="s" s="2">
        <v>17</v>
      </c>
      <c r="S935" s="3" cm="1">
        <f t="array" ref="S935">COUNTIF(A2:A1001,A935)</f>
        <v>1</v>
      </c>
      <c r="T935" t="str" s="8" cm="1">
        <f t="array" ref="T935">IF(ISNUMBER(F935),"Ok","check")</f>
        <v>Ok</v>
      </c>
      <c r="U935" t="str" s="8" cm="1">
        <f t="array" ref="U935">IF(ISNUMBER(O935),"ok","check")</f>
        <v>ok</v>
      </c>
    </row>
    <row r="936" ht="13.55" customHeight="1">
      <c r="A936" s="3">
        <v>17907</v>
      </c>
      <c r="B936" t="s" s="2">
        <v>13</v>
      </c>
      <c r="C936" t="str" s="8" cm="1">
        <f t="array" ref="C936">IF(B936="M","Married","Single")</f>
        <v>Married</v>
      </c>
      <c r="D936" t="s" s="2">
        <v>14</v>
      </c>
      <c r="E936" t="str" s="8" cm="1">
        <f t="array" ref="E936">IF(D936="M","Male",IF(D936="F","Female","Check"))</f>
        <v>Female</v>
      </c>
      <c r="F936" s="4">
        <v>10000</v>
      </c>
      <c r="G936" t="str" s="8" cm="1">
        <f t="array" ref="G936">IF(F936="","Check","okay")</f>
        <v>okay</v>
      </c>
      <c r="H936" s="3">
        <v>0</v>
      </c>
      <c r="I936" t="s" s="2">
        <v>21</v>
      </c>
      <c r="J936" t="s" s="2">
        <v>28</v>
      </c>
      <c r="K936" t="s" s="2">
        <v>17</v>
      </c>
      <c r="L936" s="3">
        <v>1</v>
      </c>
      <c r="M936" t="s" s="2">
        <v>24</v>
      </c>
      <c r="N936" t="s" s="2">
        <v>27</v>
      </c>
      <c r="O936" s="3">
        <v>27</v>
      </c>
      <c r="P936" t="str" s="8" cm="1">
        <f t="array" ref="P936">IF(O936="","check","Okay")</f>
        <v>Okay</v>
      </c>
      <c r="Q936" t="str" s="8" cm="1">
        <f t="array" ref="Q936">IF(O936&lt;30,"UNDER 30",IF(O936&lt;=50,"30-50","Over 50"))</f>
        <v>UNDER 30</v>
      </c>
      <c r="R936" t="s" s="2">
        <v>20</v>
      </c>
      <c r="S936" s="3" cm="1">
        <f t="array" ref="S936">COUNTIF(A2:A1001,A936)</f>
        <v>1</v>
      </c>
      <c r="T936" t="str" s="8" cm="1">
        <f t="array" ref="T936">IF(ISNUMBER(F936),"Ok","check")</f>
        <v>Ok</v>
      </c>
      <c r="U936" t="str" s="8" cm="1">
        <f t="array" ref="U936">IF(ISNUMBER(O936),"ok","check")</f>
        <v>ok</v>
      </c>
    </row>
    <row r="937" ht="13.55" customHeight="1">
      <c r="A937" s="3">
        <v>12585</v>
      </c>
      <c r="B937" t="s" s="2">
        <v>13</v>
      </c>
      <c r="C937" t="str" s="8" cm="1">
        <f t="array" ref="C937">IF(B937="M","Married","Single")</f>
        <v>Married</v>
      </c>
      <c r="D937" t="s" s="2">
        <v>13</v>
      </c>
      <c r="E937" t="str" s="8" cm="1">
        <f t="array" ref="E937">IF(D937="M","Male",IF(D937="F","Female","Check"))</f>
        <v>Male</v>
      </c>
      <c r="F937" s="4">
        <v>10000</v>
      </c>
      <c r="G937" t="str" s="8" cm="1">
        <f t="array" ref="G937">IF(F937="","Check","okay")</f>
        <v>okay</v>
      </c>
      <c r="H937" s="3">
        <v>1</v>
      </c>
      <c r="I937" t="s" s="2">
        <v>30</v>
      </c>
      <c r="J937" t="s" s="2">
        <v>28</v>
      </c>
      <c r="K937" t="s" s="2">
        <v>17</v>
      </c>
      <c r="L937" s="3">
        <v>0</v>
      </c>
      <c r="M937" t="s" s="2">
        <v>24</v>
      </c>
      <c r="N937" t="s" s="2">
        <v>27</v>
      </c>
      <c r="O937" s="3">
        <v>27</v>
      </c>
      <c r="P937" t="str" s="8" cm="1">
        <f t="array" ref="P937">IF(O937="","check","Okay")</f>
        <v>Okay</v>
      </c>
      <c r="Q937" t="str" s="8" cm="1">
        <f t="array" ref="Q937">IF(O937&lt;30,"UNDER 30",IF(O937&lt;=50,"30-50","Over 50"))</f>
        <v>UNDER 30</v>
      </c>
      <c r="R937" t="s" s="2">
        <v>17</v>
      </c>
      <c r="S937" s="3" cm="1">
        <f t="array" ref="S937">COUNTIF(A2:A1001,A937)</f>
        <v>1</v>
      </c>
      <c r="T937" t="str" s="8" cm="1">
        <f t="array" ref="T937">IF(ISNUMBER(F937),"Ok","check")</f>
        <v>Ok</v>
      </c>
      <c r="U937" t="str" s="8" cm="1">
        <f t="array" ref="U937">IF(ISNUMBER(O937),"ok","check")</f>
        <v>ok</v>
      </c>
    </row>
    <row r="938" ht="13.55" customHeight="1">
      <c r="A938" s="3">
        <v>12581</v>
      </c>
      <c r="B938" t="s" s="2">
        <v>25</v>
      </c>
      <c r="C938" t="str" s="8" cm="1">
        <f t="array" ref="C938">IF(B938="M","Married","Single")</f>
        <v>Single</v>
      </c>
      <c r="D938" t="s" s="2">
        <v>14</v>
      </c>
      <c r="E938" t="str" s="8" cm="1">
        <f t="array" ref="E938">IF(D938="M","Male",IF(D938="F","Female","Check"))</f>
        <v>Female</v>
      </c>
      <c r="F938" s="4">
        <v>10000</v>
      </c>
      <c r="G938" t="str" s="8" cm="1">
        <f t="array" ref="G938">IF(F938="","Check","okay")</f>
        <v>okay</v>
      </c>
      <c r="H938" s="3">
        <v>0</v>
      </c>
      <c r="I938" t="s" s="2">
        <v>21</v>
      </c>
      <c r="J938" t="s" s="2">
        <v>28</v>
      </c>
      <c r="K938" t="s" s="2">
        <v>20</v>
      </c>
      <c r="L938" s="3">
        <v>1</v>
      </c>
      <c r="M938" t="s" s="2">
        <v>18</v>
      </c>
      <c r="N938" t="s" s="2">
        <v>27</v>
      </c>
      <c r="O938" s="3">
        <v>28</v>
      </c>
      <c r="P938" t="str" s="8" cm="1">
        <f t="array" ref="P938">IF(O938="","check","Okay")</f>
        <v>Okay</v>
      </c>
      <c r="Q938" t="str" s="8" cm="1">
        <f t="array" ref="Q938">IF(O938&lt;30,"UNDER 30",IF(O938&lt;=50,"30-50","Over 50"))</f>
        <v>UNDER 30</v>
      </c>
      <c r="R938" t="s" s="2">
        <v>17</v>
      </c>
      <c r="S938" s="3" cm="1">
        <f t="array" ref="S938">COUNTIF(A2:A1001,A938)</f>
        <v>1</v>
      </c>
      <c r="T938" t="str" s="8" cm="1">
        <f t="array" ref="T938">IF(ISNUMBER(F938),"Ok","check")</f>
        <v>Ok</v>
      </c>
      <c r="U938" t="str" s="8" cm="1">
        <f t="array" ref="U938">IF(ISNUMBER(O938),"ok","check")</f>
        <v>ok</v>
      </c>
    </row>
    <row r="939" ht="13.55" customHeight="1">
      <c r="A939" s="3">
        <v>16438</v>
      </c>
      <c r="B939" t="s" s="2">
        <v>13</v>
      </c>
      <c r="C939" t="str" s="8" cm="1">
        <f t="array" ref="C939">IF(B939="M","Married","Single")</f>
        <v>Married</v>
      </c>
      <c r="D939" t="s" s="2">
        <v>14</v>
      </c>
      <c r="E939" t="str" s="8" cm="1">
        <f t="array" ref="E939">IF(D939="M","Male",IF(D939="F","Female","Check"))</f>
        <v>Female</v>
      </c>
      <c r="F939" s="4">
        <v>10000</v>
      </c>
      <c r="G939" t="str" s="8" cm="1">
        <f t="array" ref="G939">IF(F939="","Check","okay")</f>
        <v>okay</v>
      </c>
      <c r="H939" s="3">
        <v>0</v>
      </c>
      <c r="I939" t="s" s="2">
        <v>32</v>
      </c>
      <c r="J939" t="s" s="2">
        <v>28</v>
      </c>
      <c r="K939" t="s" s="2">
        <v>20</v>
      </c>
      <c r="L939" s="3">
        <v>2</v>
      </c>
      <c r="M939" t="s" s="2">
        <v>18</v>
      </c>
      <c r="N939" t="s" s="2">
        <v>19</v>
      </c>
      <c r="O939" s="3">
        <v>30</v>
      </c>
      <c r="P939" t="str" s="8" cm="1">
        <f t="array" ref="P939">IF(O939="","check","Okay")</f>
        <v>Okay</v>
      </c>
      <c r="Q939" t="str" s="8" cm="1">
        <f t="array" ref="Q939">IF(O939&lt;30,"UNDER 30",IF(O939&lt;=50,"30-50","Over 50"))</f>
        <v>30-50</v>
      </c>
      <c r="R939" t="s" s="2">
        <v>20</v>
      </c>
      <c r="S939" s="3" cm="1">
        <f t="array" ref="S939">COUNTIF(A2:A1001,A939)</f>
        <v>1</v>
      </c>
      <c r="T939" t="str" s="8" cm="1">
        <f t="array" ref="T939">IF(ISNUMBER(F939),"Ok","check")</f>
        <v>Ok</v>
      </c>
      <c r="U939" t="str" s="8" cm="1">
        <f t="array" ref="U939">IF(ISNUMBER(O939),"ok","check")</f>
        <v>ok</v>
      </c>
    </row>
    <row r="940" ht="13.55" customHeight="1">
      <c r="A940" s="3">
        <v>19508</v>
      </c>
      <c r="B940" t="s" s="2">
        <v>13</v>
      </c>
      <c r="C940" t="str" s="8" cm="1">
        <f t="array" ref="C940">IF(B940="M","Married","Single")</f>
        <v>Married</v>
      </c>
      <c r="D940" t="s" s="2">
        <v>13</v>
      </c>
      <c r="E940" t="str" s="8" cm="1">
        <f t="array" ref="E940">IF(D940="M","Male",IF(D940="F","Female","Check"))</f>
        <v>Male</v>
      </c>
      <c r="F940" s="4">
        <v>10000</v>
      </c>
      <c r="G940" t="str" s="8" cm="1">
        <f t="array" ref="G940">IF(F940="","Check","okay")</f>
        <v>okay</v>
      </c>
      <c r="H940" s="3">
        <v>0</v>
      </c>
      <c r="I940" t="s" s="2">
        <v>32</v>
      </c>
      <c r="J940" t="s" s="2">
        <v>28</v>
      </c>
      <c r="K940" t="s" s="2">
        <v>20</v>
      </c>
      <c r="L940" s="3">
        <v>2</v>
      </c>
      <c r="M940" t="s" s="2">
        <v>18</v>
      </c>
      <c r="N940" t="s" s="2">
        <v>19</v>
      </c>
      <c r="O940" s="3">
        <v>30</v>
      </c>
      <c r="P940" t="str" s="8" cm="1">
        <f t="array" ref="P940">IF(O940="","check","Okay")</f>
        <v>Okay</v>
      </c>
      <c r="Q940" t="str" s="8" cm="1">
        <f t="array" ref="Q940">IF(O940&lt;30,"UNDER 30",IF(O940&lt;=50,"30-50","Over 50"))</f>
        <v>30-50</v>
      </c>
      <c r="R940" t="s" s="2">
        <v>20</v>
      </c>
      <c r="S940" s="3" cm="1">
        <f t="array" ref="S940">COUNTIF(A2:A1001,A940)</f>
        <v>1</v>
      </c>
      <c r="T940" t="str" s="8" cm="1">
        <f t="array" ref="T940">IF(ISNUMBER(F940),"Ok","check")</f>
        <v>Ok</v>
      </c>
      <c r="U940" t="str" s="8" cm="1">
        <f t="array" ref="U940">IF(ISNUMBER(O940),"ok","check")</f>
        <v>ok</v>
      </c>
    </row>
    <row r="941" ht="13.55" customHeight="1">
      <c r="A941" s="3">
        <v>24140</v>
      </c>
      <c r="B941" t="s" s="2">
        <v>25</v>
      </c>
      <c r="C941" t="str" s="8" cm="1">
        <f t="array" ref="C941">IF(B941="M","Married","Single")</f>
        <v>Single</v>
      </c>
      <c r="D941" t="s" s="2">
        <v>13</v>
      </c>
      <c r="E941" t="str" s="8" cm="1">
        <f t="array" ref="E941">IF(D941="M","Male",IF(D941="F","Female","Check"))</f>
        <v>Male</v>
      </c>
      <c r="F941" s="4">
        <v>10000</v>
      </c>
      <c r="G941" t="str" s="8" cm="1">
        <f t="array" ref="G941">IF(F941="","Check","okay")</f>
        <v>okay</v>
      </c>
      <c r="H941" s="3">
        <v>0</v>
      </c>
      <c r="I941" t="s" s="2">
        <v>34</v>
      </c>
      <c r="J941" t="s" s="2">
        <v>28</v>
      </c>
      <c r="K941" t="s" s="2">
        <v>20</v>
      </c>
      <c r="L941" s="3">
        <v>0</v>
      </c>
      <c r="M941" t="s" s="2">
        <v>18</v>
      </c>
      <c r="N941" t="s" s="2">
        <v>19</v>
      </c>
      <c r="O941" s="3">
        <v>30</v>
      </c>
      <c r="P941" t="str" s="8" cm="1">
        <f t="array" ref="P941">IF(O941="","check","Okay")</f>
        <v>Okay</v>
      </c>
      <c r="Q941" t="str" s="8" cm="1">
        <f t="array" ref="Q941">IF(O941&lt;30,"UNDER 30",IF(O941&lt;=50,"30-50","Over 50"))</f>
        <v>30-50</v>
      </c>
      <c r="R941" t="s" s="2">
        <v>17</v>
      </c>
      <c r="S941" s="3" cm="1">
        <f t="array" ref="S941">COUNTIF(A2:A1001,A941)</f>
        <v>1</v>
      </c>
      <c r="T941" t="str" s="8" cm="1">
        <f t="array" ref="T941">IF(ISNUMBER(F941),"Ok","check")</f>
        <v>Ok</v>
      </c>
      <c r="U941" t="str" s="8" cm="1">
        <f t="array" ref="U941">IF(ISNUMBER(O941),"ok","check")</f>
        <v>ok</v>
      </c>
    </row>
    <row r="942" ht="13.55" customHeight="1">
      <c r="A942" s="3">
        <v>23962</v>
      </c>
      <c r="B942" t="s" s="2">
        <v>13</v>
      </c>
      <c r="C942" t="str" s="8" cm="1">
        <f t="array" ref="C942">IF(B942="M","Married","Single")</f>
        <v>Married</v>
      </c>
      <c r="D942" t="s" s="2">
        <v>14</v>
      </c>
      <c r="E942" t="str" s="8" cm="1">
        <f t="array" ref="E942">IF(D942="M","Male",IF(D942="F","Female","Check"))</f>
        <v>Female</v>
      </c>
      <c r="F942" s="4">
        <v>10000</v>
      </c>
      <c r="G942" t="str" s="8" cm="1">
        <f t="array" ref="G942">IF(F942="","Check","okay")</f>
        <v>okay</v>
      </c>
      <c r="H942" s="3">
        <v>0</v>
      </c>
      <c r="I942" t="s" s="2">
        <v>32</v>
      </c>
      <c r="J942" t="s" s="2">
        <v>28</v>
      </c>
      <c r="K942" t="s" s="2">
        <v>17</v>
      </c>
      <c r="L942" s="3">
        <v>2</v>
      </c>
      <c r="M942" t="s" s="2">
        <v>29</v>
      </c>
      <c r="N942" t="s" s="2">
        <v>19</v>
      </c>
      <c r="O942" s="3">
        <v>32</v>
      </c>
      <c r="P942" t="str" s="8" cm="1">
        <f t="array" ref="P942">IF(O942="","check","Okay")</f>
        <v>Okay</v>
      </c>
      <c r="Q942" t="str" s="8" cm="1">
        <f t="array" ref="Q942">IF(O942&lt;30,"UNDER 30",IF(O942&lt;=50,"30-50","Over 50"))</f>
        <v>30-50</v>
      </c>
      <c r="R942" t="s" s="2">
        <v>20</v>
      </c>
      <c r="S942" s="3" cm="1">
        <f t="array" ref="S942">COUNTIF(A2:A1001,A942)</f>
        <v>1</v>
      </c>
      <c r="T942" t="str" s="8" cm="1">
        <f t="array" ref="T942">IF(ISNUMBER(F942),"Ok","check")</f>
        <v>Ok</v>
      </c>
      <c r="U942" t="str" s="8" cm="1">
        <f t="array" ref="U942">IF(ISNUMBER(O942),"ok","check")</f>
        <v>ok</v>
      </c>
    </row>
    <row r="943" ht="13.55" customHeight="1">
      <c r="A943" s="3">
        <v>17843</v>
      </c>
      <c r="B943" t="s" s="2">
        <v>25</v>
      </c>
      <c r="C943" t="str" s="8" cm="1">
        <f t="array" ref="C943">IF(B943="M","Married","Single")</f>
        <v>Single</v>
      </c>
      <c r="D943" t="s" s="2">
        <v>14</v>
      </c>
      <c r="E943" t="str" s="8" cm="1">
        <f t="array" ref="E943">IF(D943="M","Male",IF(D943="F","Female","Check"))</f>
        <v>Female</v>
      </c>
      <c r="F943" s="4">
        <v>10000</v>
      </c>
      <c r="G943" t="str" s="8" cm="1">
        <f t="array" ref="G943">IF(F943="","Check","okay")</f>
        <v>okay</v>
      </c>
      <c r="H943" s="3">
        <v>0</v>
      </c>
      <c r="I943" t="s" s="2">
        <v>32</v>
      </c>
      <c r="J943" t="s" s="2">
        <v>28</v>
      </c>
      <c r="K943" t="s" s="2">
        <v>20</v>
      </c>
      <c r="L943" s="3">
        <v>2</v>
      </c>
      <c r="M943" t="s" s="2">
        <v>18</v>
      </c>
      <c r="N943" t="s" s="2">
        <v>19</v>
      </c>
      <c r="O943" s="3">
        <v>32</v>
      </c>
      <c r="P943" t="str" s="8" cm="1">
        <f t="array" ref="P943">IF(O943="","check","Okay")</f>
        <v>Okay</v>
      </c>
      <c r="Q943" t="str" s="8" cm="1">
        <f t="array" ref="Q943">IF(O943&lt;30,"UNDER 30",IF(O943&lt;=50,"30-50","Over 50"))</f>
        <v>30-50</v>
      </c>
      <c r="R943" t="s" s="2">
        <v>20</v>
      </c>
      <c r="S943" s="3" cm="1">
        <f t="array" ref="S943">COUNTIF(A2:A1001,A943)</f>
        <v>1</v>
      </c>
      <c r="T943" t="str" s="8" cm="1">
        <f t="array" ref="T943">IF(ISNUMBER(F943),"Ok","check")</f>
        <v>Ok</v>
      </c>
      <c r="U943" t="str" s="8" cm="1">
        <f t="array" ref="U943">IF(ISNUMBER(O943),"ok","check")</f>
        <v>ok</v>
      </c>
    </row>
    <row r="944" ht="13.55" customHeight="1">
      <c r="A944" s="3">
        <v>29424</v>
      </c>
      <c r="B944" t="s" s="2">
        <v>13</v>
      </c>
      <c r="C944" t="str" s="8" cm="1">
        <f t="array" ref="C944">IF(B944="M","Married","Single")</f>
        <v>Married</v>
      </c>
      <c r="D944" t="s" s="2">
        <v>13</v>
      </c>
      <c r="E944" t="str" s="8" cm="1">
        <f t="array" ref="E944">IF(D944="M","Male",IF(D944="F","Female","Check"))</f>
        <v>Male</v>
      </c>
      <c r="F944" s="4">
        <v>10000</v>
      </c>
      <c r="G944" t="str" s="8" cm="1">
        <f t="array" ref="G944">IF(F944="","Check","okay")</f>
        <v>okay</v>
      </c>
      <c r="H944" s="3">
        <v>0</v>
      </c>
      <c r="I944" t="s" s="2">
        <v>32</v>
      </c>
      <c r="J944" t="s" s="2">
        <v>28</v>
      </c>
      <c r="K944" t="s" s="2">
        <v>17</v>
      </c>
      <c r="L944" s="3">
        <v>2</v>
      </c>
      <c r="M944" t="s" s="2">
        <v>18</v>
      </c>
      <c r="N944" t="s" s="2">
        <v>19</v>
      </c>
      <c r="O944" s="3">
        <v>32</v>
      </c>
      <c r="P944" t="str" s="8" cm="1">
        <f t="array" ref="P944">IF(O944="","check","Okay")</f>
        <v>Okay</v>
      </c>
      <c r="Q944" t="str" s="8" cm="1">
        <f t="array" ref="Q944">IF(O944&lt;30,"UNDER 30",IF(O944&lt;=50,"30-50","Over 50"))</f>
        <v>30-50</v>
      </c>
      <c r="R944" t="s" s="2">
        <v>20</v>
      </c>
      <c r="S944" s="3" cm="1">
        <f t="array" ref="S944">COUNTIF(A2:A1001,A944)</f>
        <v>1</v>
      </c>
      <c r="T944" t="str" s="8" cm="1">
        <f t="array" ref="T944">IF(ISNUMBER(F944),"Ok","check")</f>
        <v>Ok</v>
      </c>
      <c r="U944" t="str" s="8" cm="1">
        <f t="array" ref="U944">IF(ISNUMBER(O944),"ok","check")</f>
        <v>ok</v>
      </c>
    </row>
    <row r="945" ht="13.55" customHeight="1">
      <c r="A945" s="3">
        <v>22538</v>
      </c>
      <c r="B945" t="s" s="2">
        <v>25</v>
      </c>
      <c r="C945" t="str" s="8" cm="1">
        <f t="array" ref="C945">IF(B945="M","Married","Single")</f>
        <v>Single</v>
      </c>
      <c r="D945" t="s" s="2">
        <v>14</v>
      </c>
      <c r="E945" t="str" s="8" cm="1">
        <f t="array" ref="E945">IF(D945="M","Male",IF(D945="F","Female","Check"))</f>
        <v>Female</v>
      </c>
      <c r="F945" s="4">
        <v>10000</v>
      </c>
      <c r="G945" t="str" s="8" cm="1">
        <f t="array" ref="G945">IF(F945="","Check","okay")</f>
        <v>okay</v>
      </c>
      <c r="H945" s="3">
        <v>0</v>
      </c>
      <c r="I945" t="s" s="2">
        <v>32</v>
      </c>
      <c r="J945" t="s" s="2">
        <v>28</v>
      </c>
      <c r="K945" t="s" s="2">
        <v>17</v>
      </c>
      <c r="L945" s="3">
        <v>2</v>
      </c>
      <c r="M945" t="s" s="2">
        <v>29</v>
      </c>
      <c r="N945" t="s" s="2">
        <v>19</v>
      </c>
      <c r="O945" s="3">
        <v>33</v>
      </c>
      <c r="P945" t="str" s="8" cm="1">
        <f t="array" ref="P945">IF(O945="","check","Okay")</f>
        <v>Okay</v>
      </c>
      <c r="Q945" t="str" s="8" cm="1">
        <f t="array" ref="Q945">IF(O945&lt;30,"UNDER 30",IF(O945&lt;=50,"30-50","Over 50"))</f>
        <v>30-50</v>
      </c>
      <c r="R945" t="s" s="2">
        <v>20</v>
      </c>
      <c r="S945" s="3" cm="1">
        <f t="array" ref="S945">COUNTIF(A2:A1001,A945)</f>
        <v>1</v>
      </c>
      <c r="T945" t="str" s="8" cm="1">
        <f t="array" ref="T945">IF(ISNUMBER(F945),"Ok","check")</f>
        <v>Ok</v>
      </c>
      <c r="U945" t="str" s="8" cm="1">
        <f t="array" ref="U945">IF(ISNUMBER(O945),"ok","check")</f>
        <v>ok</v>
      </c>
    </row>
    <row r="946" ht="13.55" customHeight="1">
      <c r="A946" s="3">
        <v>23963</v>
      </c>
      <c r="B946" t="s" s="2">
        <v>13</v>
      </c>
      <c r="C946" t="str" s="8" cm="1">
        <f t="array" ref="C946">IF(B946="M","Married","Single")</f>
        <v>Married</v>
      </c>
      <c r="D946" t="s" s="2">
        <v>13</v>
      </c>
      <c r="E946" t="str" s="8" cm="1">
        <f t="array" ref="E946">IF(D946="M","Male",IF(D946="F","Female","Check"))</f>
        <v>Male</v>
      </c>
      <c r="F946" s="4">
        <v>10000</v>
      </c>
      <c r="G946" t="str" s="8" cm="1">
        <f t="array" ref="G946">IF(F946="","Check","okay")</f>
        <v>okay</v>
      </c>
      <c r="H946" s="3">
        <v>0</v>
      </c>
      <c r="I946" t="s" s="2">
        <v>32</v>
      </c>
      <c r="J946" t="s" s="2">
        <v>28</v>
      </c>
      <c r="K946" t="s" s="2">
        <v>20</v>
      </c>
      <c r="L946" s="3">
        <v>2</v>
      </c>
      <c r="M946" t="s" s="2">
        <v>18</v>
      </c>
      <c r="N946" t="s" s="2">
        <v>19</v>
      </c>
      <c r="O946" s="3">
        <v>33</v>
      </c>
      <c r="P946" t="str" s="8" cm="1">
        <f t="array" ref="P946">IF(O946="","check","Okay")</f>
        <v>Okay</v>
      </c>
      <c r="Q946" t="str" s="8" cm="1">
        <f t="array" ref="Q946">IF(O946&lt;30,"UNDER 30",IF(O946&lt;=50,"30-50","Over 50"))</f>
        <v>30-50</v>
      </c>
      <c r="R946" t="s" s="2">
        <v>20</v>
      </c>
      <c r="S946" s="3" cm="1">
        <f t="array" ref="S946">COUNTIF(A2:A1001,A946)</f>
        <v>1</v>
      </c>
      <c r="T946" t="str" s="8" cm="1">
        <f t="array" ref="T946">IF(ISNUMBER(F946),"Ok","check")</f>
        <v>Ok</v>
      </c>
      <c r="U946" t="str" s="8" cm="1">
        <f t="array" ref="U946">IF(ISNUMBER(O946),"ok","check")</f>
        <v>ok</v>
      </c>
    </row>
    <row r="947" ht="13.55" customHeight="1">
      <c r="A947" s="3">
        <v>15629</v>
      </c>
      <c r="B947" t="s" s="2">
        <v>25</v>
      </c>
      <c r="C947" t="str" s="8" cm="1">
        <f t="array" ref="C947">IF(B947="M","Married","Single")</f>
        <v>Single</v>
      </c>
      <c r="D947" t="s" s="2">
        <v>14</v>
      </c>
      <c r="E947" t="str" s="8" cm="1">
        <f t="array" ref="E947">IF(D947="M","Male",IF(D947="F","Female","Check"))</f>
        <v>Female</v>
      </c>
      <c r="F947" s="4">
        <v>10000</v>
      </c>
      <c r="G947" t="str" s="8" cm="1">
        <f t="array" ref="G947">IF(F947="","Check","okay")</f>
        <v>okay</v>
      </c>
      <c r="H947" s="3">
        <v>0</v>
      </c>
      <c r="I947" t="s" s="2">
        <v>32</v>
      </c>
      <c r="J947" t="s" s="2">
        <v>28</v>
      </c>
      <c r="K947" t="s" s="2">
        <v>17</v>
      </c>
      <c r="L947" s="3">
        <v>2</v>
      </c>
      <c r="M947" t="s" s="2">
        <v>29</v>
      </c>
      <c r="N947" t="s" s="2">
        <v>19</v>
      </c>
      <c r="O947" s="3">
        <v>34</v>
      </c>
      <c r="P947" t="str" s="8" cm="1">
        <f t="array" ref="P947">IF(O947="","check","Okay")</f>
        <v>Okay</v>
      </c>
      <c r="Q947" t="str" s="8" cm="1">
        <f t="array" ref="Q947">IF(O947&lt;30,"UNDER 30",IF(O947&lt;=50,"30-50","Over 50"))</f>
        <v>30-50</v>
      </c>
      <c r="R947" t="s" s="2">
        <v>20</v>
      </c>
      <c r="S947" s="3" cm="1">
        <f t="array" ref="S947">COUNTIF(A2:A1001,A947)</f>
        <v>1</v>
      </c>
      <c r="T947" t="str" s="8" cm="1">
        <f t="array" ref="T947">IF(ISNUMBER(F947),"Ok","check")</f>
        <v>Ok</v>
      </c>
      <c r="U947" t="str" s="8" cm="1">
        <f t="array" ref="U947">IF(ISNUMBER(O947),"ok","check")</f>
        <v>ok</v>
      </c>
    </row>
    <row r="948" ht="13.55" customHeight="1">
      <c r="A948" s="3">
        <v>14696</v>
      </c>
      <c r="B948" t="s" s="2">
        <v>25</v>
      </c>
      <c r="C948" t="str" s="8" cm="1">
        <f t="array" ref="C948">IF(B948="M","Married","Single")</f>
        <v>Single</v>
      </c>
      <c r="D948" t="s" s="2">
        <v>13</v>
      </c>
      <c r="E948" t="str" s="8" cm="1">
        <f t="array" ref="E948">IF(D948="M","Male",IF(D948="F","Female","Check"))</f>
        <v>Male</v>
      </c>
      <c r="F948" s="4">
        <v>10000</v>
      </c>
      <c r="G948" t="str" s="8" cm="1">
        <f t="array" ref="G948">IF(F948="","Check","okay")</f>
        <v>okay</v>
      </c>
      <c r="H948" s="3">
        <v>0</v>
      </c>
      <c r="I948" t="s" s="2">
        <v>32</v>
      </c>
      <c r="J948" t="s" s="2">
        <v>28</v>
      </c>
      <c r="K948" t="s" s="2">
        <v>20</v>
      </c>
      <c r="L948" s="3">
        <v>2</v>
      </c>
      <c r="M948" t="s" s="2">
        <v>18</v>
      </c>
      <c r="N948" t="s" s="2">
        <v>19</v>
      </c>
      <c r="O948" s="3">
        <v>34</v>
      </c>
      <c r="P948" t="str" s="8" cm="1">
        <f t="array" ref="P948">IF(O948="","check","Okay")</f>
        <v>Okay</v>
      </c>
      <c r="Q948" t="str" s="8" cm="1">
        <f t="array" ref="Q948">IF(O948&lt;30,"UNDER 30",IF(O948&lt;=50,"30-50","Over 50"))</f>
        <v>30-50</v>
      </c>
      <c r="R948" t="s" s="2">
        <v>20</v>
      </c>
      <c r="S948" s="3" cm="1">
        <f t="array" ref="S948">COUNTIF(A2:A1001,A948)</f>
        <v>1</v>
      </c>
      <c r="T948" t="str" s="8" cm="1">
        <f t="array" ref="T948">IF(ISNUMBER(F948),"Ok","check")</f>
        <v>Ok</v>
      </c>
      <c r="U948" t="str" s="8" cm="1">
        <f t="array" ref="U948">IF(ISNUMBER(O948),"ok","check")</f>
        <v>ok</v>
      </c>
    </row>
    <row r="949" ht="13.55" customHeight="1">
      <c r="A949" s="3">
        <v>16200</v>
      </c>
      <c r="B949" t="s" s="2">
        <v>25</v>
      </c>
      <c r="C949" t="str" s="8" cm="1">
        <f t="array" ref="C949">IF(B949="M","Married","Single")</f>
        <v>Single</v>
      </c>
      <c r="D949" t="s" s="2">
        <v>14</v>
      </c>
      <c r="E949" t="str" s="8" cm="1">
        <f t="array" ref="E949">IF(D949="M","Male",IF(D949="F","Female","Check"))</f>
        <v>Female</v>
      </c>
      <c r="F949" s="4">
        <v>10000</v>
      </c>
      <c r="G949" t="str" s="8" cm="1">
        <f t="array" ref="G949">IF(F949="","Check","okay")</f>
        <v>okay</v>
      </c>
      <c r="H949" s="3">
        <v>0</v>
      </c>
      <c r="I949" t="s" s="2">
        <v>32</v>
      </c>
      <c r="J949" t="s" s="2">
        <v>28</v>
      </c>
      <c r="K949" t="s" s="2">
        <v>20</v>
      </c>
      <c r="L949" s="3">
        <v>2</v>
      </c>
      <c r="M949" t="s" s="2">
        <v>18</v>
      </c>
      <c r="N949" t="s" s="2">
        <v>19</v>
      </c>
      <c r="O949" s="3">
        <v>35</v>
      </c>
      <c r="P949" t="str" s="8" cm="1">
        <f t="array" ref="P949">IF(O949="","check","Okay")</f>
        <v>Okay</v>
      </c>
      <c r="Q949" t="str" s="8" cm="1">
        <f t="array" ref="Q949">IF(O949&lt;30,"UNDER 30",IF(O949&lt;=50,"30-50","Over 50"))</f>
        <v>30-50</v>
      </c>
      <c r="R949" t="s" s="2">
        <v>20</v>
      </c>
      <c r="S949" s="3" cm="1">
        <f t="array" ref="S949">COUNTIF(A2:A1001,A949)</f>
        <v>1</v>
      </c>
      <c r="T949" t="str" s="8" cm="1">
        <f t="array" ref="T949">IF(ISNUMBER(F949),"Ok","check")</f>
        <v>Ok</v>
      </c>
      <c r="U949" t="str" s="8" cm="1">
        <f t="array" ref="U949">IF(ISNUMBER(O949),"ok","check")</f>
        <v>ok</v>
      </c>
    </row>
    <row r="950" ht="13.55" customHeight="1">
      <c r="A950" s="3">
        <v>19291</v>
      </c>
      <c r="B950" t="s" s="2">
        <v>25</v>
      </c>
      <c r="C950" t="str" s="8" cm="1">
        <f t="array" ref="C950">IF(B950="M","Married","Single")</f>
        <v>Single</v>
      </c>
      <c r="D950" t="s" s="2">
        <v>14</v>
      </c>
      <c r="E950" t="str" s="8" cm="1">
        <f t="array" ref="E950">IF(D950="M","Male",IF(D950="F","Female","Check"))</f>
        <v>Female</v>
      </c>
      <c r="F950" s="4">
        <v>10000</v>
      </c>
      <c r="G950" t="str" s="8" cm="1">
        <f t="array" ref="G950">IF(F950="","Check","okay")</f>
        <v>okay</v>
      </c>
      <c r="H950" s="3">
        <v>2</v>
      </c>
      <c r="I950" t="s" s="2">
        <v>30</v>
      </c>
      <c r="J950" t="s" s="2">
        <v>28</v>
      </c>
      <c r="K950" t="s" s="2">
        <v>17</v>
      </c>
      <c r="L950" s="3">
        <v>0</v>
      </c>
      <c r="M950" t="s" s="2">
        <v>18</v>
      </c>
      <c r="N950" t="s" s="2">
        <v>19</v>
      </c>
      <c r="O950" s="3">
        <v>35</v>
      </c>
      <c r="P950" t="str" s="8" cm="1">
        <f t="array" ref="P950">IF(O950="","check","Okay")</f>
        <v>Okay</v>
      </c>
      <c r="Q950" t="str" s="8" cm="1">
        <f t="array" ref="Q950">IF(O950&lt;30,"UNDER 30",IF(O950&lt;=50,"30-50","Over 50"))</f>
        <v>30-50</v>
      </c>
      <c r="R950" t="s" s="2">
        <v>20</v>
      </c>
      <c r="S950" s="3" cm="1">
        <f t="array" ref="S950">COUNTIF(A2:A1001,A950)</f>
        <v>1</v>
      </c>
      <c r="T950" t="str" s="8" cm="1">
        <f t="array" ref="T950">IF(ISNUMBER(F950),"Ok","check")</f>
        <v>Ok</v>
      </c>
      <c r="U950" t="str" s="8" cm="1">
        <f t="array" ref="U950">IF(ISNUMBER(O950),"ok","check")</f>
        <v>ok</v>
      </c>
    </row>
    <row r="951" ht="13.55" customHeight="1">
      <c r="A951" s="3">
        <v>28683</v>
      </c>
      <c r="B951" t="s" s="2">
        <v>25</v>
      </c>
      <c r="C951" t="str" s="8" cm="1">
        <f t="array" ref="C951">IF(B951="M","Married","Single")</f>
        <v>Single</v>
      </c>
      <c r="D951" t="s" s="2">
        <v>14</v>
      </c>
      <c r="E951" t="str" s="8" cm="1">
        <f t="array" ref="E951">IF(D951="M","Male",IF(D951="F","Female","Check"))</f>
        <v>Female</v>
      </c>
      <c r="F951" s="4">
        <v>10000</v>
      </c>
      <c r="G951" t="str" s="8" cm="1">
        <f t="array" ref="G951">IF(F951="","Check","okay")</f>
        <v>okay</v>
      </c>
      <c r="H951" s="3">
        <v>1</v>
      </c>
      <c r="I951" t="s" s="2">
        <v>30</v>
      </c>
      <c r="J951" t="s" s="2">
        <v>28</v>
      </c>
      <c r="K951" t="s" s="2">
        <v>20</v>
      </c>
      <c r="L951" s="3">
        <v>1</v>
      </c>
      <c r="M951" t="s" s="2">
        <v>26</v>
      </c>
      <c r="N951" t="s" s="2">
        <v>19</v>
      </c>
      <c r="O951" s="3">
        <v>35</v>
      </c>
      <c r="P951" t="str" s="8" cm="1">
        <f t="array" ref="P951">IF(O951="","check","Okay")</f>
        <v>Okay</v>
      </c>
      <c r="Q951" t="str" s="8" cm="1">
        <f t="array" ref="Q951">IF(O951&lt;30,"UNDER 30",IF(O951&lt;=50,"30-50","Over 50"))</f>
        <v>30-50</v>
      </c>
      <c r="R951" t="s" s="2">
        <v>17</v>
      </c>
      <c r="S951" s="3" cm="1">
        <f t="array" ref="S951">COUNTIF(A2:A1001,A951)</f>
        <v>1</v>
      </c>
      <c r="T951" t="str" s="8" cm="1">
        <f t="array" ref="T951">IF(ISNUMBER(F951),"Ok","check")</f>
        <v>Ok</v>
      </c>
      <c r="U951" t="str" s="8" cm="1">
        <f t="array" ref="U951">IF(ISNUMBER(O951),"ok","check")</f>
        <v>ok</v>
      </c>
    </row>
    <row r="952" ht="13.55" customHeight="1">
      <c r="A952" s="3">
        <v>12274</v>
      </c>
      <c r="B952" t="s" s="2">
        <v>25</v>
      </c>
      <c r="C952" t="str" s="8" cm="1">
        <f t="array" ref="C952">IF(B952="M","Married","Single")</f>
        <v>Single</v>
      </c>
      <c r="D952" t="s" s="2">
        <v>13</v>
      </c>
      <c r="E952" t="str" s="8" cm="1">
        <f t="array" ref="E952">IF(D952="M","Male",IF(D952="F","Female","Check"))</f>
        <v>Male</v>
      </c>
      <c r="F952" s="4">
        <v>10000</v>
      </c>
      <c r="G952" t="str" s="8" cm="1">
        <f t="array" ref="G952">IF(F952="","Check","okay")</f>
        <v>okay</v>
      </c>
      <c r="H952" s="3">
        <v>2</v>
      </c>
      <c r="I952" t="s" s="2">
        <v>30</v>
      </c>
      <c r="J952" t="s" s="2">
        <v>28</v>
      </c>
      <c r="K952" t="s" s="2">
        <v>17</v>
      </c>
      <c r="L952" s="3">
        <v>0</v>
      </c>
      <c r="M952" t="s" s="2">
        <v>18</v>
      </c>
      <c r="N952" t="s" s="2">
        <v>19</v>
      </c>
      <c r="O952" s="3">
        <v>35</v>
      </c>
      <c r="P952" t="str" s="8" cm="1">
        <f t="array" ref="P952">IF(O952="","check","Okay")</f>
        <v>Okay</v>
      </c>
      <c r="Q952" t="str" s="8" cm="1">
        <f t="array" ref="Q952">IF(O952&lt;30,"UNDER 30",IF(O952&lt;=50,"30-50","Over 50"))</f>
        <v>30-50</v>
      </c>
      <c r="R952" t="s" s="2">
        <v>20</v>
      </c>
      <c r="S952" s="3" cm="1">
        <f t="array" ref="S952">COUNTIF(A2:A1001,A952)</f>
        <v>1</v>
      </c>
      <c r="T952" t="str" s="8" cm="1">
        <f t="array" ref="T952">IF(ISNUMBER(F952),"Ok","check")</f>
        <v>Ok</v>
      </c>
      <c r="U952" t="str" s="8" cm="1">
        <f t="array" ref="U952">IF(ISNUMBER(O952),"ok","check")</f>
        <v>ok</v>
      </c>
    </row>
    <row r="953" ht="13.55" customHeight="1">
      <c r="A953" s="3">
        <v>19183</v>
      </c>
      <c r="B953" t="s" s="2">
        <v>25</v>
      </c>
      <c r="C953" t="str" s="8" cm="1">
        <f t="array" ref="C953">IF(B953="M","Married","Single")</f>
        <v>Single</v>
      </c>
      <c r="D953" t="s" s="2">
        <v>13</v>
      </c>
      <c r="E953" t="str" s="8" cm="1">
        <f t="array" ref="E953">IF(D953="M","Male",IF(D953="F","Female","Check"))</f>
        <v>Male</v>
      </c>
      <c r="F953" s="4">
        <v>10000</v>
      </c>
      <c r="G953" t="str" s="8" cm="1">
        <f t="array" ref="G953">IF(F953="","Check","okay")</f>
        <v>okay</v>
      </c>
      <c r="H953" s="3">
        <v>0</v>
      </c>
      <c r="I953" t="s" s="2">
        <v>32</v>
      </c>
      <c r="J953" t="s" s="2">
        <v>28</v>
      </c>
      <c r="K953" t="s" s="2">
        <v>17</v>
      </c>
      <c r="L953" s="3">
        <v>2</v>
      </c>
      <c r="M953" t="s" s="2">
        <v>29</v>
      </c>
      <c r="N953" t="s" s="2">
        <v>19</v>
      </c>
      <c r="O953" s="3">
        <v>35</v>
      </c>
      <c r="P953" t="str" s="8" cm="1">
        <f t="array" ref="P953">IF(O953="","check","Okay")</f>
        <v>Okay</v>
      </c>
      <c r="Q953" t="str" s="8" cm="1">
        <f t="array" ref="Q953">IF(O953&lt;30,"UNDER 30",IF(O953&lt;=50,"30-50","Over 50"))</f>
        <v>30-50</v>
      </c>
      <c r="R953" t="s" s="2">
        <v>20</v>
      </c>
      <c r="S953" s="3" cm="1">
        <f t="array" ref="S953">COUNTIF(A2:A1001,A953)</f>
        <v>1</v>
      </c>
      <c r="T953" t="str" s="8" cm="1">
        <f t="array" ref="T953">IF(ISNUMBER(F953),"Ok","check")</f>
        <v>Ok</v>
      </c>
      <c r="U953" t="str" s="8" cm="1">
        <f t="array" ref="U953">IF(ISNUMBER(O953),"ok","check")</f>
        <v>ok</v>
      </c>
    </row>
    <row r="954" ht="13.55" customHeight="1">
      <c r="A954" s="3">
        <v>25313</v>
      </c>
      <c r="B954" t="s" s="2">
        <v>25</v>
      </c>
      <c r="C954" t="str" s="8" cm="1">
        <f t="array" ref="C954">IF(B954="M","Married","Single")</f>
        <v>Single</v>
      </c>
      <c r="D954" t="s" s="2">
        <v>13</v>
      </c>
      <c r="E954" t="str" s="8" cm="1">
        <f t="array" ref="E954">IF(D954="M","Male",IF(D954="F","Female","Check"))</f>
        <v>Male</v>
      </c>
      <c r="F954" s="4">
        <v>10000</v>
      </c>
      <c r="G954" t="str" s="8" cm="1">
        <f t="array" ref="G954">IF(F954="","Check","okay")</f>
        <v>okay</v>
      </c>
      <c r="H954" s="3">
        <v>0</v>
      </c>
      <c r="I954" t="s" s="2">
        <v>32</v>
      </c>
      <c r="J954" t="s" s="2">
        <v>28</v>
      </c>
      <c r="K954" t="s" s="2">
        <v>20</v>
      </c>
      <c r="L954" s="3">
        <v>2</v>
      </c>
      <c r="M954" t="s" s="2">
        <v>29</v>
      </c>
      <c r="N954" t="s" s="2">
        <v>19</v>
      </c>
      <c r="O954" s="3">
        <v>35</v>
      </c>
      <c r="P954" t="str" s="8" cm="1">
        <f t="array" ref="P954">IF(O954="","check","Okay")</f>
        <v>Okay</v>
      </c>
      <c r="Q954" t="str" s="8" cm="1">
        <f t="array" ref="Q954">IF(O954&lt;30,"UNDER 30",IF(O954&lt;=50,"30-50","Over 50"))</f>
        <v>30-50</v>
      </c>
      <c r="R954" t="s" s="2">
        <v>20</v>
      </c>
      <c r="S954" s="3" cm="1">
        <f t="array" ref="S954">COUNTIF(A2:A1001,A954)</f>
        <v>1</v>
      </c>
      <c r="T954" t="str" s="8" cm="1">
        <f t="array" ref="T954">IF(ISNUMBER(F954),"Ok","check")</f>
        <v>Ok</v>
      </c>
      <c r="U954" t="str" s="8" cm="1">
        <f t="array" ref="U954">IF(ISNUMBER(O954),"ok","check")</f>
        <v>ok</v>
      </c>
    </row>
    <row r="955" ht="13.55" customHeight="1">
      <c r="A955" s="3">
        <v>16559</v>
      </c>
      <c r="B955" t="s" s="2">
        <v>25</v>
      </c>
      <c r="C955" t="str" s="8" cm="1">
        <f t="array" ref="C955">IF(B955="M","Married","Single")</f>
        <v>Single</v>
      </c>
      <c r="D955" t="s" s="2">
        <v>14</v>
      </c>
      <c r="E955" t="str" s="8" cm="1">
        <f t="array" ref="E955">IF(D955="M","Male",IF(D955="F","Female","Check"))</f>
        <v>Female</v>
      </c>
      <c r="F955" s="4">
        <v>10000</v>
      </c>
      <c r="G955" t="str" s="8" cm="1">
        <f t="array" ref="G955">IF(F955="","Check","okay")</f>
        <v>okay</v>
      </c>
      <c r="H955" s="3">
        <v>2</v>
      </c>
      <c r="I955" t="s" s="2">
        <v>30</v>
      </c>
      <c r="J955" t="s" s="2">
        <v>28</v>
      </c>
      <c r="K955" t="s" s="2">
        <v>17</v>
      </c>
      <c r="L955" s="3">
        <v>0</v>
      </c>
      <c r="M955" t="s" s="2">
        <v>18</v>
      </c>
      <c r="N955" t="s" s="2">
        <v>19</v>
      </c>
      <c r="O955" s="3">
        <v>36</v>
      </c>
      <c r="P955" t="str" s="8" cm="1">
        <f t="array" ref="P955">IF(O955="","check","Okay")</f>
        <v>Okay</v>
      </c>
      <c r="Q955" t="str" s="8" cm="1">
        <f t="array" ref="Q955">IF(O955&lt;30,"UNDER 30",IF(O955&lt;=50,"30-50","Over 50"))</f>
        <v>30-50</v>
      </c>
      <c r="R955" t="s" s="2">
        <v>17</v>
      </c>
      <c r="S955" s="3" cm="1">
        <f t="array" ref="S955">COUNTIF(A2:A1001,A955)</f>
        <v>1</v>
      </c>
      <c r="T955" t="str" s="8" cm="1">
        <f t="array" ref="T955">IF(ISNUMBER(F955),"Ok","check")</f>
        <v>Ok</v>
      </c>
      <c r="U955" t="str" s="8" cm="1">
        <f t="array" ref="U955">IF(ISNUMBER(O955),"ok","check")</f>
        <v>ok</v>
      </c>
    </row>
    <row r="956" ht="13.55" customHeight="1">
      <c r="A956" s="3">
        <v>12212</v>
      </c>
      <c r="B956" t="s" s="2">
        <v>13</v>
      </c>
      <c r="C956" t="str" s="8" cm="1">
        <f t="array" ref="C956">IF(B956="M","Married","Single")</f>
        <v>Married</v>
      </c>
      <c r="D956" t="s" s="2">
        <v>14</v>
      </c>
      <c r="E956" t="str" s="8" cm="1">
        <f t="array" ref="E956">IF(D956="M","Male",IF(D956="F","Female","Check"))</f>
        <v>Female</v>
      </c>
      <c r="F956" s="4">
        <v>10000</v>
      </c>
      <c r="G956" t="str" s="8" cm="1">
        <f t="array" ref="G956">IF(F956="","Check","okay")</f>
        <v>okay</v>
      </c>
      <c r="H956" s="3">
        <v>0</v>
      </c>
      <c r="I956" t="s" s="2">
        <v>34</v>
      </c>
      <c r="J956" t="s" s="2">
        <v>28</v>
      </c>
      <c r="K956" t="s" s="2">
        <v>17</v>
      </c>
      <c r="L956" s="3">
        <v>0</v>
      </c>
      <c r="M956" t="s" s="2">
        <v>18</v>
      </c>
      <c r="N956" t="s" s="2">
        <v>19</v>
      </c>
      <c r="O956" s="3">
        <v>37</v>
      </c>
      <c r="P956" t="str" s="8" cm="1">
        <f t="array" ref="P956">IF(O956="","check","Okay")</f>
        <v>Okay</v>
      </c>
      <c r="Q956" t="str" s="8" cm="1">
        <f t="array" ref="Q956">IF(O956&lt;30,"UNDER 30",IF(O956&lt;=50,"30-50","Over 50"))</f>
        <v>30-50</v>
      </c>
      <c r="R956" t="s" s="2">
        <v>17</v>
      </c>
      <c r="S956" s="3" cm="1">
        <f t="array" ref="S956">COUNTIF(A2:A1001,A956)</f>
        <v>1</v>
      </c>
      <c r="T956" t="str" s="8" cm="1">
        <f t="array" ref="T956">IF(ISNUMBER(F956),"Ok","check")</f>
        <v>Ok</v>
      </c>
      <c r="U956" t="str" s="8" cm="1">
        <f t="array" ref="U956">IF(ISNUMBER(O956),"ok","check")</f>
        <v>ok</v>
      </c>
    </row>
    <row r="957" ht="13.55" customHeight="1">
      <c r="A957" s="3">
        <v>24201</v>
      </c>
      <c r="B957" t="s" s="2">
        <v>13</v>
      </c>
      <c r="C957" t="str" s="8" cm="1">
        <f t="array" ref="C957">IF(B957="M","Married","Single")</f>
        <v>Married</v>
      </c>
      <c r="D957" t="s" s="2">
        <v>14</v>
      </c>
      <c r="E957" t="str" s="8" cm="1">
        <f t="array" ref="E957">IF(D957="M","Male",IF(D957="F","Female","Check"))</f>
        <v>Female</v>
      </c>
      <c r="F957" s="4">
        <v>10000</v>
      </c>
      <c r="G957" t="str" s="8" cm="1">
        <f t="array" ref="G957">IF(F957="","Check","okay")</f>
        <v>okay</v>
      </c>
      <c r="H957" s="3">
        <v>2</v>
      </c>
      <c r="I957" t="s" s="2">
        <v>30</v>
      </c>
      <c r="J957" t="s" s="2">
        <v>28</v>
      </c>
      <c r="K957" t="s" s="2">
        <v>17</v>
      </c>
      <c r="L957" s="3">
        <v>0</v>
      </c>
      <c r="M957" t="s" s="2">
        <v>18</v>
      </c>
      <c r="N957" t="s" s="2">
        <v>19</v>
      </c>
      <c r="O957" s="3">
        <v>37</v>
      </c>
      <c r="P957" t="str" s="8" cm="1">
        <f t="array" ref="P957">IF(O957="","check","Okay")</f>
        <v>Okay</v>
      </c>
      <c r="Q957" t="str" s="8" cm="1">
        <f t="array" ref="Q957">IF(O957&lt;30,"UNDER 30",IF(O957&lt;=50,"30-50","Over 50"))</f>
        <v>30-50</v>
      </c>
      <c r="R957" t="s" s="2">
        <v>17</v>
      </c>
      <c r="S957" s="3" cm="1">
        <f t="array" ref="S957">COUNTIF(A2:A1001,A957)</f>
        <v>1</v>
      </c>
      <c r="T957" t="str" s="8" cm="1">
        <f t="array" ref="T957">IF(ISNUMBER(F957),"Ok","check")</f>
        <v>Ok</v>
      </c>
      <c r="U957" t="str" s="8" cm="1">
        <f t="array" ref="U957">IF(ISNUMBER(O957),"ok","check")</f>
        <v>ok</v>
      </c>
    </row>
    <row r="958" ht="13.55" customHeight="1">
      <c r="A958" s="3">
        <v>17702</v>
      </c>
      <c r="B958" t="s" s="2">
        <v>13</v>
      </c>
      <c r="C958" t="str" s="8" cm="1">
        <f t="array" ref="C958">IF(B958="M","Married","Single")</f>
        <v>Married</v>
      </c>
      <c r="D958" t="s" s="2">
        <v>13</v>
      </c>
      <c r="E958" t="str" s="8" cm="1">
        <f t="array" ref="E958">IF(D958="M","Male",IF(D958="F","Female","Check"))</f>
        <v>Male</v>
      </c>
      <c r="F958" s="4">
        <v>10000</v>
      </c>
      <c r="G958" t="str" s="8" cm="1">
        <f t="array" ref="G958">IF(F958="","Check","okay")</f>
        <v>okay</v>
      </c>
      <c r="H958" s="3">
        <v>1</v>
      </c>
      <c r="I958" t="s" s="2">
        <v>34</v>
      </c>
      <c r="J958" t="s" s="2">
        <v>28</v>
      </c>
      <c r="K958" t="s" s="2">
        <v>17</v>
      </c>
      <c r="L958" s="3">
        <v>0</v>
      </c>
      <c r="M958" t="s" s="2">
        <v>18</v>
      </c>
      <c r="N958" t="s" s="2">
        <v>19</v>
      </c>
      <c r="O958" s="3">
        <v>37</v>
      </c>
      <c r="P958" t="str" s="8" cm="1">
        <f t="array" ref="P958">IF(O958="","check","Okay")</f>
        <v>Okay</v>
      </c>
      <c r="Q958" t="str" s="8" cm="1">
        <f t="array" ref="Q958">IF(O958&lt;30,"UNDER 30",IF(O958&lt;=50,"30-50","Over 50"))</f>
        <v>30-50</v>
      </c>
      <c r="R958" t="s" s="2">
        <v>20</v>
      </c>
      <c r="S958" s="3" cm="1">
        <f t="array" ref="S958">COUNTIF(A2:A1001,A958)</f>
        <v>1</v>
      </c>
      <c r="T958" t="str" s="8" cm="1">
        <f t="array" ref="T958">IF(ISNUMBER(F958),"Ok","check")</f>
        <v>Ok</v>
      </c>
      <c r="U958" t="str" s="8" cm="1">
        <f t="array" ref="U958">IF(ISNUMBER(O958),"ok","check")</f>
        <v>ok</v>
      </c>
    </row>
    <row r="959" ht="13.55" customHeight="1">
      <c r="A959" s="3">
        <v>13572</v>
      </c>
      <c r="B959" t="s" s="2">
        <v>25</v>
      </c>
      <c r="C959" t="str" s="8" cm="1">
        <f t="array" ref="C959">IF(B959="M","Married","Single")</f>
        <v>Single</v>
      </c>
      <c r="D959" t="s" s="2">
        <v>13</v>
      </c>
      <c r="E959" t="str" s="8" cm="1">
        <f t="array" ref="E959">IF(D959="M","Male",IF(D959="F","Female","Check"))</f>
        <v>Male</v>
      </c>
      <c r="F959" s="4">
        <v>10000</v>
      </c>
      <c r="G959" t="str" s="8" cm="1">
        <f t="array" ref="G959">IF(F959="","Check","okay")</f>
        <v>okay</v>
      </c>
      <c r="H959" s="3">
        <v>3</v>
      </c>
      <c r="I959" t="s" s="2">
        <v>30</v>
      </c>
      <c r="J959" t="s" s="2">
        <v>28</v>
      </c>
      <c r="K959" t="s" s="2">
        <v>17</v>
      </c>
      <c r="L959" s="3">
        <v>0</v>
      </c>
      <c r="M959" t="s" s="2">
        <v>18</v>
      </c>
      <c r="N959" t="s" s="2">
        <v>19</v>
      </c>
      <c r="O959" s="3">
        <v>37</v>
      </c>
      <c r="P959" t="str" s="8" cm="1">
        <f t="array" ref="P959">IF(O959="","check","Okay")</f>
        <v>Okay</v>
      </c>
      <c r="Q959" t="str" s="8" cm="1">
        <f t="array" ref="Q959">IF(O959&lt;30,"UNDER 30",IF(O959&lt;=50,"30-50","Over 50"))</f>
        <v>30-50</v>
      </c>
      <c r="R959" t="s" s="2">
        <v>17</v>
      </c>
      <c r="S959" s="3" cm="1">
        <f t="array" ref="S959">COUNTIF(A2:A1001,A959)</f>
        <v>1</v>
      </c>
      <c r="T959" t="str" s="8" cm="1">
        <f t="array" ref="T959">IF(ISNUMBER(F959),"Ok","check")</f>
        <v>Ok</v>
      </c>
      <c r="U959" t="str" s="8" cm="1">
        <f t="array" ref="U959">IF(ISNUMBER(O959),"ok","check")</f>
        <v>ok</v>
      </c>
    </row>
    <row r="960" ht="13.55" customHeight="1">
      <c r="A960" s="3">
        <v>19445</v>
      </c>
      <c r="B960" t="s" s="2">
        <v>13</v>
      </c>
      <c r="C960" t="str" s="8" cm="1">
        <f t="array" ref="C960">IF(B960="M","Married","Single")</f>
        <v>Married</v>
      </c>
      <c r="D960" t="s" s="2">
        <v>14</v>
      </c>
      <c r="E960" t="str" s="8" cm="1">
        <f t="array" ref="E960">IF(D960="M","Male",IF(D960="F","Female","Check"))</f>
        <v>Female</v>
      </c>
      <c r="F960" s="4">
        <v>10000</v>
      </c>
      <c r="G960" t="str" s="8" cm="1">
        <f t="array" ref="G960">IF(F960="","Check","okay")</f>
        <v>okay</v>
      </c>
      <c r="H960" s="3">
        <v>2</v>
      </c>
      <c r="I960" t="s" s="2">
        <v>30</v>
      </c>
      <c r="J960" t="s" s="2">
        <v>28</v>
      </c>
      <c r="K960" t="s" s="2">
        <v>20</v>
      </c>
      <c r="L960" s="3">
        <v>1</v>
      </c>
      <c r="M960" t="s" s="2">
        <v>18</v>
      </c>
      <c r="N960" t="s" s="2">
        <v>19</v>
      </c>
      <c r="O960" s="3">
        <v>38</v>
      </c>
      <c r="P960" t="str" s="8" cm="1">
        <f t="array" ref="P960">IF(O960="","check","Okay")</f>
        <v>Okay</v>
      </c>
      <c r="Q960" t="str" s="8" cm="1">
        <f t="array" ref="Q960">IF(O960&lt;30,"UNDER 30",IF(O960&lt;=50,"30-50","Over 50"))</f>
        <v>30-50</v>
      </c>
      <c r="R960" t="s" s="2">
        <v>20</v>
      </c>
      <c r="S960" s="3" cm="1">
        <f t="array" ref="S960">COUNTIF(A2:A1001,A960)</f>
        <v>1</v>
      </c>
      <c r="T960" t="str" s="8" cm="1">
        <f t="array" ref="T960">IF(ISNUMBER(F960),"Ok","check")</f>
        <v>Ok</v>
      </c>
      <c r="U960" t="str" s="8" cm="1">
        <f t="array" ref="U960">IF(ISNUMBER(O960),"ok","check")</f>
        <v>ok</v>
      </c>
    </row>
    <row r="961" ht="13.55" customHeight="1">
      <c r="A961" s="3">
        <v>20870</v>
      </c>
      <c r="B961" t="s" s="2">
        <v>25</v>
      </c>
      <c r="C961" t="str" s="8" cm="1">
        <f t="array" ref="C961">IF(B961="M","Married","Single")</f>
        <v>Single</v>
      </c>
      <c r="D961" t="s" s="2">
        <v>14</v>
      </c>
      <c r="E961" t="str" s="8" cm="1">
        <f t="array" ref="E961">IF(D961="M","Male",IF(D961="F","Female","Check"))</f>
        <v>Female</v>
      </c>
      <c r="F961" s="4">
        <v>10000</v>
      </c>
      <c r="G961" t="str" s="8" cm="1">
        <f t="array" ref="G961">IF(F961="","Check","okay")</f>
        <v>okay</v>
      </c>
      <c r="H961" s="3">
        <v>2</v>
      </c>
      <c r="I961" t="s" s="2">
        <v>30</v>
      </c>
      <c r="J961" t="s" s="2">
        <v>28</v>
      </c>
      <c r="K961" t="s" s="2">
        <v>17</v>
      </c>
      <c r="L961" s="3">
        <v>1</v>
      </c>
      <c r="M961" t="s" s="2">
        <v>18</v>
      </c>
      <c r="N961" t="s" s="2">
        <v>19</v>
      </c>
      <c r="O961" s="3">
        <v>38</v>
      </c>
      <c r="P961" t="str" s="8" cm="1">
        <f t="array" ref="P961">IF(O961="","check","Okay")</f>
        <v>Okay</v>
      </c>
      <c r="Q961" t="str" s="8" cm="1">
        <f t="array" ref="Q961">IF(O961&lt;30,"UNDER 30",IF(O961&lt;=50,"30-50","Over 50"))</f>
        <v>30-50</v>
      </c>
      <c r="R961" t="s" s="2">
        <v>17</v>
      </c>
      <c r="S961" s="3" cm="1">
        <f t="array" ref="S961">COUNTIF(A2:A1001,A961)</f>
        <v>1</v>
      </c>
      <c r="T961" t="str" s="8" cm="1">
        <f t="array" ref="T961">IF(ISNUMBER(F961),"Ok","check")</f>
        <v>Ok</v>
      </c>
      <c r="U961" t="str" s="8" cm="1">
        <f t="array" ref="U961">IF(ISNUMBER(O961),"ok","check")</f>
        <v>ok</v>
      </c>
    </row>
    <row r="962" ht="13.55" customHeight="1">
      <c r="A962" s="3">
        <v>19305</v>
      </c>
      <c r="B962" t="s" s="2">
        <v>25</v>
      </c>
      <c r="C962" t="str" s="8" cm="1">
        <f t="array" ref="C962">IF(B962="M","Married","Single")</f>
        <v>Single</v>
      </c>
      <c r="D962" t="s" s="2">
        <v>14</v>
      </c>
      <c r="E962" t="str" s="8" cm="1">
        <f t="array" ref="E962">IF(D962="M","Male",IF(D962="F","Female","Check"))</f>
        <v>Female</v>
      </c>
      <c r="F962" s="4">
        <v>10000</v>
      </c>
      <c r="G962" t="str" s="8" cm="1">
        <f t="array" ref="G962">IF(F962="","Check","okay")</f>
        <v>okay</v>
      </c>
      <c r="H962" s="3">
        <v>2</v>
      </c>
      <c r="I962" t="s" s="2">
        <v>30</v>
      </c>
      <c r="J962" t="s" s="2">
        <v>28</v>
      </c>
      <c r="K962" t="s" s="2">
        <v>17</v>
      </c>
      <c r="L962" s="3">
        <v>1</v>
      </c>
      <c r="M962" t="s" s="2">
        <v>18</v>
      </c>
      <c r="N962" t="s" s="2">
        <v>19</v>
      </c>
      <c r="O962" s="3">
        <v>38</v>
      </c>
      <c r="P962" t="str" s="8" cm="1">
        <f t="array" ref="P962">IF(O962="","check","Okay")</f>
        <v>Okay</v>
      </c>
      <c r="Q962" t="str" s="8" cm="1">
        <f t="array" ref="Q962">IF(O962&lt;30,"UNDER 30",IF(O962&lt;=50,"30-50","Over 50"))</f>
        <v>30-50</v>
      </c>
      <c r="R962" t="s" s="2">
        <v>17</v>
      </c>
      <c r="S962" s="3" cm="1">
        <f t="array" ref="S962">COUNTIF(A2:A1001,A962)</f>
        <v>1</v>
      </c>
      <c r="T962" t="str" s="8" cm="1">
        <f t="array" ref="T962">IF(ISNUMBER(F962),"Ok","check")</f>
        <v>Ok</v>
      </c>
      <c r="U962" t="str" s="8" cm="1">
        <f t="array" ref="U962">IF(ISNUMBER(O962),"ok","check")</f>
        <v>ok</v>
      </c>
    </row>
    <row r="963" ht="13.55" customHeight="1">
      <c r="A963" s="3">
        <v>26818</v>
      </c>
      <c r="B963" t="s" s="2">
        <v>25</v>
      </c>
      <c r="C963" t="str" s="8" cm="1">
        <f t="array" ref="C963">IF(B963="M","Married","Single")</f>
        <v>Single</v>
      </c>
      <c r="D963" t="s" s="2">
        <v>13</v>
      </c>
      <c r="E963" t="str" s="8" cm="1">
        <f t="array" ref="E963">IF(D963="M","Male",IF(D963="F","Female","Check"))</f>
        <v>Male</v>
      </c>
      <c r="F963" s="4">
        <v>10000</v>
      </c>
      <c r="G963" t="str" s="8" cm="1">
        <f t="array" ref="G963">IF(F963="","Check","okay")</f>
        <v>okay</v>
      </c>
      <c r="H963" s="3">
        <v>3</v>
      </c>
      <c r="I963" t="s" s="2">
        <v>30</v>
      </c>
      <c r="J963" t="s" s="2">
        <v>28</v>
      </c>
      <c r="K963" t="s" s="2">
        <v>17</v>
      </c>
      <c r="L963" s="3">
        <v>1</v>
      </c>
      <c r="M963" t="s" s="2">
        <v>18</v>
      </c>
      <c r="N963" t="s" s="2">
        <v>19</v>
      </c>
      <c r="O963" s="3">
        <v>39</v>
      </c>
      <c r="P963" t="str" s="8" cm="1">
        <f t="array" ref="P963">IF(O963="","check","Okay")</f>
        <v>Okay</v>
      </c>
      <c r="Q963" t="str" s="8" cm="1">
        <f t="array" ref="Q963">IF(O963&lt;30,"UNDER 30",IF(O963&lt;=50,"30-50","Over 50"))</f>
        <v>30-50</v>
      </c>
      <c r="R963" t="s" s="2">
        <v>17</v>
      </c>
      <c r="S963" s="3" cm="1">
        <f t="array" ref="S963">COUNTIF(A2:A1001,A963)</f>
        <v>1</v>
      </c>
      <c r="T963" t="str" s="8" cm="1">
        <f t="array" ref="T963">IF(ISNUMBER(F963),"Ok","check")</f>
        <v>Ok</v>
      </c>
      <c r="U963" t="str" s="8" cm="1">
        <f t="array" ref="U963">IF(ISNUMBER(O963),"ok","check")</f>
        <v>ok</v>
      </c>
    </row>
    <row r="964" ht="13.55" customHeight="1">
      <c r="A964" s="3">
        <v>17703</v>
      </c>
      <c r="B964" t="s" s="2">
        <v>13</v>
      </c>
      <c r="C964" t="str" s="8" cm="1">
        <f t="array" ref="C964">IF(B964="M","Married","Single")</f>
        <v>Married</v>
      </c>
      <c r="D964" t="s" s="2">
        <v>14</v>
      </c>
      <c r="E964" t="str" s="8" cm="1">
        <f t="array" ref="E964">IF(D964="M","Male",IF(D964="F","Female","Check"))</f>
        <v>Female</v>
      </c>
      <c r="F964" s="4">
        <v>10000</v>
      </c>
      <c r="G964" t="str" s="8" cm="1">
        <f t="array" ref="G964">IF(F964="","Check","okay")</f>
        <v>okay</v>
      </c>
      <c r="H964" s="3">
        <v>1</v>
      </c>
      <c r="I964" t="s" s="2">
        <v>34</v>
      </c>
      <c r="J964" t="s" s="2">
        <v>28</v>
      </c>
      <c r="K964" t="s" s="2">
        <v>17</v>
      </c>
      <c r="L964" s="3">
        <v>0</v>
      </c>
      <c r="M964" t="s" s="2">
        <v>18</v>
      </c>
      <c r="N964" t="s" s="2">
        <v>19</v>
      </c>
      <c r="O964" s="3">
        <v>40</v>
      </c>
      <c r="P964" t="str" s="8" cm="1">
        <f t="array" ref="P964">IF(O964="","check","Okay")</f>
        <v>Okay</v>
      </c>
      <c r="Q964" t="str" s="8" cm="1">
        <f t="array" ref="Q964">IF(O964&lt;30,"UNDER 30",IF(O964&lt;=50,"30-50","Over 50"))</f>
        <v>30-50</v>
      </c>
      <c r="R964" t="s" s="2">
        <v>20</v>
      </c>
      <c r="S964" s="3" cm="1">
        <f t="array" ref="S964">COUNTIF(A2:A1001,A964)</f>
        <v>1</v>
      </c>
      <c r="T964" t="str" s="8" cm="1">
        <f t="array" ref="T964">IF(ISNUMBER(F964),"Ok","check")</f>
        <v>Ok</v>
      </c>
      <c r="U964" t="str" s="8" cm="1">
        <f t="array" ref="U964">IF(ISNUMBER(O964),"ok","check")</f>
        <v>ok</v>
      </c>
    </row>
    <row r="965" ht="13.55" customHeight="1">
      <c r="A965" s="3">
        <v>16259</v>
      </c>
      <c r="B965" t="s" s="2">
        <v>25</v>
      </c>
      <c r="C965" t="str" s="8" cm="1">
        <f t="array" ref="C965">IF(B965="M","Married","Single")</f>
        <v>Single</v>
      </c>
      <c r="D965" t="s" s="2">
        <v>14</v>
      </c>
      <c r="E965" t="str" s="8" cm="1">
        <f t="array" ref="E965">IF(D965="M","Male",IF(D965="F","Female","Check"))</f>
        <v>Female</v>
      </c>
      <c r="F965" s="4">
        <v>10000</v>
      </c>
      <c r="G965" t="str" s="8" cm="1">
        <f t="array" ref="G965">IF(F965="","Check","okay")</f>
        <v>okay</v>
      </c>
      <c r="H965" s="3">
        <v>4</v>
      </c>
      <c r="I965" t="s" s="2">
        <v>32</v>
      </c>
      <c r="J965" t="s" s="2">
        <v>28</v>
      </c>
      <c r="K965" t="s" s="2">
        <v>17</v>
      </c>
      <c r="L965" s="3">
        <v>2</v>
      </c>
      <c r="M965" t="s" s="2">
        <v>18</v>
      </c>
      <c r="N965" t="s" s="2">
        <v>19</v>
      </c>
      <c r="O965" s="3">
        <v>40</v>
      </c>
      <c r="P965" t="str" s="8" cm="1">
        <f t="array" ref="P965">IF(O965="","check","Okay")</f>
        <v>Okay</v>
      </c>
      <c r="Q965" t="str" s="8" cm="1">
        <f t="array" ref="Q965">IF(O965&lt;30,"UNDER 30",IF(O965&lt;=50,"30-50","Over 50"))</f>
        <v>30-50</v>
      </c>
      <c r="R965" t="s" s="2">
        <v>17</v>
      </c>
      <c r="S965" s="3" cm="1">
        <f t="array" ref="S965">COUNTIF(A2:A1001,A965)</f>
        <v>1</v>
      </c>
      <c r="T965" t="str" s="8" cm="1">
        <f t="array" ref="T965">IF(ISNUMBER(F965),"Ok","check")</f>
        <v>Ok</v>
      </c>
      <c r="U965" t="str" s="8" cm="1">
        <f t="array" ref="U965">IF(ISNUMBER(O965),"ok","check")</f>
        <v>ok</v>
      </c>
    </row>
    <row r="966" ht="13.55" customHeight="1">
      <c r="A966" s="3">
        <v>19461</v>
      </c>
      <c r="B966" t="s" s="2">
        <v>25</v>
      </c>
      <c r="C966" t="str" s="8" cm="1">
        <f t="array" ref="C966">IF(B966="M","Married","Single")</f>
        <v>Single</v>
      </c>
      <c r="D966" t="s" s="2">
        <v>14</v>
      </c>
      <c r="E966" t="str" s="8" cm="1">
        <f t="array" ref="E966">IF(D966="M","Male",IF(D966="F","Female","Check"))</f>
        <v>Female</v>
      </c>
      <c r="F966" s="4">
        <v>10000</v>
      </c>
      <c r="G966" t="str" s="8" cm="1">
        <f t="array" ref="G966">IF(F966="","Check","okay")</f>
        <v>okay</v>
      </c>
      <c r="H966" s="3">
        <v>4</v>
      </c>
      <c r="I966" t="s" s="2">
        <v>32</v>
      </c>
      <c r="J966" t="s" s="2">
        <v>28</v>
      </c>
      <c r="K966" t="s" s="2">
        <v>17</v>
      </c>
      <c r="L966" s="3">
        <v>2</v>
      </c>
      <c r="M966" t="s" s="2">
        <v>18</v>
      </c>
      <c r="N966" t="s" s="2">
        <v>19</v>
      </c>
      <c r="O966" s="3">
        <v>40</v>
      </c>
      <c r="P966" t="str" s="8" cm="1">
        <f t="array" ref="P966">IF(O966="","check","Okay")</f>
        <v>Okay</v>
      </c>
      <c r="Q966" t="str" s="8" cm="1">
        <f t="array" ref="Q966">IF(O966&lt;30,"UNDER 30",IF(O966&lt;=50,"30-50","Over 50"))</f>
        <v>30-50</v>
      </c>
      <c r="R966" t="s" s="2">
        <v>20</v>
      </c>
      <c r="S966" s="3" cm="1">
        <f t="array" ref="S966">COUNTIF(A2:A1001,A966)</f>
        <v>1</v>
      </c>
      <c r="T966" t="str" s="8" cm="1">
        <f t="array" ref="T966">IF(ISNUMBER(F966),"Ok","check")</f>
        <v>Ok</v>
      </c>
      <c r="U966" t="str" s="8" cm="1">
        <f t="array" ref="U966">IF(ISNUMBER(O966),"ok","check")</f>
        <v>ok</v>
      </c>
    </row>
    <row r="967" ht="13.55" customHeight="1">
      <c r="A967" s="3">
        <v>24061</v>
      </c>
      <c r="B967" t="s" s="2">
        <v>13</v>
      </c>
      <c r="C967" t="str" s="8" cm="1">
        <f t="array" ref="C967">IF(B967="M","Married","Single")</f>
        <v>Married</v>
      </c>
      <c r="D967" t="s" s="2">
        <v>13</v>
      </c>
      <c r="E967" t="str" s="8" cm="1">
        <f t="array" ref="E967">IF(D967="M","Male",IF(D967="F","Female","Check"))</f>
        <v>Male</v>
      </c>
      <c r="F967" s="4">
        <v>10000</v>
      </c>
      <c r="G967" t="str" s="8" cm="1">
        <f t="array" ref="G967">IF(F967="","Check","okay")</f>
        <v>okay</v>
      </c>
      <c r="H967" s="3">
        <v>4</v>
      </c>
      <c r="I967" t="s" s="2">
        <v>32</v>
      </c>
      <c r="J967" t="s" s="2">
        <v>28</v>
      </c>
      <c r="K967" t="s" s="2">
        <v>17</v>
      </c>
      <c r="L967" s="3">
        <v>1</v>
      </c>
      <c r="M967" t="s" s="2">
        <v>18</v>
      </c>
      <c r="N967" t="s" s="2">
        <v>19</v>
      </c>
      <c r="O967" s="3">
        <v>40</v>
      </c>
      <c r="P967" t="str" s="8" cm="1">
        <f t="array" ref="P967">IF(O967="","check","Okay")</f>
        <v>Okay</v>
      </c>
      <c r="Q967" t="str" s="8" cm="1">
        <f t="array" ref="Q967">IF(O967&lt;30,"UNDER 30",IF(O967&lt;=50,"30-50","Over 50"))</f>
        <v>30-50</v>
      </c>
      <c r="R967" t="s" s="2">
        <v>17</v>
      </c>
      <c r="S967" s="3" cm="1">
        <f t="array" ref="S967">COUNTIF(A2:A1001,A967)</f>
        <v>1</v>
      </c>
      <c r="T967" t="str" s="8" cm="1">
        <f t="array" ref="T967">IF(ISNUMBER(F967),"Ok","check")</f>
        <v>Ok</v>
      </c>
      <c r="U967" t="str" s="8" cm="1">
        <f t="array" ref="U967">IF(ISNUMBER(O967),"ok","check")</f>
        <v>ok</v>
      </c>
    </row>
    <row r="968" ht="13.55" customHeight="1">
      <c r="A968" s="3">
        <v>14798</v>
      </c>
      <c r="B968" t="s" s="2">
        <v>25</v>
      </c>
      <c r="C968" t="str" s="8" cm="1">
        <f t="array" ref="C968">IF(B968="M","Married","Single")</f>
        <v>Single</v>
      </c>
      <c r="D968" t="s" s="2">
        <v>14</v>
      </c>
      <c r="E968" t="str" s="8" cm="1">
        <f t="array" ref="E968">IF(D968="M","Male",IF(D968="F","Female","Check"))</f>
        <v>Female</v>
      </c>
      <c r="F968" s="4">
        <v>10000</v>
      </c>
      <c r="G968" t="str" s="8" cm="1">
        <f t="array" ref="G968">IF(F968="","Check","okay")</f>
        <v>okay</v>
      </c>
      <c r="H968" s="3">
        <v>4</v>
      </c>
      <c r="I968" t="s" s="2">
        <v>32</v>
      </c>
      <c r="J968" t="s" s="2">
        <v>28</v>
      </c>
      <c r="K968" t="s" s="2">
        <v>17</v>
      </c>
      <c r="L968" s="3">
        <v>2</v>
      </c>
      <c r="M968" t="s" s="2">
        <v>18</v>
      </c>
      <c r="N968" t="s" s="2">
        <v>19</v>
      </c>
      <c r="O968" s="3">
        <v>41</v>
      </c>
      <c r="P968" t="str" s="8" cm="1">
        <f t="array" ref="P968">IF(O968="","check","Okay")</f>
        <v>Okay</v>
      </c>
      <c r="Q968" t="str" s="8" cm="1">
        <f t="array" ref="Q968">IF(O968&lt;30,"UNDER 30",IF(O968&lt;=50,"30-50","Over 50"))</f>
        <v>30-50</v>
      </c>
      <c r="R968" t="s" s="2">
        <v>17</v>
      </c>
      <c r="S968" s="3" cm="1">
        <f t="array" ref="S968">COUNTIF(A2:A1001,A968)</f>
        <v>1</v>
      </c>
      <c r="T968" t="str" s="8" cm="1">
        <f t="array" ref="T968">IF(ISNUMBER(F968),"Ok","check")</f>
        <v>Ok</v>
      </c>
      <c r="U968" t="str" s="8" cm="1">
        <f t="array" ref="U968">IF(ISNUMBER(O968),"ok","check")</f>
        <v>ok</v>
      </c>
    </row>
    <row r="969" ht="13.55" customHeight="1">
      <c r="A969" s="3">
        <v>16410</v>
      </c>
      <c r="B969" t="s" s="2">
        <v>25</v>
      </c>
      <c r="C969" t="str" s="8" cm="1">
        <f t="array" ref="C969">IF(B969="M","Married","Single")</f>
        <v>Single</v>
      </c>
      <c r="D969" t="s" s="2">
        <v>14</v>
      </c>
      <c r="E969" t="str" s="8" cm="1">
        <f t="array" ref="E969">IF(D969="M","Male",IF(D969="F","Female","Check"))</f>
        <v>Female</v>
      </c>
      <c r="F969" s="4">
        <v>10000</v>
      </c>
      <c r="G969" t="str" s="8" cm="1">
        <f t="array" ref="G969">IF(F969="","Check","okay")</f>
        <v>okay</v>
      </c>
      <c r="H969" s="3">
        <v>4</v>
      </c>
      <c r="I969" t="s" s="2">
        <v>32</v>
      </c>
      <c r="J969" t="s" s="2">
        <v>28</v>
      </c>
      <c r="K969" t="s" s="2">
        <v>17</v>
      </c>
      <c r="L969" s="3">
        <v>2</v>
      </c>
      <c r="M969" t="s" s="2">
        <v>18</v>
      </c>
      <c r="N969" t="s" s="2">
        <v>19</v>
      </c>
      <c r="O969" s="3">
        <v>41</v>
      </c>
      <c r="P969" t="str" s="8" cm="1">
        <f t="array" ref="P969">IF(O969="","check","Okay")</f>
        <v>Okay</v>
      </c>
      <c r="Q969" t="str" s="8" cm="1">
        <f t="array" ref="Q969">IF(O969&lt;30,"UNDER 30",IF(O969&lt;=50,"30-50","Over 50"))</f>
        <v>30-50</v>
      </c>
      <c r="R969" t="s" s="2">
        <v>17</v>
      </c>
      <c r="S969" s="3" cm="1">
        <f t="array" ref="S969">COUNTIF(A2:A1001,A969)</f>
        <v>1</v>
      </c>
      <c r="T969" t="str" s="8" cm="1">
        <f t="array" ref="T969">IF(ISNUMBER(F969),"Ok","check")</f>
        <v>Ok</v>
      </c>
      <c r="U969" t="str" s="8" cm="1">
        <f t="array" ref="U969">IF(ISNUMBER(O969),"ok","check")</f>
        <v>ok</v>
      </c>
    </row>
    <row r="970" ht="13.55" customHeight="1">
      <c r="A970" s="3">
        <v>28380</v>
      </c>
      <c r="B970" t="s" s="2">
        <v>25</v>
      </c>
      <c r="C970" t="str" s="8" cm="1">
        <f t="array" ref="C970">IF(B970="M","Married","Single")</f>
        <v>Single</v>
      </c>
      <c r="D970" t="s" s="2">
        <v>14</v>
      </c>
      <c r="E970" t="str" s="8" cm="1">
        <f t="array" ref="E970">IF(D970="M","Male",IF(D970="F","Female","Check"))</f>
        <v>Female</v>
      </c>
      <c r="F970" s="4">
        <v>10000</v>
      </c>
      <c r="G970" t="str" s="8" cm="1">
        <f t="array" ref="G970">IF(F970="","Check","okay")</f>
        <v>okay</v>
      </c>
      <c r="H970" s="3">
        <v>5</v>
      </c>
      <c r="I970" t="s" s="2">
        <v>32</v>
      </c>
      <c r="J970" t="s" s="2">
        <v>28</v>
      </c>
      <c r="K970" t="s" s="2">
        <v>20</v>
      </c>
      <c r="L970" s="3">
        <v>2</v>
      </c>
      <c r="M970" t="s" s="2">
        <v>18</v>
      </c>
      <c r="N970" t="s" s="2">
        <v>19</v>
      </c>
      <c r="O970" s="3">
        <v>41</v>
      </c>
      <c r="P970" t="str" s="8" cm="1">
        <f t="array" ref="P970">IF(O970="","check","Okay")</f>
        <v>Okay</v>
      </c>
      <c r="Q970" t="str" s="8" cm="1">
        <f t="array" ref="Q970">IF(O970&lt;30,"UNDER 30",IF(O970&lt;=50,"30-50","Over 50"))</f>
        <v>30-50</v>
      </c>
      <c r="R970" t="s" s="2">
        <v>20</v>
      </c>
      <c r="S970" s="3" cm="1">
        <f t="array" ref="S970">COUNTIF(A2:A1001,A970)</f>
        <v>1</v>
      </c>
      <c r="T970" t="str" s="8" cm="1">
        <f t="array" ref="T970">IF(ISNUMBER(F970),"Ok","check")</f>
        <v>Ok</v>
      </c>
      <c r="U970" t="str" s="8" cm="1">
        <f t="array" ref="U970">IF(ISNUMBER(O970),"ok","check")</f>
        <v>ok</v>
      </c>
    </row>
    <row r="971" ht="13.55" customHeight="1">
      <c r="A971" s="3">
        <v>14804</v>
      </c>
      <c r="B971" t="s" s="2">
        <v>25</v>
      </c>
      <c r="C971" t="str" s="8" cm="1">
        <f t="array" ref="C971">IF(B971="M","Married","Single")</f>
        <v>Single</v>
      </c>
      <c r="D971" t="s" s="2">
        <v>14</v>
      </c>
      <c r="E971" t="str" s="8" cm="1">
        <f t="array" ref="E971">IF(D971="M","Male",IF(D971="F","Female","Check"))</f>
        <v>Female</v>
      </c>
      <c r="F971" s="4">
        <v>10000</v>
      </c>
      <c r="G971" t="str" s="8" cm="1">
        <f t="array" ref="G971">IF(F971="","Check","okay")</f>
        <v>okay</v>
      </c>
      <c r="H971" s="3">
        <v>3</v>
      </c>
      <c r="I971" t="s" s="2">
        <v>32</v>
      </c>
      <c r="J971" t="s" s="2">
        <v>28</v>
      </c>
      <c r="K971" t="s" s="2">
        <v>17</v>
      </c>
      <c r="L971" s="3">
        <v>2</v>
      </c>
      <c r="M971" t="s" s="2">
        <v>18</v>
      </c>
      <c r="N971" t="s" s="2">
        <v>19</v>
      </c>
      <c r="O971" s="3">
        <v>43</v>
      </c>
      <c r="P971" t="str" s="8" cm="1">
        <f t="array" ref="P971">IF(O971="","check","Okay")</f>
        <v>Okay</v>
      </c>
      <c r="Q971" t="str" s="8" cm="1">
        <f t="array" ref="Q971">IF(O971&lt;30,"UNDER 30",IF(O971&lt;=50,"30-50","Over 50"))</f>
        <v>30-50</v>
      </c>
      <c r="R971" t="s" s="2">
        <v>20</v>
      </c>
      <c r="S971" s="3" cm="1">
        <f t="array" ref="S971">COUNTIF(A2:A1001,A971)</f>
        <v>1</v>
      </c>
      <c r="T971" t="str" s="8" cm="1">
        <f t="array" ref="T971">IF(ISNUMBER(F971),"Ok","check")</f>
        <v>Ok</v>
      </c>
      <c r="U971" t="str" s="8" cm="1">
        <f t="array" ref="U971">IF(ISNUMBER(O971),"ok","check")</f>
        <v>ok</v>
      </c>
    </row>
    <row r="972" ht="13.55" customHeight="1">
      <c r="A972" s="3">
        <v>14805</v>
      </c>
      <c r="B972" t="s" s="2">
        <v>25</v>
      </c>
      <c r="C972" t="str" s="8" cm="1">
        <f t="array" ref="C972">IF(B972="M","Married","Single")</f>
        <v>Single</v>
      </c>
      <c r="D972" t="s" s="2">
        <v>14</v>
      </c>
      <c r="E972" t="str" s="8" cm="1">
        <f t="array" ref="E972">IF(D972="M","Male",IF(D972="F","Female","Check"))</f>
        <v>Female</v>
      </c>
      <c r="F972" s="4">
        <v>10000</v>
      </c>
      <c r="G972" t="str" s="8" cm="1">
        <f t="array" ref="G972">IF(F972="","Check","okay")</f>
        <v>okay</v>
      </c>
      <c r="H972" s="3">
        <v>3</v>
      </c>
      <c r="I972" t="s" s="2">
        <v>32</v>
      </c>
      <c r="J972" t="s" s="2">
        <v>28</v>
      </c>
      <c r="K972" t="s" s="2">
        <v>17</v>
      </c>
      <c r="L972" s="3">
        <v>2</v>
      </c>
      <c r="M972" t="s" s="2">
        <v>18</v>
      </c>
      <c r="N972" t="s" s="2">
        <v>19</v>
      </c>
      <c r="O972" s="3">
        <v>43</v>
      </c>
      <c r="P972" t="str" s="8" cm="1">
        <f t="array" ref="P972">IF(O972="","check","Okay")</f>
        <v>Okay</v>
      </c>
      <c r="Q972" t="str" s="8" cm="1">
        <f t="array" ref="Q972">IF(O972&lt;30,"UNDER 30",IF(O972&lt;=50,"30-50","Over 50"))</f>
        <v>30-50</v>
      </c>
      <c r="R972" t="s" s="2">
        <v>20</v>
      </c>
      <c r="S972" s="3" cm="1">
        <f t="array" ref="S972">COUNTIF(A2:A1001,A972)</f>
        <v>1</v>
      </c>
      <c r="T972" t="str" s="8" cm="1">
        <f t="array" ref="T972">IF(ISNUMBER(F972),"Ok","check")</f>
        <v>Ok</v>
      </c>
      <c r="U972" t="str" s="8" cm="1">
        <f t="array" ref="U972">IF(ISNUMBER(O972),"ok","check")</f>
        <v>ok</v>
      </c>
    </row>
    <row r="973" ht="13.55" customHeight="1">
      <c r="A973" s="3">
        <v>26849</v>
      </c>
      <c r="B973" t="s" s="2">
        <v>13</v>
      </c>
      <c r="C973" t="str" s="8" cm="1">
        <f t="array" ref="C973">IF(B973="M","Married","Single")</f>
        <v>Married</v>
      </c>
      <c r="D973" t="s" s="2">
        <v>13</v>
      </c>
      <c r="E973" t="str" s="8" cm="1">
        <f t="array" ref="E973">IF(D973="M","Male",IF(D973="F","Female","Check"))</f>
        <v>Male</v>
      </c>
      <c r="F973" s="4">
        <v>10000</v>
      </c>
      <c r="G973" t="str" s="8" cm="1">
        <f t="array" ref="G973">IF(F973="","Check","okay")</f>
        <v>okay</v>
      </c>
      <c r="H973" s="3">
        <v>3</v>
      </c>
      <c r="I973" t="s" s="2">
        <v>32</v>
      </c>
      <c r="J973" t="s" s="2">
        <v>28</v>
      </c>
      <c r="K973" t="s" s="2">
        <v>17</v>
      </c>
      <c r="L973" s="3">
        <v>2</v>
      </c>
      <c r="M973" t="s" s="2">
        <v>18</v>
      </c>
      <c r="N973" t="s" s="2">
        <v>19</v>
      </c>
      <c r="O973" s="3">
        <v>43</v>
      </c>
      <c r="P973" t="str" s="8" cm="1">
        <f t="array" ref="P973">IF(O973="","check","Okay")</f>
        <v>Okay</v>
      </c>
      <c r="Q973" t="str" s="8" cm="1">
        <f t="array" ref="Q973">IF(O973&lt;30,"UNDER 30",IF(O973&lt;=50,"30-50","Over 50"))</f>
        <v>30-50</v>
      </c>
      <c r="R973" t="s" s="2">
        <v>20</v>
      </c>
      <c r="S973" s="3" cm="1">
        <f t="array" ref="S973">COUNTIF(A2:A1001,A973)</f>
        <v>1</v>
      </c>
      <c r="T973" t="str" s="8" cm="1">
        <f t="array" ref="T973">IF(ISNUMBER(F973),"Ok","check")</f>
        <v>Ok</v>
      </c>
      <c r="U973" t="str" s="8" cm="1">
        <f t="array" ref="U973">IF(ISNUMBER(O973),"ok","check")</f>
        <v>ok</v>
      </c>
    </row>
    <row r="974" ht="13.55" customHeight="1">
      <c r="A974" s="3">
        <v>22381</v>
      </c>
      <c r="B974" t="s" s="2">
        <v>13</v>
      </c>
      <c r="C974" t="str" s="8" cm="1">
        <f t="array" ref="C974">IF(B974="M","Married","Single")</f>
        <v>Married</v>
      </c>
      <c r="D974" t="s" s="2">
        <v>13</v>
      </c>
      <c r="E974" t="str" s="8" cm="1">
        <f t="array" ref="E974">IF(D974="M","Male",IF(D974="F","Female","Check"))</f>
        <v>Male</v>
      </c>
      <c r="F974" s="4">
        <v>10000</v>
      </c>
      <c r="G974" t="str" s="8" cm="1">
        <f t="array" ref="G974">IF(F974="","Check","okay")</f>
        <v>okay</v>
      </c>
      <c r="H974" s="3">
        <v>1</v>
      </c>
      <c r="I974" t="s" s="2">
        <v>34</v>
      </c>
      <c r="J974" t="s" s="2">
        <v>28</v>
      </c>
      <c r="K974" t="s" s="2">
        <v>17</v>
      </c>
      <c r="L974" s="3">
        <v>0</v>
      </c>
      <c r="M974" t="s" s="2">
        <v>18</v>
      </c>
      <c r="N974" t="s" s="2">
        <v>19</v>
      </c>
      <c r="O974" s="3">
        <v>44</v>
      </c>
      <c r="P974" t="str" s="8" cm="1">
        <f t="array" ref="P974">IF(O974="","check","Okay")</f>
        <v>Okay</v>
      </c>
      <c r="Q974" t="str" s="8" cm="1">
        <f t="array" ref="Q974">IF(O974&lt;30,"UNDER 30",IF(O974&lt;=50,"30-50","Over 50"))</f>
        <v>30-50</v>
      </c>
      <c r="R974" t="s" s="2">
        <v>20</v>
      </c>
      <c r="S974" s="3" cm="1">
        <f t="array" ref="S974">COUNTIF(A2:A1001,A974)</f>
        <v>1</v>
      </c>
      <c r="T974" t="str" s="8" cm="1">
        <f t="array" ref="T974">IF(ISNUMBER(F974),"Ok","check")</f>
        <v>Ok</v>
      </c>
      <c r="U974" t="str" s="8" cm="1">
        <f t="array" ref="U974">IF(ISNUMBER(O974),"ok","check")</f>
        <v>ok</v>
      </c>
    </row>
    <row r="975" ht="13.55" customHeight="1">
      <c r="A975" s="3">
        <v>25529</v>
      </c>
      <c r="B975" t="s" s="2">
        <v>25</v>
      </c>
      <c r="C975" t="str" s="8" cm="1">
        <f t="array" ref="C975">IF(B975="M","Married","Single")</f>
        <v>Single</v>
      </c>
      <c r="D975" t="s" s="2">
        <v>13</v>
      </c>
      <c r="E975" t="str" s="8" cm="1">
        <f t="array" ref="E975">IF(D975="M","Male",IF(D975="F","Female","Check"))</f>
        <v>Male</v>
      </c>
      <c r="F975" s="4">
        <v>10000</v>
      </c>
      <c r="G975" t="str" s="8" cm="1">
        <f t="array" ref="G975">IF(F975="","Check","okay")</f>
        <v>okay</v>
      </c>
      <c r="H975" s="3">
        <v>1</v>
      </c>
      <c r="I975" t="s" s="2">
        <v>34</v>
      </c>
      <c r="J975" t="s" s="2">
        <v>28</v>
      </c>
      <c r="K975" t="s" s="2">
        <v>17</v>
      </c>
      <c r="L975" s="3">
        <v>0</v>
      </c>
      <c r="M975" t="s" s="2">
        <v>18</v>
      </c>
      <c r="N975" t="s" s="2">
        <v>19</v>
      </c>
      <c r="O975" s="3">
        <v>44</v>
      </c>
      <c r="P975" t="str" s="8" cm="1">
        <f t="array" ref="P975">IF(O975="","check","Okay")</f>
        <v>Okay</v>
      </c>
      <c r="Q975" t="str" s="8" cm="1">
        <f t="array" ref="Q975">IF(O975&lt;30,"UNDER 30",IF(O975&lt;=50,"30-50","Over 50"))</f>
        <v>30-50</v>
      </c>
      <c r="R975" t="s" s="2">
        <v>20</v>
      </c>
      <c r="S975" s="3" cm="1">
        <f t="array" ref="S975">COUNTIF(A2:A1001,A975)</f>
        <v>1</v>
      </c>
      <c r="T975" t="str" s="8" cm="1">
        <f t="array" ref="T975">IF(ISNUMBER(F975),"Ok","check")</f>
        <v>Ok</v>
      </c>
      <c r="U975" t="str" s="8" cm="1">
        <f t="array" ref="U975">IF(ISNUMBER(O975),"ok","check")</f>
        <v>ok</v>
      </c>
    </row>
    <row r="976" ht="13.55" customHeight="1">
      <c r="A976" s="3">
        <v>24185</v>
      </c>
      <c r="B976" t="s" s="2">
        <v>25</v>
      </c>
      <c r="C976" t="str" s="8" cm="1">
        <f t="array" ref="C976">IF(B976="M","Married","Single")</f>
        <v>Single</v>
      </c>
      <c r="D976" t="s" s="2">
        <v>14</v>
      </c>
      <c r="E976" t="str" s="8" cm="1">
        <f t="array" ref="E976">IF(D976="M","Male",IF(D976="F","Female","Check"))</f>
        <v>Female</v>
      </c>
      <c r="F976" s="4">
        <v>10000</v>
      </c>
      <c r="G976" t="str" s="8" cm="1">
        <f t="array" ref="G976">IF(F976="","Check","okay")</f>
        <v>okay</v>
      </c>
      <c r="H976" s="3">
        <v>1</v>
      </c>
      <c r="I976" t="s" s="2">
        <v>30</v>
      </c>
      <c r="J976" t="s" s="2">
        <v>28</v>
      </c>
      <c r="K976" t="s" s="2">
        <v>20</v>
      </c>
      <c r="L976" s="3">
        <v>1</v>
      </c>
      <c r="M976" t="s" s="2">
        <v>29</v>
      </c>
      <c r="N976" t="s" s="2">
        <v>19</v>
      </c>
      <c r="O976" s="3">
        <v>45</v>
      </c>
      <c r="P976" t="str" s="8" cm="1">
        <f t="array" ref="P976">IF(O976="","check","Okay")</f>
        <v>Okay</v>
      </c>
      <c r="Q976" t="str" s="8" cm="1">
        <f t="array" ref="Q976">IF(O976&lt;30,"UNDER 30",IF(O976&lt;=50,"30-50","Over 50"))</f>
        <v>30-50</v>
      </c>
      <c r="R976" t="s" s="2">
        <v>20</v>
      </c>
      <c r="S976" s="3" cm="1">
        <f t="array" ref="S976">COUNTIF(A2:A1001,A976)</f>
        <v>1</v>
      </c>
      <c r="T976" t="str" s="8" cm="1">
        <f t="array" ref="T976">IF(ISNUMBER(F976),"Ok","check")</f>
        <v>Ok</v>
      </c>
      <c r="U976" t="str" s="8" cm="1">
        <f t="array" ref="U976">IF(ISNUMBER(O976),"ok","check")</f>
        <v>ok</v>
      </c>
    </row>
    <row r="977" ht="13.55" customHeight="1">
      <c r="A977" s="3">
        <v>11378</v>
      </c>
      <c r="B977" t="s" s="2">
        <v>25</v>
      </c>
      <c r="C977" t="str" s="8" cm="1">
        <f t="array" ref="C977">IF(B977="M","Married","Single")</f>
        <v>Single</v>
      </c>
      <c r="D977" t="s" s="2">
        <v>14</v>
      </c>
      <c r="E977" t="str" s="8" cm="1">
        <f t="array" ref="E977">IF(D977="M","Male",IF(D977="F","Female","Check"))</f>
        <v>Female</v>
      </c>
      <c r="F977" s="4">
        <v>10000</v>
      </c>
      <c r="G977" t="str" s="8" cm="1">
        <f t="array" ref="G977">IF(F977="","Check","okay")</f>
        <v>okay</v>
      </c>
      <c r="H977" s="3">
        <v>1</v>
      </c>
      <c r="I977" t="s" s="2">
        <v>30</v>
      </c>
      <c r="J977" t="s" s="2">
        <v>28</v>
      </c>
      <c r="K977" t="s" s="2">
        <v>20</v>
      </c>
      <c r="L977" s="3">
        <v>1</v>
      </c>
      <c r="M977" t="s" s="2">
        <v>24</v>
      </c>
      <c r="N977" t="s" s="2">
        <v>19</v>
      </c>
      <c r="O977" s="3">
        <v>46</v>
      </c>
      <c r="P977" t="str" s="8" cm="1">
        <f t="array" ref="P977">IF(O977="","check","Okay")</f>
        <v>Okay</v>
      </c>
      <c r="Q977" t="str" s="8" cm="1">
        <f t="array" ref="Q977">IF(O977&lt;30,"UNDER 30",IF(O977&lt;=50,"30-50","Over 50"))</f>
        <v>30-50</v>
      </c>
      <c r="R977" t="s" s="2">
        <v>17</v>
      </c>
      <c r="S977" s="3" cm="1">
        <f t="array" ref="S977">COUNTIF(A2:A1001,A977)</f>
        <v>1</v>
      </c>
      <c r="T977" t="str" s="8" cm="1">
        <f t="array" ref="T977">IF(ISNUMBER(F977),"Ok","check")</f>
        <v>Ok</v>
      </c>
      <c r="U977" t="str" s="8" cm="1">
        <f t="array" ref="U977">IF(ISNUMBER(O977),"ok","check")</f>
        <v>ok</v>
      </c>
    </row>
    <row r="978" ht="13.55" customHeight="1">
      <c r="A978" s="3">
        <v>20797</v>
      </c>
      <c r="B978" t="s" s="2">
        <v>13</v>
      </c>
      <c r="C978" t="str" s="8" cm="1">
        <f t="array" ref="C978">IF(B978="M","Married","Single")</f>
        <v>Married</v>
      </c>
      <c r="D978" t="s" s="2">
        <v>14</v>
      </c>
      <c r="E978" t="str" s="8" cm="1">
        <f t="array" ref="E978">IF(D978="M","Male",IF(D978="F","Female","Check"))</f>
        <v>Female</v>
      </c>
      <c r="F978" s="4">
        <v>10000</v>
      </c>
      <c r="G978" t="str" s="8" cm="1">
        <f t="array" ref="G978">IF(F978="","Check","okay")</f>
        <v>okay</v>
      </c>
      <c r="H978" s="3">
        <v>1</v>
      </c>
      <c r="I978" t="s" s="2">
        <v>15</v>
      </c>
      <c r="J978" t="s" s="2">
        <v>28</v>
      </c>
      <c r="K978" t="s" s="2">
        <v>17</v>
      </c>
      <c r="L978" s="3">
        <v>0</v>
      </c>
      <c r="M978" t="s" s="2">
        <v>18</v>
      </c>
      <c r="N978" t="s" s="2">
        <v>19</v>
      </c>
      <c r="O978" s="3">
        <v>48</v>
      </c>
      <c r="P978" t="str" s="8" cm="1">
        <f t="array" ref="P978">IF(O978="","check","Okay")</f>
        <v>Okay</v>
      </c>
      <c r="Q978" t="str" s="8" cm="1">
        <f t="array" ref="Q978">IF(O978&lt;30,"UNDER 30",IF(O978&lt;=50,"30-50","Over 50"))</f>
        <v>30-50</v>
      </c>
      <c r="R978" t="s" s="2">
        <v>20</v>
      </c>
      <c r="S978" s="3" cm="1">
        <f t="array" ref="S978">COUNTIF(A2:A1001,A978)</f>
        <v>1</v>
      </c>
      <c r="T978" t="str" s="8" cm="1">
        <f t="array" ref="T978">IF(ISNUMBER(F978),"Ok","check")</f>
        <v>Ok</v>
      </c>
      <c r="U978" t="str" s="8" cm="1">
        <f t="array" ref="U978">IF(ISNUMBER(O978),"ok","check")</f>
        <v>ok</v>
      </c>
    </row>
    <row r="979" ht="13.55" customHeight="1">
      <c r="A979" s="3">
        <v>16043</v>
      </c>
      <c r="B979" t="s" s="2">
        <v>25</v>
      </c>
      <c r="C979" t="str" s="8" cm="1">
        <f t="array" ref="C979">IF(B979="M","Married","Single")</f>
        <v>Single</v>
      </c>
      <c r="D979" t="s" s="2">
        <v>13</v>
      </c>
      <c r="E979" t="str" s="8" cm="1">
        <f t="array" ref="E979">IF(D979="M","Male",IF(D979="F","Female","Check"))</f>
        <v>Male</v>
      </c>
      <c r="F979" s="4">
        <v>10000</v>
      </c>
      <c r="G979" t="str" s="8" cm="1">
        <f t="array" ref="G979">IF(F979="","Check","okay")</f>
        <v>okay</v>
      </c>
      <c r="H979" s="3">
        <v>1</v>
      </c>
      <c r="I979" t="s" s="2">
        <v>15</v>
      </c>
      <c r="J979" t="s" s="2">
        <v>28</v>
      </c>
      <c r="K979" t="s" s="2">
        <v>17</v>
      </c>
      <c r="L979" s="3">
        <v>0</v>
      </c>
      <c r="M979" t="s" s="2">
        <v>18</v>
      </c>
      <c r="N979" t="s" s="2">
        <v>19</v>
      </c>
      <c r="O979" s="3">
        <v>48</v>
      </c>
      <c r="P979" t="str" s="8" cm="1">
        <f t="array" ref="P979">IF(O979="","check","Okay")</f>
        <v>Okay</v>
      </c>
      <c r="Q979" t="str" s="8" cm="1">
        <f t="array" ref="Q979">IF(O979&lt;30,"UNDER 30",IF(O979&lt;=50,"30-50","Over 50"))</f>
        <v>30-50</v>
      </c>
      <c r="R979" t="s" s="2">
        <v>20</v>
      </c>
      <c r="S979" s="3" cm="1">
        <f t="array" ref="S979">COUNTIF(A2:A1001,A979)</f>
        <v>1</v>
      </c>
      <c r="T979" t="str" s="8" cm="1">
        <f t="array" ref="T979">IF(ISNUMBER(F979),"Ok","check")</f>
        <v>Ok</v>
      </c>
      <c r="U979" t="str" s="8" cm="1">
        <f t="array" ref="U979">IF(ISNUMBER(O979),"ok","check")</f>
        <v>ok</v>
      </c>
    </row>
    <row r="980" ht="13.55" customHeight="1">
      <c r="A980" s="3">
        <v>14545</v>
      </c>
      <c r="B980" t="s" s="2">
        <v>13</v>
      </c>
      <c r="C980" t="str" s="8" cm="1">
        <f t="array" ref="C980">IF(B980="M","Married","Single")</f>
        <v>Married</v>
      </c>
      <c r="D980" t="s" s="2">
        <v>14</v>
      </c>
      <c r="E980" t="str" s="8" cm="1">
        <f t="array" ref="E980">IF(D980="M","Male",IF(D980="F","Female","Check"))</f>
        <v>Female</v>
      </c>
      <c r="F980" s="4">
        <v>10000</v>
      </c>
      <c r="G980" t="str" s="8" cm="1">
        <f t="array" ref="G980">IF(F980="","Check","okay")</f>
        <v>okay</v>
      </c>
      <c r="H980" s="3">
        <v>2</v>
      </c>
      <c r="I980" t="s" s="2">
        <v>21</v>
      </c>
      <c r="J980" t="s" s="2">
        <v>28</v>
      </c>
      <c r="K980" t="s" s="2">
        <v>17</v>
      </c>
      <c r="L980" s="3">
        <v>0</v>
      </c>
      <c r="M980" t="s" s="2">
        <v>29</v>
      </c>
      <c r="N980" t="s" s="2">
        <v>19</v>
      </c>
      <c r="O980" s="3">
        <v>49</v>
      </c>
      <c r="P980" t="str" s="8" cm="1">
        <f t="array" ref="P980">IF(O980="","check","Okay")</f>
        <v>Okay</v>
      </c>
      <c r="Q980" t="str" s="8" cm="1">
        <f t="array" ref="Q980">IF(O980&lt;30,"UNDER 30",IF(O980&lt;=50,"30-50","Over 50"))</f>
        <v>30-50</v>
      </c>
      <c r="R980" t="s" s="2">
        <v>20</v>
      </c>
      <c r="S980" s="3" cm="1">
        <f t="array" ref="S980">COUNTIF(A2:A1001,A980)</f>
        <v>1</v>
      </c>
      <c r="T980" t="str" s="8" cm="1">
        <f t="array" ref="T980">IF(ISNUMBER(F980),"Ok","check")</f>
        <v>Ok</v>
      </c>
      <c r="U980" t="str" s="8" cm="1">
        <f t="array" ref="U980">IF(ISNUMBER(O980),"ok","check")</f>
        <v>ok</v>
      </c>
    </row>
    <row r="981" ht="13.55" customHeight="1">
      <c r="A981" s="3">
        <v>24149</v>
      </c>
      <c r="B981" t="s" s="2">
        <v>13</v>
      </c>
      <c r="C981" t="str" s="8" cm="1">
        <f t="array" ref="C981">IF(B981="M","Married","Single")</f>
        <v>Married</v>
      </c>
      <c r="D981" t="s" s="2">
        <v>13</v>
      </c>
      <c r="E981" t="str" s="8" cm="1">
        <f t="array" ref="E981">IF(D981="M","Male",IF(D981="F","Female","Check"))</f>
        <v>Male</v>
      </c>
      <c r="F981" s="4">
        <v>10000</v>
      </c>
      <c r="G981" t="str" s="8" cm="1">
        <f t="array" ref="G981">IF(F981="","Check","okay")</f>
        <v>okay</v>
      </c>
      <c r="H981" s="3">
        <v>2</v>
      </c>
      <c r="I981" t="s" s="2">
        <v>21</v>
      </c>
      <c r="J981" t="s" s="2">
        <v>28</v>
      </c>
      <c r="K981" t="s" s="2">
        <v>17</v>
      </c>
      <c r="L981" s="3">
        <v>0</v>
      </c>
      <c r="M981" t="s" s="2">
        <v>29</v>
      </c>
      <c r="N981" t="s" s="2">
        <v>19</v>
      </c>
      <c r="O981" s="3">
        <v>49</v>
      </c>
      <c r="P981" t="str" s="8" cm="1">
        <f t="array" ref="P981">IF(O981="","check","Okay")</f>
        <v>Okay</v>
      </c>
      <c r="Q981" t="str" s="8" cm="1">
        <f t="array" ref="Q981">IF(O981&lt;30,"UNDER 30",IF(O981&lt;=50,"30-50","Over 50"))</f>
        <v>30-50</v>
      </c>
      <c r="R981" t="s" s="2">
        <v>20</v>
      </c>
      <c r="S981" s="3" cm="1">
        <f t="array" ref="S981">COUNTIF(A2:A1001,A981)</f>
        <v>1</v>
      </c>
      <c r="T981" t="str" s="8" cm="1">
        <f t="array" ref="T981">IF(ISNUMBER(F981),"Ok","check")</f>
        <v>Ok</v>
      </c>
      <c r="U981" t="str" s="8" cm="1">
        <f t="array" ref="U981">IF(ISNUMBER(O981),"ok","check")</f>
        <v>ok</v>
      </c>
    </row>
    <row r="982" ht="13.55" customHeight="1">
      <c r="A982" s="3">
        <v>14544</v>
      </c>
      <c r="B982" t="s" s="2">
        <v>25</v>
      </c>
      <c r="C982" t="str" s="8" cm="1">
        <f t="array" ref="C982">IF(B982="M","Married","Single")</f>
        <v>Single</v>
      </c>
      <c r="D982" t="s" s="2">
        <v>13</v>
      </c>
      <c r="E982" t="str" s="8" cm="1">
        <f t="array" ref="E982">IF(D982="M","Male",IF(D982="F","Female","Check"))</f>
        <v>Male</v>
      </c>
      <c r="F982" s="4">
        <v>10000</v>
      </c>
      <c r="G982" t="str" s="8" cm="1">
        <f t="array" ref="G982">IF(F982="","Check","okay")</f>
        <v>okay</v>
      </c>
      <c r="H982" s="3">
        <v>1</v>
      </c>
      <c r="I982" t="s" s="2">
        <v>21</v>
      </c>
      <c r="J982" t="s" s="2">
        <v>28</v>
      </c>
      <c r="K982" t="s" s="2">
        <v>17</v>
      </c>
      <c r="L982" s="3">
        <v>0</v>
      </c>
      <c r="M982" t="s" s="2">
        <v>18</v>
      </c>
      <c r="N982" t="s" s="2">
        <v>19</v>
      </c>
      <c r="O982" s="3">
        <v>49</v>
      </c>
      <c r="P982" t="str" s="8" cm="1">
        <f t="array" ref="P982">IF(O982="","check","Okay")</f>
        <v>Okay</v>
      </c>
      <c r="Q982" t="str" s="8" cm="1">
        <f t="array" ref="Q982">IF(O982&lt;30,"UNDER 30",IF(O982&lt;=50,"30-50","Over 50"))</f>
        <v>30-50</v>
      </c>
      <c r="R982" t="s" s="2">
        <v>20</v>
      </c>
      <c r="S982" s="3" cm="1">
        <f t="array" ref="S982">COUNTIF(A2:A1001,A982)</f>
        <v>1</v>
      </c>
      <c r="T982" t="str" s="8" cm="1">
        <f t="array" ref="T982">IF(ISNUMBER(F982),"Ok","check")</f>
        <v>Ok</v>
      </c>
      <c r="U982" t="str" s="8" cm="1">
        <f t="array" ref="U982">IF(ISNUMBER(O982),"ok","check")</f>
        <v>ok</v>
      </c>
    </row>
    <row r="983" ht="13.55" customHeight="1">
      <c r="A983" s="3">
        <v>13507</v>
      </c>
      <c r="B983" t="s" s="2">
        <v>13</v>
      </c>
      <c r="C983" t="str" s="8" cm="1">
        <f t="array" ref="C983">IF(B983="M","Married","Single")</f>
        <v>Married</v>
      </c>
      <c r="D983" t="s" s="2">
        <v>14</v>
      </c>
      <c r="E983" t="str" s="8" cm="1">
        <f t="array" ref="E983">IF(D983="M","Male",IF(D983="F","Female","Check"))</f>
        <v>Female</v>
      </c>
      <c r="F983" s="4">
        <v>10000</v>
      </c>
      <c r="G983" t="str" s="8" cm="1">
        <f t="array" ref="G983">IF(F983="","Check","okay")</f>
        <v>okay</v>
      </c>
      <c r="H983" s="3">
        <v>2</v>
      </c>
      <c r="I983" t="s" s="2">
        <v>21</v>
      </c>
      <c r="J983" t="s" s="2">
        <v>28</v>
      </c>
      <c r="K983" t="s" s="2">
        <v>17</v>
      </c>
      <c r="L983" s="3">
        <v>0</v>
      </c>
      <c r="M983" t="s" s="2">
        <v>29</v>
      </c>
      <c r="N983" t="s" s="2">
        <v>19</v>
      </c>
      <c r="O983" s="3">
        <v>50</v>
      </c>
      <c r="P983" t="str" s="8" cm="1">
        <f t="array" ref="P983">IF(O983="","check","Okay")</f>
        <v>Okay</v>
      </c>
      <c r="Q983" t="str" s="8" cm="1">
        <f t="array" ref="Q983">IF(O983&lt;30,"UNDER 30",IF(O983&lt;=50,"30-50","Over 50"))</f>
        <v>30-50</v>
      </c>
      <c r="R983" t="s" s="2">
        <v>20</v>
      </c>
      <c r="S983" s="3" cm="1">
        <f t="array" ref="S983">COUNTIF(A2:A1001,A983)</f>
        <v>1</v>
      </c>
      <c r="T983" t="str" s="8" cm="1">
        <f t="array" ref="T983">IF(ISNUMBER(F983),"Ok","check")</f>
        <v>Ok</v>
      </c>
      <c r="U983" t="str" s="8" cm="1">
        <f t="array" ref="U983">IF(ISNUMBER(O983),"ok","check")</f>
        <v>ok</v>
      </c>
    </row>
    <row r="984" ht="13.55" customHeight="1">
      <c r="A984" s="3">
        <v>17891</v>
      </c>
      <c r="B984" t="s" s="2">
        <v>13</v>
      </c>
      <c r="C984" t="str" s="8" cm="1">
        <f t="array" ref="C984">IF(B984="M","Married","Single")</f>
        <v>Married</v>
      </c>
      <c r="D984" t="s" s="2">
        <v>14</v>
      </c>
      <c r="E984" t="str" s="8" cm="1">
        <f t="array" ref="E984">IF(D984="M","Male",IF(D984="F","Female","Check"))</f>
        <v>Female</v>
      </c>
      <c r="F984" s="4">
        <v>10000</v>
      </c>
      <c r="G984" t="str" s="8" cm="1">
        <f t="array" ref="G984">IF(F984="","Check","okay")</f>
        <v>okay</v>
      </c>
      <c r="H984" s="3">
        <v>2</v>
      </c>
      <c r="I984" t="s" s="2">
        <v>21</v>
      </c>
      <c r="J984" t="s" s="2">
        <v>28</v>
      </c>
      <c r="K984" t="s" s="2">
        <v>17</v>
      </c>
      <c r="L984" s="3">
        <v>1</v>
      </c>
      <c r="M984" t="s" s="2">
        <v>18</v>
      </c>
      <c r="N984" t="s" s="2">
        <v>19</v>
      </c>
      <c r="O984" s="3">
        <v>50</v>
      </c>
      <c r="P984" t="str" s="8" cm="1">
        <f t="array" ref="P984">IF(O984="","check","Okay")</f>
        <v>Okay</v>
      </c>
      <c r="Q984" t="str" s="8" cm="1">
        <f t="array" ref="Q984">IF(O984&lt;30,"UNDER 30",IF(O984&lt;=50,"30-50","Over 50"))</f>
        <v>30-50</v>
      </c>
      <c r="R984" t="s" s="2">
        <v>17</v>
      </c>
      <c r="S984" s="3" cm="1">
        <f t="array" ref="S984">COUNTIF(A2:A1001,A984)</f>
        <v>1</v>
      </c>
      <c r="T984" t="str" s="8" cm="1">
        <f t="array" ref="T984">IF(ISNUMBER(F984),"Ok","check")</f>
        <v>Ok</v>
      </c>
      <c r="U984" t="str" s="8" cm="1">
        <f t="array" ref="U984">IF(ISNUMBER(O984),"ok","check")</f>
        <v>ok</v>
      </c>
    </row>
    <row r="985" ht="13.55" customHeight="1">
      <c r="A985" s="3">
        <v>23979</v>
      </c>
      <c r="B985" t="s" s="2">
        <v>25</v>
      </c>
      <c r="C985" t="str" s="8" cm="1">
        <f t="array" ref="C985">IF(B985="M","Married","Single")</f>
        <v>Single</v>
      </c>
      <c r="D985" t="s" s="2">
        <v>13</v>
      </c>
      <c r="E985" t="str" s="8" cm="1">
        <f t="array" ref="E985">IF(D985="M","Male",IF(D985="F","Female","Check"))</f>
        <v>Male</v>
      </c>
      <c r="F985" s="4">
        <v>10000</v>
      </c>
      <c r="G985" t="str" s="8" cm="1">
        <f t="array" ref="G985">IF(F985="","Check","okay")</f>
        <v>okay</v>
      </c>
      <c r="H985" s="3">
        <v>2</v>
      </c>
      <c r="I985" t="s" s="2">
        <v>21</v>
      </c>
      <c r="J985" t="s" s="2">
        <v>28</v>
      </c>
      <c r="K985" t="s" s="2">
        <v>20</v>
      </c>
      <c r="L985" s="3">
        <v>0</v>
      </c>
      <c r="M985" t="s" s="2">
        <v>18</v>
      </c>
      <c r="N985" t="s" s="2">
        <v>19</v>
      </c>
      <c r="O985" s="3">
        <v>50</v>
      </c>
      <c r="P985" t="str" s="8" cm="1">
        <f t="array" ref="P985">IF(O985="","check","Okay")</f>
        <v>Okay</v>
      </c>
      <c r="Q985" t="str" s="8" cm="1">
        <f t="array" ref="Q985">IF(O985&lt;30,"UNDER 30",IF(O985&lt;=50,"30-50","Over 50"))</f>
        <v>30-50</v>
      </c>
      <c r="R985" t="s" s="2">
        <v>20</v>
      </c>
      <c r="S985" s="3" cm="1">
        <f t="array" ref="S985">COUNTIF(A2:A1001,A985)</f>
        <v>1</v>
      </c>
      <c r="T985" t="str" s="8" cm="1">
        <f t="array" ref="T985">IF(ISNUMBER(F985),"Ok","check")</f>
        <v>Ok</v>
      </c>
      <c r="U985" t="str" s="8" cm="1">
        <f t="array" ref="U985">IF(ISNUMBER(O985),"ok","check")</f>
        <v>ok</v>
      </c>
    </row>
    <row r="986" ht="13.55" customHeight="1">
      <c r="A986" s="3">
        <v>28468</v>
      </c>
      <c r="B986" t="s" s="2">
        <v>13</v>
      </c>
      <c r="C986" t="str" s="8" cm="1">
        <f t="array" ref="C986">IF(B986="M","Married","Single")</f>
        <v>Married</v>
      </c>
      <c r="D986" t="s" s="2">
        <v>14</v>
      </c>
      <c r="E986" t="str" s="8" cm="1">
        <f t="array" ref="E986">IF(D986="M","Male",IF(D986="F","Female","Check"))</f>
        <v>Female</v>
      </c>
      <c r="F986" s="4">
        <v>10000</v>
      </c>
      <c r="G986" t="str" s="8" cm="1">
        <f t="array" ref="G986">IF(F986="","Check","okay")</f>
        <v>okay</v>
      </c>
      <c r="H986" s="3">
        <v>2</v>
      </c>
      <c r="I986" t="s" s="2">
        <v>21</v>
      </c>
      <c r="J986" t="s" s="2">
        <v>28</v>
      </c>
      <c r="K986" t="s" s="2">
        <v>17</v>
      </c>
      <c r="L986" s="3">
        <v>0</v>
      </c>
      <c r="M986" t="s" s="2">
        <v>29</v>
      </c>
      <c r="N986" t="s" s="2">
        <v>19</v>
      </c>
      <c r="O986" s="3">
        <v>51</v>
      </c>
      <c r="P986" t="str" s="8" cm="1">
        <f t="array" ref="P986">IF(O986="","check","Okay")</f>
        <v>Okay</v>
      </c>
      <c r="Q986" t="str" s="8" cm="1">
        <f t="array" ref="Q986">IF(O986&lt;30,"UNDER 30",IF(O986&lt;=50,"30-50","Over 50"))</f>
        <v>Over 50</v>
      </c>
      <c r="R986" t="s" s="2">
        <v>20</v>
      </c>
      <c r="S986" s="3" cm="1">
        <f t="array" ref="S986">COUNTIF(A2:A1001,A986)</f>
        <v>1</v>
      </c>
      <c r="T986" t="str" s="8" cm="1">
        <f t="array" ref="T986">IF(ISNUMBER(F986),"Ok","check")</f>
        <v>Ok</v>
      </c>
      <c r="U986" t="str" s="8" cm="1">
        <f t="array" ref="U986">IF(ISNUMBER(O986),"ok","check")</f>
        <v>ok</v>
      </c>
    </row>
    <row r="987" ht="13.55" customHeight="1">
      <c r="A987" s="3">
        <v>12231</v>
      </c>
      <c r="B987" t="s" s="2">
        <v>25</v>
      </c>
      <c r="C987" t="str" s="8" cm="1">
        <f t="array" ref="C987">IF(B987="M","Married","Single")</f>
        <v>Single</v>
      </c>
      <c r="D987" t="s" s="2">
        <v>14</v>
      </c>
      <c r="E987" t="str" s="8" cm="1">
        <f t="array" ref="E987">IF(D987="M","Male",IF(D987="F","Female","Check"))</f>
        <v>Female</v>
      </c>
      <c r="F987" s="4">
        <v>10000</v>
      </c>
      <c r="G987" t="str" s="8" cm="1">
        <f t="array" ref="G987">IF(F987="","Check","okay")</f>
        <v>okay</v>
      </c>
      <c r="H987" s="3">
        <v>2</v>
      </c>
      <c r="I987" t="s" s="2">
        <v>21</v>
      </c>
      <c r="J987" t="s" s="2">
        <v>28</v>
      </c>
      <c r="K987" t="s" s="2">
        <v>17</v>
      </c>
      <c r="L987" s="3">
        <v>0</v>
      </c>
      <c r="M987" t="s" s="2">
        <v>18</v>
      </c>
      <c r="N987" t="s" s="2">
        <v>19</v>
      </c>
      <c r="O987" s="3">
        <v>51</v>
      </c>
      <c r="P987" t="str" s="8" cm="1">
        <f t="array" ref="P987">IF(O987="","check","Okay")</f>
        <v>Okay</v>
      </c>
      <c r="Q987" t="str" s="8" cm="1">
        <f t="array" ref="Q987">IF(O987&lt;30,"UNDER 30",IF(O987&lt;=50,"30-50","Over 50"))</f>
        <v>Over 50</v>
      </c>
      <c r="R987" t="s" s="2">
        <v>17</v>
      </c>
      <c r="S987" s="3" cm="1">
        <f t="array" ref="S987">COUNTIF(A2:A1001,A987)</f>
        <v>1</v>
      </c>
      <c r="T987" t="str" s="8" cm="1">
        <f t="array" ref="T987">IF(ISNUMBER(F987),"Ok","check")</f>
        <v>Ok</v>
      </c>
      <c r="U987" t="str" s="8" cm="1">
        <f t="array" ref="U987">IF(ISNUMBER(O987),"ok","check")</f>
        <v>ok</v>
      </c>
    </row>
    <row r="988" ht="13.55" customHeight="1">
      <c r="A988" s="3">
        <v>14547</v>
      </c>
      <c r="B988" t="s" s="2">
        <v>13</v>
      </c>
      <c r="C988" t="str" s="8" cm="1">
        <f t="array" ref="C988">IF(B988="M","Married","Single")</f>
        <v>Married</v>
      </c>
      <c r="D988" t="s" s="2">
        <v>13</v>
      </c>
      <c r="E988" t="str" s="8" cm="1">
        <f t="array" ref="E988">IF(D988="M","Male",IF(D988="F","Female","Check"))</f>
        <v>Male</v>
      </c>
      <c r="F988" s="4">
        <v>10000</v>
      </c>
      <c r="G988" t="str" s="8" cm="1">
        <f t="array" ref="G988">IF(F988="","Check","okay")</f>
        <v>okay</v>
      </c>
      <c r="H988" s="3">
        <v>2</v>
      </c>
      <c r="I988" t="s" s="2">
        <v>21</v>
      </c>
      <c r="J988" t="s" s="2">
        <v>28</v>
      </c>
      <c r="K988" t="s" s="2">
        <v>17</v>
      </c>
      <c r="L988" s="3">
        <v>0</v>
      </c>
      <c r="M988" t="s" s="2">
        <v>29</v>
      </c>
      <c r="N988" t="s" s="2">
        <v>19</v>
      </c>
      <c r="O988" s="3">
        <v>51</v>
      </c>
      <c r="P988" t="str" s="8" cm="1">
        <f t="array" ref="P988">IF(O988="","check","Okay")</f>
        <v>Okay</v>
      </c>
      <c r="Q988" t="str" s="8" cm="1">
        <f t="array" ref="Q988">IF(O988&lt;30,"UNDER 30",IF(O988&lt;=50,"30-50","Over 50"))</f>
        <v>Over 50</v>
      </c>
      <c r="R988" t="s" s="2">
        <v>20</v>
      </c>
      <c r="S988" s="3" cm="1">
        <f t="array" ref="S988">COUNTIF(A2:A1001,A988)</f>
        <v>1</v>
      </c>
      <c r="T988" t="str" s="8" cm="1">
        <f t="array" ref="T988">IF(ISNUMBER(F988),"Ok","check")</f>
        <v>Ok</v>
      </c>
      <c r="U988" t="str" s="8" cm="1">
        <f t="array" ref="U988">IF(ISNUMBER(O988),"ok","check")</f>
        <v>ok</v>
      </c>
    </row>
    <row r="989" ht="13.55" customHeight="1">
      <c r="A989" s="3">
        <v>19255</v>
      </c>
      <c r="B989" t="s" s="2">
        <v>25</v>
      </c>
      <c r="C989" t="str" s="8" cm="1">
        <f t="array" ref="C989">IF(B989="M","Married","Single")</f>
        <v>Single</v>
      </c>
      <c r="D989" t="s" s="2">
        <v>13</v>
      </c>
      <c r="E989" t="str" s="8" cm="1">
        <f t="array" ref="E989">IF(D989="M","Male",IF(D989="F","Female","Check"))</f>
        <v>Male</v>
      </c>
      <c r="F989" s="4">
        <v>10000</v>
      </c>
      <c r="G989" t="str" s="8" cm="1">
        <f t="array" ref="G989">IF(F989="","Check","okay")</f>
        <v>okay</v>
      </c>
      <c r="H989" s="3">
        <v>2</v>
      </c>
      <c r="I989" t="s" s="2">
        <v>21</v>
      </c>
      <c r="J989" t="s" s="2">
        <v>28</v>
      </c>
      <c r="K989" t="s" s="2">
        <v>17</v>
      </c>
      <c r="L989" s="3">
        <v>1</v>
      </c>
      <c r="M989" t="s" s="2">
        <v>18</v>
      </c>
      <c r="N989" t="s" s="2">
        <v>19</v>
      </c>
      <c r="O989" s="3">
        <v>51</v>
      </c>
      <c r="P989" t="str" s="8" cm="1">
        <f t="array" ref="P989">IF(O989="","check","Okay")</f>
        <v>Okay</v>
      </c>
      <c r="Q989" t="str" s="8" cm="1">
        <f t="array" ref="Q989">IF(O989&lt;30,"UNDER 30",IF(O989&lt;=50,"30-50","Over 50"))</f>
        <v>Over 50</v>
      </c>
      <c r="R989" t="s" s="2">
        <v>17</v>
      </c>
      <c r="S989" s="3" cm="1">
        <f t="array" ref="S989">COUNTIF(A2:A1001,A989)</f>
        <v>1</v>
      </c>
      <c r="T989" t="str" s="8" cm="1">
        <f t="array" ref="T989">IF(ISNUMBER(F989),"Ok","check")</f>
        <v>Ok</v>
      </c>
      <c r="U989" t="str" s="8" cm="1">
        <f t="array" ref="U989">IF(ISNUMBER(O989),"ok","check")</f>
        <v>ok</v>
      </c>
    </row>
    <row r="990" ht="13.55" customHeight="1">
      <c r="A990" s="3">
        <v>12234</v>
      </c>
      <c r="B990" t="s" s="2">
        <v>13</v>
      </c>
      <c r="C990" t="str" s="8" cm="1">
        <f t="array" ref="C990">IF(B990="M","Married","Single")</f>
        <v>Married</v>
      </c>
      <c r="D990" t="s" s="2">
        <v>13</v>
      </c>
      <c r="E990" t="str" s="8" cm="1">
        <f t="array" ref="E990">IF(D990="M","Male",IF(D990="F","Female","Check"))</f>
        <v>Male</v>
      </c>
      <c r="F990" s="4">
        <v>10000</v>
      </c>
      <c r="G990" t="str" s="8" cm="1">
        <f t="array" ref="G990">IF(F990="","Check","okay")</f>
        <v>okay</v>
      </c>
      <c r="H990" s="3">
        <v>2</v>
      </c>
      <c r="I990" t="s" s="2">
        <v>21</v>
      </c>
      <c r="J990" t="s" s="2">
        <v>28</v>
      </c>
      <c r="K990" t="s" s="2">
        <v>17</v>
      </c>
      <c r="L990" s="3">
        <v>1</v>
      </c>
      <c r="M990" t="s" s="2">
        <v>24</v>
      </c>
      <c r="N990" t="s" s="2">
        <v>19</v>
      </c>
      <c r="O990" s="3">
        <v>52</v>
      </c>
      <c r="P990" t="str" s="8" cm="1">
        <f t="array" ref="P990">IF(O990="","check","Okay")</f>
        <v>Okay</v>
      </c>
      <c r="Q990" t="str" s="8" cm="1">
        <f t="array" ref="Q990">IF(O990&lt;30,"UNDER 30",IF(O990&lt;=50,"30-50","Over 50"))</f>
        <v>Over 50</v>
      </c>
      <c r="R990" t="s" s="2">
        <v>20</v>
      </c>
      <c r="S990" s="3" cm="1">
        <f t="array" ref="S990">COUNTIF(A2:A1001,A990)</f>
        <v>1</v>
      </c>
      <c r="T990" t="str" s="8" cm="1">
        <f t="array" ref="T990">IF(ISNUMBER(F990),"Ok","check")</f>
        <v>Ok</v>
      </c>
      <c r="U990" t="str" s="8" cm="1">
        <f t="array" ref="U990">IF(ISNUMBER(O990),"ok","check")</f>
        <v>ok</v>
      </c>
    </row>
    <row r="991" ht="13.55" customHeight="1">
      <c r="A991" s="3">
        <v>20970</v>
      </c>
      <c r="B991" t="s" s="2">
        <v>25</v>
      </c>
      <c r="C991" t="str" s="8" cm="1">
        <f t="array" ref="C991">IF(B991="M","Married","Single")</f>
        <v>Single</v>
      </c>
      <c r="D991" t="s" s="2">
        <v>13</v>
      </c>
      <c r="E991" t="str" s="8" cm="1">
        <f t="array" ref="E991">IF(D991="M","Male",IF(D991="F","Female","Check"))</f>
        <v>Male</v>
      </c>
      <c r="F991" s="4">
        <v>10000</v>
      </c>
      <c r="G991" t="str" s="8" cm="1">
        <f t="array" ref="G991">IF(F991="","Check","okay")</f>
        <v>okay</v>
      </c>
      <c r="H991" s="3">
        <v>2</v>
      </c>
      <c r="I991" t="s" s="2">
        <v>21</v>
      </c>
      <c r="J991" t="s" s="2">
        <v>28</v>
      </c>
      <c r="K991" t="s" s="2">
        <v>17</v>
      </c>
      <c r="L991" s="3">
        <v>1</v>
      </c>
      <c r="M991" t="s" s="2">
        <v>18</v>
      </c>
      <c r="N991" t="s" s="2">
        <v>19</v>
      </c>
      <c r="O991" s="3">
        <v>52</v>
      </c>
      <c r="P991" t="str" s="8" cm="1">
        <f t="array" ref="P991">IF(O991="","check","Okay")</f>
        <v>Okay</v>
      </c>
      <c r="Q991" t="str" s="8" cm="1">
        <f t="array" ref="Q991">IF(O991&lt;30,"UNDER 30",IF(O991&lt;=50,"30-50","Over 50"))</f>
        <v>Over 50</v>
      </c>
      <c r="R991" t="s" s="2">
        <v>17</v>
      </c>
      <c r="S991" s="3" cm="1">
        <f t="array" ref="S991">COUNTIF(A2:A1001,A991)</f>
        <v>1</v>
      </c>
      <c r="T991" t="str" s="8" cm="1">
        <f t="array" ref="T991">IF(ISNUMBER(F991),"Ok","check")</f>
        <v>Ok</v>
      </c>
      <c r="U991" t="str" s="8" cm="1">
        <f t="array" ref="U991">IF(ISNUMBER(O991),"ok","check")</f>
        <v>ok</v>
      </c>
    </row>
    <row r="992" ht="13.55" customHeight="1">
      <c r="A992" s="3">
        <v>23248</v>
      </c>
      <c r="B992" t="s" s="2">
        <v>13</v>
      </c>
      <c r="C992" t="str" s="8" cm="1">
        <f t="array" ref="C992">IF(B992="M","Married","Single")</f>
        <v>Married</v>
      </c>
      <c r="D992" t="s" s="2">
        <v>14</v>
      </c>
      <c r="E992" t="str" s="8" cm="1">
        <f t="array" ref="E992">IF(D992="M","Male",IF(D992="F","Female","Check"))</f>
        <v>Female</v>
      </c>
      <c r="F992" s="4">
        <v>10000</v>
      </c>
      <c r="G992" t="str" s="8" cm="1">
        <f t="array" ref="G992">IF(F992="","Check","okay")</f>
        <v>okay</v>
      </c>
      <c r="H992" s="3">
        <v>2</v>
      </c>
      <c r="I992" t="s" s="2">
        <v>30</v>
      </c>
      <c r="J992" t="s" s="2">
        <v>28</v>
      </c>
      <c r="K992" t="s" s="2">
        <v>17</v>
      </c>
      <c r="L992" s="3">
        <v>2</v>
      </c>
      <c r="M992" t="s" s="2">
        <v>29</v>
      </c>
      <c r="N992" t="s" s="2">
        <v>35</v>
      </c>
      <c r="O992" s="3">
        <v>53</v>
      </c>
      <c r="P992" t="str" s="8" cm="1">
        <f t="array" ref="P992">IF(O992="","check","Okay")</f>
        <v>Okay</v>
      </c>
      <c r="Q992" t="str" s="8" cm="1">
        <f t="array" ref="Q992">IF(O992&lt;30,"UNDER 30",IF(O992&lt;=50,"30-50","Over 50"))</f>
        <v>Over 50</v>
      </c>
      <c r="R992" t="s" s="2">
        <v>20</v>
      </c>
      <c r="S992" s="3" cm="1">
        <f t="array" ref="S992">COUNTIF(A2:A1001,A992)</f>
        <v>1</v>
      </c>
      <c r="T992" t="str" s="8" cm="1">
        <f t="array" ref="T992">IF(ISNUMBER(F992),"Ok","check")</f>
        <v>Ok</v>
      </c>
      <c r="U992" t="str" s="8" cm="1">
        <f t="array" ref="U992">IF(ISNUMBER(O992),"ok","check")</f>
        <v>ok</v>
      </c>
    </row>
    <row r="993" ht="13.55" customHeight="1">
      <c r="A993" s="3">
        <v>20076</v>
      </c>
      <c r="B993" t="s" s="2">
        <v>25</v>
      </c>
      <c r="C993" t="str" s="8" cm="1">
        <f t="array" ref="C993">IF(B993="M","Married","Single")</f>
        <v>Single</v>
      </c>
      <c r="D993" t="s" s="2">
        <v>14</v>
      </c>
      <c r="E993" t="str" s="8" cm="1">
        <f t="array" ref="E993">IF(D993="M","Male",IF(D993="F","Female","Check"))</f>
        <v>Female</v>
      </c>
      <c r="F993" s="4">
        <v>10000</v>
      </c>
      <c r="G993" t="str" s="8" cm="1">
        <f t="array" ref="G993">IF(F993="","Check","okay")</f>
        <v>okay</v>
      </c>
      <c r="H993" s="3">
        <v>2</v>
      </c>
      <c r="I993" t="s" s="2">
        <v>30</v>
      </c>
      <c r="J993" t="s" s="2">
        <v>28</v>
      </c>
      <c r="K993" t="s" s="2">
        <v>17</v>
      </c>
      <c r="L993" s="3">
        <v>2</v>
      </c>
      <c r="M993" t="s" s="2">
        <v>29</v>
      </c>
      <c r="N993" t="s" s="2">
        <v>35</v>
      </c>
      <c r="O993" s="3">
        <v>53</v>
      </c>
      <c r="P993" t="str" s="8" cm="1">
        <f t="array" ref="P993">IF(O993="","check","Okay")</f>
        <v>Okay</v>
      </c>
      <c r="Q993" t="str" s="8" cm="1">
        <f t="array" ref="Q993">IF(O993&lt;30,"UNDER 30",IF(O993&lt;=50,"30-50","Over 50"))</f>
        <v>Over 50</v>
      </c>
      <c r="R993" t="s" s="2">
        <v>17</v>
      </c>
      <c r="S993" s="3" cm="1">
        <f t="array" ref="S993">COUNTIF(A2:A1001,A993)</f>
        <v>1</v>
      </c>
      <c r="T993" t="str" s="8" cm="1">
        <f t="array" ref="T993">IF(ISNUMBER(F993),"Ok","check")</f>
        <v>Ok</v>
      </c>
      <c r="U993" t="str" s="8" cm="1">
        <f t="array" ref="U993">IF(ISNUMBER(O993),"ok","check")</f>
        <v>ok</v>
      </c>
    </row>
    <row r="994" ht="13.55" customHeight="1">
      <c r="A994" s="3">
        <v>21365</v>
      </c>
      <c r="B994" t="s" s="2">
        <v>13</v>
      </c>
      <c r="C994" t="str" s="8" cm="1">
        <f t="array" ref="C994">IF(B994="M","Married","Single")</f>
        <v>Married</v>
      </c>
      <c r="D994" t="s" s="2">
        <v>14</v>
      </c>
      <c r="E994" t="str" s="8" cm="1">
        <f t="array" ref="E994">IF(D994="M","Male",IF(D994="F","Female","Check"))</f>
        <v>Female</v>
      </c>
      <c r="F994" s="4">
        <v>10000</v>
      </c>
      <c r="G994" t="str" s="8" cm="1">
        <f t="array" ref="G994">IF(F994="","Check","okay")</f>
        <v>okay</v>
      </c>
      <c r="H994" s="3">
        <v>2</v>
      </c>
      <c r="I994" t="s" s="2">
        <v>32</v>
      </c>
      <c r="J994" t="s" s="2">
        <v>22</v>
      </c>
      <c r="K994" t="s" s="2">
        <v>17</v>
      </c>
      <c r="L994" s="3">
        <v>2</v>
      </c>
      <c r="M994" t="s" s="2">
        <v>26</v>
      </c>
      <c r="N994" t="s" s="2">
        <v>27</v>
      </c>
      <c r="O994" s="3">
        <v>58</v>
      </c>
      <c r="P994" t="str" s="8" cm="1">
        <f t="array" ref="P994">IF(O994="","check","Okay")</f>
        <v>Okay</v>
      </c>
      <c r="Q994" t="str" s="8" cm="1">
        <f t="array" ref="Q994">IF(O994&lt;30,"UNDER 30",IF(O994&lt;=50,"30-50","Over 50"))</f>
        <v>Over 50</v>
      </c>
      <c r="R994" t="s" s="2">
        <v>20</v>
      </c>
      <c r="S994" s="3" cm="1">
        <f t="array" ref="S994">COUNTIF(A2:A1001,A994)</f>
        <v>1</v>
      </c>
      <c r="T994" t="str" s="8" cm="1">
        <f t="array" ref="T994">IF(ISNUMBER(F994),"Ok","check")</f>
        <v>Ok</v>
      </c>
      <c r="U994" t="str" s="8" cm="1">
        <f t="array" ref="U994">IF(ISNUMBER(O994),"ok","check")</f>
        <v>ok</v>
      </c>
    </row>
    <row r="995" ht="13.55" customHeight="1">
      <c r="A995" s="3">
        <v>25923</v>
      </c>
      <c r="B995" t="s" s="2">
        <v>25</v>
      </c>
      <c r="C995" t="str" s="8" cm="1">
        <f t="array" ref="C995">IF(B995="M","Married","Single")</f>
        <v>Single</v>
      </c>
      <c r="D995" t="s" s="2">
        <v>13</v>
      </c>
      <c r="E995" t="str" s="8" cm="1">
        <f t="array" ref="E995">IF(D995="M","Male",IF(D995="F","Female","Check"))</f>
        <v>Male</v>
      </c>
      <c r="F995" s="4">
        <v>10000</v>
      </c>
      <c r="G995" t="str" s="8" cm="1">
        <f t="array" ref="G995">IF(F995="","Check","okay")</f>
        <v>okay</v>
      </c>
      <c r="H995" s="3">
        <v>2</v>
      </c>
      <c r="I995" t="s" s="2">
        <v>32</v>
      </c>
      <c r="J995" t="s" s="2">
        <v>22</v>
      </c>
      <c r="K995" t="s" s="2">
        <v>17</v>
      </c>
      <c r="L995" s="3">
        <v>2</v>
      </c>
      <c r="M995" t="s" s="2">
        <v>26</v>
      </c>
      <c r="N995" t="s" s="2">
        <v>27</v>
      </c>
      <c r="O995" s="3">
        <v>58</v>
      </c>
      <c r="P995" t="str" s="8" cm="1">
        <f t="array" ref="P995">IF(O995="","check","Okay")</f>
        <v>Okay</v>
      </c>
      <c r="Q995" t="str" s="8" cm="1">
        <f t="array" ref="Q995">IF(O995&lt;30,"UNDER 30",IF(O995&lt;=50,"30-50","Over 50"))</f>
        <v>Over 50</v>
      </c>
      <c r="R995" t="s" s="2">
        <v>20</v>
      </c>
      <c r="S995" s="3" cm="1">
        <f t="array" ref="S995">COUNTIF(A2:A1001,A995)</f>
        <v>1</v>
      </c>
      <c r="T995" t="str" s="8" cm="1">
        <f t="array" ref="T995">IF(ISNUMBER(F995),"Ok","check")</f>
        <v>Ok</v>
      </c>
      <c r="U995" t="str" s="8" cm="1">
        <f t="array" ref="U995">IF(ISNUMBER(O995),"ok","check")</f>
        <v>ok</v>
      </c>
    </row>
    <row r="996" ht="13.55" customHeight="1">
      <c r="A996" s="3">
        <v>13981</v>
      </c>
      <c r="B996" t="s" s="2">
        <v>13</v>
      </c>
      <c r="C996" t="str" s="8" cm="1">
        <f t="array" ref="C996">IF(B996="M","Married","Single")</f>
        <v>Married</v>
      </c>
      <c r="D996" t="s" s="2">
        <v>14</v>
      </c>
      <c r="E996" t="str" s="8" cm="1">
        <f t="array" ref="E996">IF(D996="M","Male",IF(D996="F","Female","Check"))</f>
        <v>Female</v>
      </c>
      <c r="F996" s="4">
        <v>10000</v>
      </c>
      <c r="G996" t="str" s="8" cm="1">
        <f t="array" ref="G996">IF(F996="","Check","okay")</f>
        <v>okay</v>
      </c>
      <c r="H996" s="3">
        <v>5</v>
      </c>
      <c r="I996" t="s" s="2">
        <v>30</v>
      </c>
      <c r="J996" t="s" s="2">
        <v>16</v>
      </c>
      <c r="K996" t="s" s="2">
        <v>20</v>
      </c>
      <c r="L996" s="3">
        <v>3</v>
      </c>
      <c r="M996" t="s" s="2">
        <v>29</v>
      </c>
      <c r="N996" t="s" s="2">
        <v>27</v>
      </c>
      <c r="O996" s="3">
        <v>62</v>
      </c>
      <c r="P996" t="str" s="8" cm="1">
        <f t="array" ref="P996">IF(O996="","check","Okay")</f>
        <v>Okay</v>
      </c>
      <c r="Q996" t="str" s="8" cm="1">
        <f t="array" ref="Q996">IF(O996&lt;30,"UNDER 30",IF(O996&lt;=50,"30-50","Over 50"))</f>
        <v>Over 50</v>
      </c>
      <c r="R996" t="s" s="2">
        <v>20</v>
      </c>
      <c r="S996" s="3" cm="1">
        <f t="array" ref="S996">COUNTIF(A2:A1001,A996)</f>
        <v>1</v>
      </c>
      <c r="T996" t="str" s="8" cm="1">
        <f t="array" ref="T996">IF(ISNUMBER(F996),"Ok","check")</f>
        <v>Ok</v>
      </c>
      <c r="U996" t="str" s="8" cm="1">
        <f t="array" ref="U996">IF(ISNUMBER(O996),"ok","check")</f>
        <v>ok</v>
      </c>
    </row>
    <row r="997" ht="13.55" customHeight="1">
      <c r="A997" s="3">
        <v>25906</v>
      </c>
      <c r="B997" t="s" s="2">
        <v>25</v>
      </c>
      <c r="C997" t="str" s="8" cm="1">
        <f t="array" ref="C997">IF(B997="M","Married","Single")</f>
        <v>Single</v>
      </c>
      <c r="D997" t="s" s="2">
        <v>14</v>
      </c>
      <c r="E997" t="str" s="8" cm="1">
        <f t="array" ref="E997">IF(D997="M","Male",IF(D997="F","Female","Check"))</f>
        <v>Female</v>
      </c>
      <c r="F997" s="4">
        <v>10000</v>
      </c>
      <c r="G997" t="str" s="8" cm="1">
        <f t="array" ref="G997">IF(F997="","Check","okay")</f>
        <v>okay</v>
      </c>
      <c r="H997" s="3">
        <v>5</v>
      </c>
      <c r="I997" t="s" s="2">
        <v>30</v>
      </c>
      <c r="J997" t="s" s="2">
        <v>16</v>
      </c>
      <c r="K997" t="s" s="2">
        <v>20</v>
      </c>
      <c r="L997" s="3">
        <v>2</v>
      </c>
      <c r="M997" t="s" s="2">
        <v>29</v>
      </c>
      <c r="N997" t="s" s="2">
        <v>27</v>
      </c>
      <c r="O997" s="3">
        <v>62</v>
      </c>
      <c r="P997" t="str" s="8" cm="1">
        <f t="array" ref="P997">IF(O997="","check","Okay")</f>
        <v>Okay</v>
      </c>
      <c r="Q997" t="str" s="8" cm="1">
        <f t="array" ref="Q997">IF(O997&lt;30,"UNDER 30",IF(O997&lt;=50,"30-50","Over 50"))</f>
        <v>Over 50</v>
      </c>
      <c r="R997" t="s" s="2">
        <v>20</v>
      </c>
      <c r="S997" s="3" cm="1">
        <f t="array" ref="S997">COUNTIF(A2:A1001,A997)</f>
        <v>1</v>
      </c>
      <c r="T997" t="str" s="8" cm="1">
        <f t="array" ref="T997">IF(ISNUMBER(F997),"Ok","check")</f>
        <v>Ok</v>
      </c>
      <c r="U997" t="str" s="8" cm="1">
        <f t="array" ref="U997">IF(ISNUMBER(O997),"ok","check")</f>
        <v>ok</v>
      </c>
    </row>
    <row r="998" ht="13.55" customHeight="1">
      <c r="A998" s="3">
        <v>20974</v>
      </c>
      <c r="B998" t="s" s="2">
        <v>13</v>
      </c>
      <c r="C998" t="str" s="8" cm="1">
        <f t="array" ref="C998">IF(B998="M","Married","Single")</f>
        <v>Married</v>
      </c>
      <c r="D998" t="s" s="2">
        <v>13</v>
      </c>
      <c r="E998" t="str" s="8" cm="1">
        <f t="array" ref="E998">IF(D998="M","Male",IF(D998="F","Female","Check"))</f>
        <v>Male</v>
      </c>
      <c r="F998" s="4">
        <v>10000</v>
      </c>
      <c r="G998" t="str" s="8" cm="1">
        <f t="array" ref="G998">IF(F998="","Check","okay")</f>
        <v>okay</v>
      </c>
      <c r="H998" s="3">
        <v>2</v>
      </c>
      <c r="I998" t="s" s="2">
        <v>15</v>
      </c>
      <c r="J998" t="s" s="2">
        <v>22</v>
      </c>
      <c r="K998" t="s" s="2">
        <v>17</v>
      </c>
      <c r="L998" s="3">
        <v>1</v>
      </c>
      <c r="M998" t="s" s="2">
        <v>18</v>
      </c>
      <c r="N998" t="s" s="2">
        <v>19</v>
      </c>
      <c r="O998" s="3">
        <v>66</v>
      </c>
      <c r="P998" t="str" s="8" cm="1">
        <f t="array" ref="P998">IF(O998="","check","Okay")</f>
        <v>Okay</v>
      </c>
      <c r="Q998" t="str" s="8" cm="1">
        <f t="array" ref="Q998">IF(O998&lt;30,"UNDER 30",IF(O998&lt;=50,"30-50","Over 50"))</f>
        <v>Over 50</v>
      </c>
      <c r="R998" t="s" s="2">
        <v>20</v>
      </c>
      <c r="S998" s="3" cm="1">
        <f t="array" ref="S998">COUNTIF(A2:A1001,A998)</f>
        <v>1</v>
      </c>
      <c r="T998" t="str" s="8" cm="1">
        <f t="array" ref="T998">IF(ISNUMBER(F998),"Ok","check")</f>
        <v>Ok</v>
      </c>
      <c r="U998" t="str" s="8" cm="1">
        <f t="array" ref="U998">IF(ISNUMBER(O998),"ok","check")</f>
        <v>ok</v>
      </c>
    </row>
    <row r="999" ht="13.55" customHeight="1">
      <c r="A999" s="3">
        <v>29447</v>
      </c>
      <c r="B999" t="s" s="2">
        <v>25</v>
      </c>
      <c r="C999" t="str" s="8" cm="1">
        <f t="array" ref="C999">IF(B999="M","Married","Single")</f>
        <v>Single</v>
      </c>
      <c r="D999" t="s" s="2">
        <v>14</v>
      </c>
      <c r="E999" t="str" s="8" cm="1">
        <f t="array" ref="E999">IF(D999="M","Male",IF(D999="F","Female","Check"))</f>
        <v>Female</v>
      </c>
      <c r="F999" s="4">
        <v>10000</v>
      </c>
      <c r="G999" t="str" s="8" cm="1">
        <f t="array" ref="G999">IF(F999="","Check","okay")</f>
        <v>okay</v>
      </c>
      <c r="H999" s="3">
        <v>2</v>
      </c>
      <c r="I999" t="s" s="2">
        <v>15</v>
      </c>
      <c r="J999" t="s" s="2">
        <v>22</v>
      </c>
      <c r="K999" t="s" s="2">
        <v>20</v>
      </c>
      <c r="L999" s="3">
        <v>1</v>
      </c>
      <c r="M999" t="s" s="2">
        <v>24</v>
      </c>
      <c r="N999" t="s" s="2">
        <v>19</v>
      </c>
      <c r="O999" s="3">
        <v>68</v>
      </c>
      <c r="P999" t="str" s="8" cm="1">
        <f t="array" ref="P999">IF(O999="","check","Okay")</f>
        <v>Okay</v>
      </c>
      <c r="Q999" t="str" s="8" cm="1">
        <f t="array" ref="Q999">IF(O999&lt;30,"UNDER 30",IF(O999&lt;=50,"30-50","Over 50"))</f>
        <v>Over 50</v>
      </c>
      <c r="R999" t="s" s="2">
        <v>20</v>
      </c>
      <c r="S999" s="3" cm="1">
        <f t="array" ref="S999">COUNTIF(A2:A1001,A999)</f>
        <v>1</v>
      </c>
      <c r="T999" t="str" s="8" cm="1">
        <f t="array" ref="T999">IF(ISNUMBER(F999),"Ok","check")</f>
        <v>Ok</v>
      </c>
      <c r="U999" t="str" s="8" cm="1">
        <f t="array" ref="U999">IF(ISNUMBER(O999),"ok","check")</f>
        <v>ok</v>
      </c>
    </row>
    <row r="1000" ht="13.55" customHeight="1">
      <c r="A1000" s="3">
        <v>11340</v>
      </c>
      <c r="B1000" t="s" s="2">
        <v>13</v>
      </c>
      <c r="C1000" t="str" s="8" cm="1">
        <f t="array" ref="C1000">IF(B1000="M","Married","Single")</f>
        <v>Married</v>
      </c>
      <c r="D1000" t="s" s="2">
        <v>14</v>
      </c>
      <c r="E1000" t="str" s="8" cm="1">
        <f t="array" ref="E1000">IF(D1000="M","Male",IF(D1000="F","Female","Check"))</f>
        <v>Female</v>
      </c>
      <c r="F1000" s="4">
        <v>10000</v>
      </c>
      <c r="G1000" t="str" s="8" cm="1">
        <f t="array" ref="G1000">IF(F1000="","Check","okay")</f>
        <v>okay</v>
      </c>
      <c r="H1000" s="3">
        <v>1</v>
      </c>
      <c r="I1000" t="s" s="2">
        <v>34</v>
      </c>
      <c r="J1000" t="s" s="2">
        <v>22</v>
      </c>
      <c r="K1000" t="s" s="2">
        <v>17</v>
      </c>
      <c r="L1000" s="3">
        <v>0</v>
      </c>
      <c r="M1000" t="s" s="2">
        <v>18</v>
      </c>
      <c r="N1000" t="s" s="2">
        <v>19</v>
      </c>
      <c r="O1000" s="3">
        <v>70</v>
      </c>
      <c r="P1000" t="str" s="8" cm="1">
        <f t="array" ref="P1000">IF(O1000="","check","Okay")</f>
        <v>Okay</v>
      </c>
      <c r="Q1000" t="str" s="8" cm="1">
        <f t="array" ref="Q1000">IF(O1000&lt;30,"UNDER 30",IF(O1000&lt;=50,"30-50","Over 50"))</f>
        <v>Over 50</v>
      </c>
      <c r="R1000" t="s" s="2">
        <v>17</v>
      </c>
      <c r="S1000" s="3" cm="1">
        <f t="array" ref="S1000">COUNTIF(A2:A1001,A1000)</f>
        <v>1</v>
      </c>
      <c r="T1000" t="str" s="8" cm="1">
        <f t="array" ref="T1000">IF(ISNUMBER(F1000),"Ok","check")</f>
        <v>Ok</v>
      </c>
      <c r="U1000" t="str" s="8" cm="1">
        <f t="array" ref="U1000">IF(ISNUMBER(O1000),"ok","check")</f>
        <v>ok</v>
      </c>
    </row>
    <row r="1001" ht="13.55" customHeight="1">
      <c r="A1001" s="3">
        <v>15450</v>
      </c>
      <c r="B1001" t="s" s="2">
        <v>13</v>
      </c>
      <c r="C1001" t="str" s="8" cm="1">
        <f t="array" ref="C1001">IF(B1001="M","Married","Single")</f>
        <v>Married</v>
      </c>
      <c r="D1001" t="s" s="2">
        <v>13</v>
      </c>
      <c r="E1001" t="str" s="8" cm="1">
        <f t="array" ref="E1001">IF(D1001="M","Male",IF(D1001="F","Female","Check"))</f>
        <v>Male</v>
      </c>
      <c r="F1001" s="4">
        <v>10000</v>
      </c>
      <c r="G1001" t="str" s="8" cm="1">
        <f t="array" ref="G1001">IF(F1001="","Check","okay")</f>
        <v>okay</v>
      </c>
      <c r="H1001" s="3">
        <v>1</v>
      </c>
      <c r="I1001" t="s" s="2">
        <v>34</v>
      </c>
      <c r="J1001" t="s" s="2">
        <v>22</v>
      </c>
      <c r="K1001" t="s" s="2">
        <v>17</v>
      </c>
      <c r="L1001" s="3">
        <v>0</v>
      </c>
      <c r="M1001" t="s" s="2">
        <v>18</v>
      </c>
      <c r="N1001" t="s" s="2">
        <v>19</v>
      </c>
      <c r="O1001" s="3">
        <v>70</v>
      </c>
      <c r="P1001" t="str" s="8" cm="1">
        <f t="array" ref="P1001">IF(O1001="","check","Okay")</f>
        <v>Okay</v>
      </c>
      <c r="Q1001" t="str" s="8" cm="1">
        <f t="array" ref="Q1001">IF(O1001&lt;30,"UNDER 30",IF(O1001&lt;=50,"30-50","Over 50"))</f>
        <v>Over 50</v>
      </c>
      <c r="R1001" t="s" s="2">
        <v>20</v>
      </c>
      <c r="S1001" s="3" cm="1">
        <f t="array" ref="S1001">COUNTIF(A2:A1001,A1001)</f>
        <v>1</v>
      </c>
      <c r="T1001" t="str" s="8" cm="1">
        <f t="array" ref="T1001">IF(ISNUMBER(F1001),"Ok","check")</f>
        <v>Ok</v>
      </c>
      <c r="U1001" t="str" s="8" cm="1">
        <f t="array" ref="U1001">IF(ISNUMBER(O1001),"ok","check")</f>
        <v>ok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7"/>
  <sheetViews>
    <sheetView workbookViewId="0" showGridLines="0" defaultGridColor="1"/>
  </sheetViews>
  <sheetFormatPr defaultColWidth="13.3333" defaultRowHeight="15.4" customHeight="1" outlineLevelRow="0" outlineLevelCol="0"/>
  <cols>
    <col min="1" max="4" width="13.3516" style="9" customWidth="1"/>
    <col min="5" max="16384" width="13.3516" style="9" customWidth="1"/>
  </cols>
  <sheetData>
    <row r="1" ht="15.55" customHeight="1">
      <c r="A1" t="s" s="10">
        <v>55</v>
      </c>
      <c r="B1" s="10"/>
      <c r="C1" s="10"/>
      <c r="D1" s="10"/>
    </row>
    <row r="2" ht="14.05" customHeight="1">
      <c r="A2" t="s" s="11">
        <v>12</v>
      </c>
      <c r="B2" t="s" s="12">
        <v>12</v>
      </c>
    </row>
    <row r="3" ht="14.05" customHeight="1">
      <c r="A3" t="s" s="14">
        <v>40</v>
      </c>
      <c r="B3" t="s" s="13">
        <v>20</v>
      </c>
      <c r="C3" t="s" s="11">
        <v>17</v>
      </c>
      <c r="D3" t="s" s="13">
        <v>56</v>
      </c>
    </row>
    <row r="4" ht="13.55" customHeight="1">
      <c r="A4" t="s" s="15">
        <v>48</v>
      </c>
      <c r="B4" s="16">
        <v>305</v>
      </c>
      <c r="C4" s="17">
        <v>336</v>
      </c>
      <c r="D4" s="18">
        <v>641</v>
      </c>
    </row>
    <row r="5" ht="13.55" customHeight="1">
      <c r="A5" t="s" s="15">
        <v>52</v>
      </c>
      <c r="B5" s="16">
        <v>166</v>
      </c>
      <c r="C5" s="17">
        <v>110</v>
      </c>
      <c r="D5" s="18">
        <v>276</v>
      </c>
    </row>
    <row r="6" ht="13.55" customHeight="1">
      <c r="A6" t="s" s="15">
        <v>54</v>
      </c>
      <c r="B6" s="16">
        <v>48</v>
      </c>
      <c r="C6" s="17">
        <v>35</v>
      </c>
      <c r="D6" s="18">
        <v>83</v>
      </c>
    </row>
    <row r="7" ht="13.55" customHeight="1">
      <c r="A7" t="s" s="19">
        <v>56</v>
      </c>
      <c r="B7" s="20">
        <v>519</v>
      </c>
      <c r="C7" s="21">
        <v>481</v>
      </c>
      <c r="D7" s="20">
        <v>1000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9"/>
  <sheetViews>
    <sheetView workbookViewId="0" showGridLines="0" defaultGridColor="1"/>
  </sheetViews>
  <sheetFormatPr defaultColWidth="13.3333" defaultRowHeight="15.4" customHeight="1" outlineLevelRow="0" outlineLevelCol="0"/>
  <cols>
    <col min="1" max="1" width="15.5" style="22" customWidth="1"/>
    <col min="2" max="4" width="13.3516" style="22" customWidth="1"/>
    <col min="5" max="16384" width="13.3516" style="22" customWidth="1"/>
  </cols>
  <sheetData>
    <row r="1" ht="15.55" customHeight="1">
      <c r="A1" t="s" s="10">
        <v>57</v>
      </c>
      <c r="B1" s="10"/>
      <c r="C1" s="10"/>
      <c r="D1" s="10"/>
    </row>
    <row r="2" ht="14.05" customHeight="1">
      <c r="A2" t="s" s="11">
        <v>12</v>
      </c>
      <c r="B2" t="s" s="12">
        <v>12</v>
      </c>
    </row>
    <row r="3" ht="14.05" customHeight="1">
      <c r="A3" t="s" s="14">
        <v>9</v>
      </c>
      <c r="B3" t="s" s="13">
        <v>20</v>
      </c>
      <c r="C3" t="s" s="11">
        <v>17</v>
      </c>
      <c r="D3" t="s" s="13">
        <v>56</v>
      </c>
    </row>
    <row r="4" ht="13.55" customHeight="1">
      <c r="A4" t="s" s="15">
        <v>18</v>
      </c>
      <c r="B4" s="16">
        <v>166</v>
      </c>
      <c r="C4" s="17">
        <v>200</v>
      </c>
      <c r="D4" s="18">
        <v>366</v>
      </c>
    </row>
    <row r="5" ht="13.55" customHeight="1">
      <c r="A5" t="s" s="15">
        <v>29</v>
      </c>
      <c r="B5" s="16">
        <v>92</v>
      </c>
      <c r="C5" s="17">
        <v>77</v>
      </c>
      <c r="D5" s="18">
        <v>169</v>
      </c>
    </row>
    <row r="6" ht="13.55" customHeight="1">
      <c r="A6" t="s" s="15">
        <v>33</v>
      </c>
      <c r="B6" s="16">
        <v>78</v>
      </c>
      <c r="C6" s="17">
        <v>33</v>
      </c>
      <c r="D6" s="18">
        <v>111</v>
      </c>
    </row>
    <row r="7" ht="13.55" customHeight="1">
      <c r="A7" t="s" s="15">
        <v>24</v>
      </c>
      <c r="B7" s="16">
        <v>67</v>
      </c>
      <c r="C7" s="17">
        <v>95</v>
      </c>
      <c r="D7" s="18">
        <v>162</v>
      </c>
    </row>
    <row r="8" ht="13.55" customHeight="1">
      <c r="A8" t="s" s="15">
        <v>26</v>
      </c>
      <c r="B8" s="16">
        <v>116</v>
      </c>
      <c r="C8" s="17">
        <v>76</v>
      </c>
      <c r="D8" s="18">
        <v>192</v>
      </c>
    </row>
    <row r="9" ht="13.55" customHeight="1">
      <c r="A9" t="s" s="19">
        <v>56</v>
      </c>
      <c r="B9" s="20">
        <v>519</v>
      </c>
      <c r="C9" s="21">
        <v>481</v>
      </c>
      <c r="D9" s="20">
        <v>1000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"/>
  <sheetViews>
    <sheetView workbookViewId="0" showGridLines="0" defaultGridColor="1"/>
  </sheetViews>
  <sheetFormatPr defaultColWidth="13.3333" defaultRowHeight="15.4" customHeight="1" outlineLevelRow="0" outlineLevelCol="0"/>
  <cols>
    <col min="1" max="1" width="15.7578" style="23" customWidth="1"/>
    <col min="2" max="4" width="13.3516" style="23" customWidth="1"/>
    <col min="5" max="16384" width="13.3516" style="23" customWidth="1"/>
  </cols>
  <sheetData>
    <row r="1" ht="15.55" customHeight="1">
      <c r="A1" t="s" s="10">
        <v>58</v>
      </c>
      <c r="B1" s="10"/>
      <c r="C1" s="10"/>
      <c r="D1" s="10"/>
    </row>
    <row r="2" ht="13.55" customHeight="1">
      <c r="A2" s="24"/>
      <c r="B2" t="s" s="25">
        <v>12</v>
      </c>
      <c r="C2" s="24"/>
      <c r="D2" s="26"/>
    </row>
    <row r="3" ht="13.55" customHeight="1">
      <c r="A3" t="s" s="27">
        <v>12</v>
      </c>
      <c r="B3" t="s" s="28">
        <v>20</v>
      </c>
      <c r="C3" t="s" s="27">
        <v>17</v>
      </c>
      <c r="D3" t="s" s="28">
        <v>56</v>
      </c>
    </row>
    <row r="4" ht="13.55" customHeight="1">
      <c r="A4" t="s" s="19">
        <v>59</v>
      </c>
      <c r="B4" s="29">
        <v>54874.7591522158</v>
      </c>
      <c r="C4" s="30">
        <v>57962.577962578</v>
      </c>
      <c r="D4" s="29">
        <v>56360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